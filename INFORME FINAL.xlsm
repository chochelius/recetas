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vc86\nodejs\Informe\"/>
    </mc:Choice>
  </mc:AlternateContent>
  <xr:revisionPtr revIDLastSave="0" documentId="13_ncr:1_{ED7CE233-0E2A-467F-A008-652D8845B334}" xr6:coauthVersionLast="47" xr6:coauthVersionMax="47" xr10:uidLastSave="{00000000-0000-0000-0000-000000000000}"/>
  <bookViews>
    <workbookView xWindow="-120" yWindow="-120" windowWidth="20730" windowHeight="11160" tabRatio="817" xr2:uid="{00000000-000D-0000-FFFF-FFFF00000000}"/>
  </bookViews>
  <sheets>
    <sheet name="COCINA" sheetId="2" r:id="rId1"/>
    <sheet name="COLACION" sheetId="4" state="hidden" r:id="rId2"/>
    <sheet name="BARRA" sheetId="7" r:id="rId3"/>
    <sheet name="INICIO" sheetId="9" r:id="rId4"/>
    <sheet name="INICIO_BARRA" sheetId="10" r:id="rId5"/>
    <sheet name="REPOSICIONES" sheetId="8" r:id="rId6"/>
    <sheet name="REPOSICIONES_BARRA" sheetId="12" r:id="rId7"/>
    <sheet name="VENTAS" sheetId="5" r:id="rId8"/>
    <sheet name="VALOR I." sheetId="6" r:id="rId9"/>
    <sheet name="RESUMEN" sheetId="13" r:id="rId10"/>
  </sheets>
  <externalReferences>
    <externalReference r:id="rId11"/>
  </externalReferences>
  <definedNames>
    <definedName name="_xlnm._FilterDatabase" localSheetId="2" hidden="1">BARRA!$B$5:$N$168</definedName>
    <definedName name="_xlnm._FilterDatabase" localSheetId="0" hidden="1">COCINA!$B$6:$I$135</definedName>
    <definedName name="_xlnm._FilterDatabase" localSheetId="3" hidden="1">INICIO!$B$2:$I$131</definedName>
    <definedName name="_xlnm._FilterDatabase" localSheetId="4" hidden="1">INICIO_BARRA!$B$1:$R$164</definedName>
    <definedName name="_xlnm._FilterDatabase" localSheetId="5" hidden="1">REPOSICIONES!$B$2:$I$131</definedName>
    <definedName name="_xlnm._FilterDatabase" localSheetId="6" hidden="1">REPOSICIONES_BARRA!$B$1:$I$164</definedName>
    <definedName name="_xlnm._FilterDatabase" localSheetId="8" hidden="1">'VALOR I.'!$A$5:$K$418</definedName>
    <definedName name="_xlnm.Print_Area" localSheetId="2">BARRA!$B$4:$L$168</definedName>
    <definedName name="_xlnm.Print_Area" localSheetId="0">COCINA!$B$6:$D$135</definedName>
    <definedName name="_xlnm.Print_Area" localSheetId="3">INICIO!$B$2:$D$131</definedName>
    <definedName name="_xlnm.Print_Area" localSheetId="4">INICIO_BARRA!$B$1:$D$164</definedName>
    <definedName name="_xlnm.Print_Area" localSheetId="5">REPOSICIONES!$B$2:$D$131</definedName>
    <definedName name="_xlnm.Print_Area" localSheetId="6">REPOSICIONES_BARRA!$B$1:$C$164</definedName>
    <definedName name="_xlnm.Print_Titles" localSheetId="2">BARRA!$5:$6</definedName>
    <definedName name="_xlnm.Print_Titles" localSheetId="0">COCINA!$6:$7</definedName>
    <definedName name="_xlnm.Print_Titles" localSheetId="3">INICIO!$2:$3</definedName>
    <definedName name="_xlnm.Print_Titles" localSheetId="4">INICIO_BARRA!$1:$2</definedName>
    <definedName name="_xlnm.Print_Titles" localSheetId="5">REPOSICIONES!$2:$3</definedName>
    <definedName name="_xlnm.Print_Titles" localSheetId="6">REPOSICIONES_BARRA!$1:$2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1" i="5" l="1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K13" i="13"/>
  <c r="K12" i="13"/>
  <c r="K11" i="13"/>
  <c r="K10" i="13"/>
  <c r="K9" i="13"/>
  <c r="K8" i="13"/>
  <c r="E13" i="13"/>
  <c r="E12" i="13"/>
  <c r="E11" i="13"/>
  <c r="E10" i="13"/>
  <c r="E9" i="13"/>
  <c r="E8" i="13"/>
  <c r="D13" i="13"/>
  <c r="J13" i="13" s="1"/>
  <c r="D12" i="13"/>
  <c r="J12" i="13" s="1"/>
  <c r="D11" i="13"/>
  <c r="J11" i="13" s="1"/>
  <c r="D10" i="13"/>
  <c r="J10" i="13" s="1"/>
  <c r="D9" i="13"/>
  <c r="D8" i="13"/>
  <c r="J8" i="13" s="1"/>
  <c r="F14" i="13"/>
  <c r="J14" i="13"/>
  <c r="L14" i="13" s="1"/>
  <c r="J9" i="13"/>
  <c r="F10" i="13" l="1"/>
  <c r="F12" i="13"/>
  <c r="F13" i="13"/>
  <c r="L9" i="13"/>
  <c r="F8" i="13"/>
  <c r="L12" i="13"/>
  <c r="L13" i="13"/>
  <c r="L11" i="13"/>
  <c r="L10" i="13"/>
  <c r="L8" i="13"/>
  <c r="E15" i="13"/>
  <c r="F9" i="13"/>
  <c r="F11" i="13"/>
  <c r="D15" i="13"/>
  <c r="J15" i="13"/>
  <c r="N8" i="13" s="1"/>
  <c r="K15" i="13"/>
  <c r="O8" i="13" l="1"/>
  <c r="P8" i="13" s="1"/>
  <c r="F15" i="13"/>
  <c r="L15" i="13"/>
  <c r="BH2" i="7" l="1"/>
  <c r="AW2" i="7"/>
  <c r="AL2" i="7"/>
  <c r="AA2" i="7"/>
  <c r="P2" i="7"/>
  <c r="E2" i="7" l="1"/>
  <c r="CB168" i="7"/>
  <c r="CB167" i="7"/>
  <c r="CB166" i="7"/>
  <c r="CB165" i="7"/>
  <c r="CB164" i="7"/>
  <c r="CB163" i="7"/>
  <c r="CB162" i="7"/>
  <c r="CB161" i="7"/>
  <c r="CB160" i="7"/>
  <c r="CB159" i="7"/>
  <c r="CB158" i="7"/>
  <c r="CB157" i="7"/>
  <c r="CB156" i="7"/>
  <c r="CB155" i="7"/>
  <c r="CB154" i="7"/>
  <c r="CB153" i="7"/>
  <c r="CB152" i="7"/>
  <c r="CB151" i="7"/>
  <c r="CB150" i="7"/>
  <c r="CB149" i="7"/>
  <c r="CB148" i="7"/>
  <c r="CB147" i="7"/>
  <c r="CB146" i="7"/>
  <c r="CB145" i="7"/>
  <c r="CB144" i="7"/>
  <c r="CB143" i="7"/>
  <c r="CB142" i="7"/>
  <c r="CB141" i="7"/>
  <c r="CB140" i="7"/>
  <c r="CB139" i="7"/>
  <c r="CB138" i="7"/>
  <c r="CB137" i="7"/>
  <c r="CB136" i="7"/>
  <c r="CB135" i="7"/>
  <c r="CB131" i="7"/>
  <c r="CB130" i="7"/>
  <c r="CB129" i="7"/>
  <c r="CB128" i="7"/>
  <c r="CB124" i="7"/>
  <c r="CB123" i="7"/>
  <c r="CB120" i="7"/>
  <c r="CB119" i="7"/>
  <c r="CB118" i="7"/>
  <c r="CB117" i="7"/>
  <c r="CB116" i="7"/>
  <c r="CB115" i="7"/>
  <c r="CB109" i="7"/>
  <c r="CB104" i="7"/>
  <c r="CB103" i="7"/>
  <c r="CB94" i="7"/>
  <c r="CB93" i="7"/>
  <c r="CB92" i="7"/>
  <c r="CB91" i="7"/>
  <c r="CB90" i="7"/>
  <c r="CB89" i="7"/>
  <c r="CB88" i="7"/>
  <c r="CB87" i="7"/>
  <c r="CB86" i="7"/>
  <c r="CB85" i="7"/>
  <c r="CB84" i="7"/>
  <c r="CB83" i="7"/>
  <c r="CB82" i="7"/>
  <c r="CB81" i="7"/>
  <c r="CB80" i="7"/>
  <c r="CB79" i="7"/>
  <c r="CB78" i="7"/>
  <c r="CB77" i="7"/>
  <c r="CB76" i="7"/>
  <c r="CB75" i="7"/>
  <c r="CB74" i="7"/>
  <c r="CB70" i="7"/>
  <c r="CB68" i="7"/>
  <c r="CB67" i="7"/>
  <c r="CB66" i="7"/>
  <c r="CB65" i="7"/>
  <c r="CB64" i="7"/>
  <c r="CB63" i="7"/>
  <c r="CB62" i="7"/>
  <c r="CB61" i="7"/>
  <c r="CB60" i="7"/>
  <c r="CB59" i="7"/>
  <c r="CB58" i="7"/>
  <c r="CB57" i="7"/>
  <c r="CB56" i="7"/>
  <c r="CB53" i="7"/>
  <c r="CB52" i="7"/>
  <c r="CB51" i="7"/>
  <c r="CB50" i="7"/>
  <c r="CB49" i="7"/>
  <c r="CB48" i="7"/>
  <c r="CB47" i="7"/>
  <c r="CB44" i="7"/>
  <c r="CB40" i="7"/>
  <c r="CB39" i="7"/>
  <c r="CB38" i="7"/>
  <c r="CB36" i="7"/>
  <c r="CB35" i="7"/>
  <c r="CB34" i="7"/>
  <c r="CB33" i="7"/>
  <c r="CB32" i="7"/>
  <c r="CB31" i="7"/>
  <c r="CB30" i="7"/>
  <c r="CB29" i="7"/>
  <c r="CB28" i="7"/>
  <c r="CB27" i="7"/>
  <c r="CB26" i="7"/>
  <c r="CB25" i="7"/>
  <c r="CB24" i="7"/>
  <c r="CB23" i="7"/>
  <c r="CB22" i="7"/>
  <c r="CB21" i="7"/>
  <c r="CB20" i="7"/>
  <c r="CB19" i="7"/>
  <c r="CB18" i="7"/>
  <c r="CB17" i="7"/>
  <c r="CB16" i="7"/>
  <c r="CB15" i="7"/>
  <c r="CB14" i="7"/>
  <c r="CB13" i="7"/>
  <c r="CB12" i="7"/>
  <c r="CB11" i="7"/>
  <c r="CB9" i="7"/>
  <c r="CB8" i="7"/>
  <c r="BQ168" i="7"/>
  <c r="BQ167" i="7"/>
  <c r="BQ166" i="7"/>
  <c r="BQ165" i="7"/>
  <c r="BQ164" i="7"/>
  <c r="BQ163" i="7"/>
  <c r="BQ162" i="7"/>
  <c r="BQ161" i="7"/>
  <c r="BQ160" i="7"/>
  <c r="BQ159" i="7"/>
  <c r="BQ158" i="7"/>
  <c r="BQ157" i="7"/>
  <c r="BQ156" i="7"/>
  <c r="BQ155" i="7"/>
  <c r="BQ154" i="7"/>
  <c r="BQ153" i="7"/>
  <c r="BQ152" i="7"/>
  <c r="BQ151" i="7"/>
  <c r="BQ150" i="7"/>
  <c r="BQ149" i="7"/>
  <c r="BQ148" i="7"/>
  <c r="BQ147" i="7"/>
  <c r="BQ146" i="7"/>
  <c r="BQ145" i="7"/>
  <c r="BQ144" i="7"/>
  <c r="BQ143" i="7"/>
  <c r="BQ142" i="7"/>
  <c r="BQ141" i="7"/>
  <c r="BQ140" i="7"/>
  <c r="BQ139" i="7"/>
  <c r="BQ138" i="7"/>
  <c r="BQ137" i="7"/>
  <c r="BQ136" i="7"/>
  <c r="BQ135" i="7"/>
  <c r="BQ131" i="7"/>
  <c r="BQ130" i="7"/>
  <c r="BQ129" i="7"/>
  <c r="BQ128" i="7"/>
  <c r="BQ124" i="7"/>
  <c r="BQ123" i="7"/>
  <c r="BQ120" i="7"/>
  <c r="BQ119" i="7"/>
  <c r="BQ118" i="7"/>
  <c r="BQ117" i="7"/>
  <c r="BQ116" i="7"/>
  <c r="BQ115" i="7"/>
  <c r="BQ109" i="7"/>
  <c r="BQ104" i="7"/>
  <c r="BQ103" i="7"/>
  <c r="BQ94" i="7"/>
  <c r="BQ93" i="7"/>
  <c r="BQ92" i="7"/>
  <c r="BQ91" i="7"/>
  <c r="BQ90" i="7"/>
  <c r="BQ89" i="7"/>
  <c r="BQ88" i="7"/>
  <c r="BQ87" i="7"/>
  <c r="BQ86" i="7"/>
  <c r="BQ85" i="7"/>
  <c r="BQ84" i="7"/>
  <c r="BQ83" i="7"/>
  <c r="BQ82" i="7"/>
  <c r="BQ81" i="7"/>
  <c r="BQ80" i="7"/>
  <c r="BQ79" i="7"/>
  <c r="BQ78" i="7"/>
  <c r="BQ77" i="7"/>
  <c r="BQ76" i="7"/>
  <c r="BQ75" i="7"/>
  <c r="BQ74" i="7"/>
  <c r="BQ70" i="7"/>
  <c r="BQ68" i="7"/>
  <c r="BQ67" i="7"/>
  <c r="BQ66" i="7"/>
  <c r="BQ65" i="7"/>
  <c r="BQ64" i="7"/>
  <c r="BQ63" i="7"/>
  <c r="BQ62" i="7"/>
  <c r="BQ61" i="7"/>
  <c r="BQ60" i="7"/>
  <c r="BQ59" i="7"/>
  <c r="BQ58" i="7"/>
  <c r="BQ57" i="7"/>
  <c r="BQ56" i="7"/>
  <c r="BQ53" i="7"/>
  <c r="BQ52" i="7"/>
  <c r="BQ51" i="7"/>
  <c r="BQ50" i="7"/>
  <c r="BQ49" i="7"/>
  <c r="BQ48" i="7"/>
  <c r="BQ47" i="7"/>
  <c r="BQ44" i="7"/>
  <c r="BQ40" i="7"/>
  <c r="BQ39" i="7"/>
  <c r="BQ38" i="7"/>
  <c r="BQ36" i="7"/>
  <c r="BQ35" i="7"/>
  <c r="BQ34" i="7"/>
  <c r="BQ33" i="7"/>
  <c r="BQ32" i="7"/>
  <c r="BQ31" i="7"/>
  <c r="BQ30" i="7"/>
  <c r="BQ29" i="7"/>
  <c r="BQ28" i="7"/>
  <c r="BQ27" i="7"/>
  <c r="BQ26" i="7"/>
  <c r="BQ25" i="7"/>
  <c r="BQ24" i="7"/>
  <c r="BQ23" i="7"/>
  <c r="BQ22" i="7"/>
  <c r="BQ21" i="7"/>
  <c r="BQ20" i="7"/>
  <c r="BQ19" i="7"/>
  <c r="BQ18" i="7"/>
  <c r="BQ17" i="7"/>
  <c r="BQ16" i="7"/>
  <c r="BQ15" i="7"/>
  <c r="BQ14" i="7"/>
  <c r="BQ13" i="7"/>
  <c r="BQ12" i="7"/>
  <c r="BQ11" i="7"/>
  <c r="BQ9" i="7"/>
  <c r="BQ8" i="7"/>
  <c r="BF168" i="7"/>
  <c r="BF167" i="7"/>
  <c r="BF166" i="7"/>
  <c r="BF165" i="7"/>
  <c r="BF164" i="7"/>
  <c r="BF163" i="7"/>
  <c r="BF162" i="7"/>
  <c r="BF161" i="7"/>
  <c r="BF160" i="7"/>
  <c r="BF159" i="7"/>
  <c r="BF158" i="7"/>
  <c r="BF157" i="7"/>
  <c r="BF156" i="7"/>
  <c r="BF155" i="7"/>
  <c r="BF154" i="7"/>
  <c r="BF153" i="7"/>
  <c r="BF152" i="7"/>
  <c r="BF151" i="7"/>
  <c r="BF150" i="7"/>
  <c r="BF149" i="7"/>
  <c r="BF148" i="7"/>
  <c r="BF147" i="7"/>
  <c r="BF146" i="7"/>
  <c r="BF145" i="7"/>
  <c r="BF144" i="7"/>
  <c r="BF143" i="7"/>
  <c r="BF142" i="7"/>
  <c r="BF141" i="7"/>
  <c r="BF140" i="7"/>
  <c r="BF139" i="7"/>
  <c r="BF138" i="7"/>
  <c r="BF137" i="7"/>
  <c r="BF136" i="7"/>
  <c r="BF135" i="7"/>
  <c r="BF131" i="7"/>
  <c r="BF130" i="7"/>
  <c r="BF129" i="7"/>
  <c r="BF128" i="7"/>
  <c r="BF124" i="7"/>
  <c r="BF123" i="7"/>
  <c r="BF120" i="7"/>
  <c r="BF119" i="7"/>
  <c r="BF118" i="7"/>
  <c r="BF117" i="7"/>
  <c r="BF116" i="7"/>
  <c r="BF115" i="7"/>
  <c r="BF109" i="7"/>
  <c r="BF104" i="7"/>
  <c r="BF103" i="7"/>
  <c r="BF94" i="7"/>
  <c r="BF93" i="7"/>
  <c r="BF92" i="7"/>
  <c r="BF91" i="7"/>
  <c r="BF90" i="7"/>
  <c r="BF89" i="7"/>
  <c r="BF88" i="7"/>
  <c r="BF87" i="7"/>
  <c r="BF86" i="7"/>
  <c r="BF85" i="7"/>
  <c r="BF84" i="7"/>
  <c r="BF83" i="7"/>
  <c r="BF82" i="7"/>
  <c r="BF81" i="7"/>
  <c r="BF80" i="7"/>
  <c r="BF79" i="7"/>
  <c r="BF78" i="7"/>
  <c r="BF77" i="7"/>
  <c r="BF76" i="7"/>
  <c r="BF75" i="7"/>
  <c r="BF74" i="7"/>
  <c r="BF70" i="7"/>
  <c r="BF68" i="7"/>
  <c r="BF67" i="7"/>
  <c r="BF66" i="7"/>
  <c r="BF65" i="7"/>
  <c r="BF64" i="7"/>
  <c r="BF63" i="7"/>
  <c r="BF62" i="7"/>
  <c r="BF61" i="7"/>
  <c r="BF60" i="7"/>
  <c r="BF59" i="7"/>
  <c r="BF58" i="7"/>
  <c r="BF57" i="7"/>
  <c r="BF56" i="7"/>
  <c r="BF53" i="7"/>
  <c r="BF52" i="7"/>
  <c r="BF51" i="7"/>
  <c r="BF50" i="7"/>
  <c r="BF49" i="7"/>
  <c r="BF48" i="7"/>
  <c r="BF47" i="7"/>
  <c r="BF44" i="7"/>
  <c r="BF40" i="7"/>
  <c r="BF39" i="7"/>
  <c r="BF38" i="7"/>
  <c r="BF36" i="7"/>
  <c r="BF35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F13" i="7"/>
  <c r="BF12" i="7"/>
  <c r="BF11" i="7"/>
  <c r="BF9" i="7"/>
  <c r="BF8" i="7"/>
  <c r="AU168" i="7"/>
  <c r="AU167" i="7"/>
  <c r="AU166" i="7"/>
  <c r="AU165" i="7"/>
  <c r="AU164" i="7"/>
  <c r="AU163" i="7"/>
  <c r="AU162" i="7"/>
  <c r="AU161" i="7"/>
  <c r="AU160" i="7"/>
  <c r="AU159" i="7"/>
  <c r="AU158" i="7"/>
  <c r="AU157" i="7"/>
  <c r="AU156" i="7"/>
  <c r="AU155" i="7"/>
  <c r="AU154" i="7"/>
  <c r="AU153" i="7"/>
  <c r="AU152" i="7"/>
  <c r="AU151" i="7"/>
  <c r="AU150" i="7"/>
  <c r="AU149" i="7"/>
  <c r="AU148" i="7"/>
  <c r="AU147" i="7"/>
  <c r="AU146" i="7"/>
  <c r="AU145" i="7"/>
  <c r="AU144" i="7"/>
  <c r="AU143" i="7"/>
  <c r="AU142" i="7"/>
  <c r="AU141" i="7"/>
  <c r="AU140" i="7"/>
  <c r="AU139" i="7"/>
  <c r="AU138" i="7"/>
  <c r="AU137" i="7"/>
  <c r="AU136" i="7"/>
  <c r="AU135" i="7"/>
  <c r="AU131" i="7"/>
  <c r="AU130" i="7"/>
  <c r="AU129" i="7"/>
  <c r="AU128" i="7"/>
  <c r="AU124" i="7"/>
  <c r="AU123" i="7"/>
  <c r="AU120" i="7"/>
  <c r="AU119" i="7"/>
  <c r="AU118" i="7"/>
  <c r="AU117" i="7"/>
  <c r="AU116" i="7"/>
  <c r="AU115" i="7"/>
  <c r="AU109" i="7"/>
  <c r="AU104" i="7"/>
  <c r="AU103" i="7"/>
  <c r="AU94" i="7"/>
  <c r="AU93" i="7"/>
  <c r="AU92" i="7"/>
  <c r="AU91" i="7"/>
  <c r="AU90" i="7"/>
  <c r="AU89" i="7"/>
  <c r="AU88" i="7"/>
  <c r="AU87" i="7"/>
  <c r="AU86" i="7"/>
  <c r="AU85" i="7"/>
  <c r="AU84" i="7"/>
  <c r="AU83" i="7"/>
  <c r="AU82" i="7"/>
  <c r="AU81" i="7"/>
  <c r="AU80" i="7"/>
  <c r="AU79" i="7"/>
  <c r="AU78" i="7"/>
  <c r="AU77" i="7"/>
  <c r="AU76" i="7"/>
  <c r="AU75" i="7"/>
  <c r="AU74" i="7"/>
  <c r="AU70" i="7"/>
  <c r="AU68" i="7"/>
  <c r="AU67" i="7"/>
  <c r="AU66" i="7"/>
  <c r="AU65" i="7"/>
  <c r="AU64" i="7"/>
  <c r="AU63" i="7"/>
  <c r="AU62" i="7"/>
  <c r="AU61" i="7"/>
  <c r="AU60" i="7"/>
  <c r="AU59" i="7"/>
  <c r="AU58" i="7"/>
  <c r="AU57" i="7"/>
  <c r="AU56" i="7"/>
  <c r="AU53" i="7"/>
  <c r="AU52" i="7"/>
  <c r="AU51" i="7"/>
  <c r="AU50" i="7"/>
  <c r="AU49" i="7"/>
  <c r="AU48" i="7"/>
  <c r="AU47" i="7"/>
  <c r="AU44" i="7"/>
  <c r="AU40" i="7"/>
  <c r="AU39" i="7"/>
  <c r="AU38" i="7"/>
  <c r="AU36" i="7"/>
  <c r="AU35" i="7"/>
  <c r="AU34" i="7"/>
  <c r="AU33" i="7"/>
  <c r="AU32" i="7"/>
  <c r="AU31" i="7"/>
  <c r="AU30" i="7"/>
  <c r="AU29" i="7"/>
  <c r="AU28" i="7"/>
  <c r="AU27" i="7"/>
  <c r="AU26" i="7"/>
  <c r="AU25" i="7"/>
  <c r="AU24" i="7"/>
  <c r="AU23" i="7"/>
  <c r="AU22" i="7"/>
  <c r="AU21" i="7"/>
  <c r="AU20" i="7"/>
  <c r="AU19" i="7"/>
  <c r="AU18" i="7"/>
  <c r="AU17" i="7"/>
  <c r="AU16" i="7"/>
  <c r="AU15" i="7"/>
  <c r="AU14" i="7"/>
  <c r="AU13" i="7"/>
  <c r="AU12" i="7"/>
  <c r="AU11" i="7"/>
  <c r="AU9" i="7"/>
  <c r="AU8" i="7"/>
  <c r="AJ168" i="7"/>
  <c r="AJ167" i="7"/>
  <c r="AJ166" i="7"/>
  <c r="AJ165" i="7"/>
  <c r="AJ164" i="7"/>
  <c r="AJ163" i="7"/>
  <c r="AJ162" i="7"/>
  <c r="AJ161" i="7"/>
  <c r="AJ160" i="7"/>
  <c r="AJ159" i="7"/>
  <c r="AJ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1" i="7"/>
  <c r="AJ130" i="7"/>
  <c r="AJ129" i="7"/>
  <c r="AJ128" i="7"/>
  <c r="AJ124" i="7"/>
  <c r="AJ123" i="7"/>
  <c r="AJ120" i="7"/>
  <c r="AJ119" i="7"/>
  <c r="AJ118" i="7"/>
  <c r="AJ117" i="7"/>
  <c r="AJ116" i="7"/>
  <c r="AJ115" i="7"/>
  <c r="AJ109" i="7"/>
  <c r="AJ104" i="7"/>
  <c r="AJ103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0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3" i="7"/>
  <c r="AJ52" i="7"/>
  <c r="AJ51" i="7"/>
  <c r="AJ50" i="7"/>
  <c r="AJ49" i="7"/>
  <c r="AJ48" i="7"/>
  <c r="AJ47" i="7"/>
  <c r="AJ44" i="7"/>
  <c r="AJ40" i="7"/>
  <c r="AJ39" i="7"/>
  <c r="AJ38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1" i="7"/>
  <c r="AJ9" i="7"/>
  <c r="AJ8" i="7"/>
  <c r="Y168" i="7"/>
  <c r="Y167" i="7"/>
  <c r="Y166" i="7"/>
  <c r="Y165" i="7"/>
  <c r="Y164" i="7"/>
  <c r="Y163" i="7"/>
  <c r="Y162" i="7"/>
  <c r="Y161" i="7"/>
  <c r="Y160" i="7"/>
  <c r="Y159" i="7"/>
  <c r="Y158" i="7"/>
  <c r="Y157" i="7"/>
  <c r="Y156" i="7"/>
  <c r="Y155" i="7"/>
  <c r="Y154" i="7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1" i="7"/>
  <c r="Y130" i="7"/>
  <c r="Y129" i="7"/>
  <c r="Y128" i="7"/>
  <c r="Y124" i="7"/>
  <c r="Y123" i="7"/>
  <c r="Y120" i="7"/>
  <c r="Y119" i="7"/>
  <c r="Y118" i="7"/>
  <c r="Y117" i="7"/>
  <c r="Y116" i="7"/>
  <c r="Y115" i="7"/>
  <c r="Y109" i="7"/>
  <c r="Y104" i="7"/>
  <c r="Y103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0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3" i="7"/>
  <c r="Y52" i="7"/>
  <c r="Y51" i="7"/>
  <c r="Y50" i="7"/>
  <c r="Y49" i="7"/>
  <c r="Y48" i="7"/>
  <c r="Y47" i="7"/>
  <c r="Y44" i="7"/>
  <c r="Y40" i="7"/>
  <c r="Y39" i="7"/>
  <c r="Y38" i="7"/>
  <c r="Y36" i="7"/>
  <c r="Y35" i="7"/>
  <c r="Y34" i="7"/>
  <c r="Y33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3" i="7"/>
  <c r="Y12" i="7"/>
  <c r="Y11" i="7"/>
  <c r="Y9" i="7"/>
  <c r="Y8" i="7"/>
  <c r="N9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8" i="7"/>
  <c r="N39" i="7"/>
  <c r="N40" i="7"/>
  <c r="N44" i="7"/>
  <c r="N47" i="7"/>
  <c r="N48" i="7"/>
  <c r="N49" i="7"/>
  <c r="N50" i="7"/>
  <c r="N51" i="7"/>
  <c r="N52" i="7"/>
  <c r="N53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70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103" i="7"/>
  <c r="N104" i="7"/>
  <c r="N109" i="7"/>
  <c r="N115" i="7"/>
  <c r="N116" i="7"/>
  <c r="N117" i="7"/>
  <c r="N118" i="7"/>
  <c r="N119" i="7"/>
  <c r="N120" i="7"/>
  <c r="N123" i="7"/>
  <c r="N124" i="7"/>
  <c r="N128" i="7"/>
  <c r="N129" i="7"/>
  <c r="N130" i="7"/>
  <c r="N131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6" i="7"/>
  <c r="F97" i="7"/>
  <c r="F99" i="7"/>
  <c r="F100" i="7"/>
  <c r="F101" i="7"/>
  <c r="F102" i="7"/>
  <c r="F103" i="7"/>
  <c r="F104" i="7"/>
  <c r="F105" i="7"/>
  <c r="F107" i="7"/>
  <c r="F109" i="7"/>
  <c r="F110" i="7"/>
  <c r="F111" i="7"/>
  <c r="F112" i="7"/>
  <c r="F113" i="7"/>
  <c r="F115" i="7"/>
  <c r="F116" i="7"/>
  <c r="F117" i="7"/>
  <c r="F118" i="7"/>
  <c r="F119" i="7"/>
  <c r="F120" i="7"/>
  <c r="F121" i="7"/>
  <c r="F123" i="7"/>
  <c r="F124" i="7"/>
  <c r="F125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6" i="7"/>
  <c r="Q97" i="7"/>
  <c r="Q99" i="7"/>
  <c r="Q100" i="7"/>
  <c r="Q101" i="7"/>
  <c r="Q102" i="7"/>
  <c r="Q103" i="7"/>
  <c r="Q104" i="7"/>
  <c r="Q105" i="7"/>
  <c r="Q107" i="7"/>
  <c r="Q109" i="7"/>
  <c r="Q110" i="7"/>
  <c r="Q111" i="7"/>
  <c r="Q112" i="7"/>
  <c r="Q113" i="7"/>
  <c r="Q115" i="7"/>
  <c r="Q116" i="7"/>
  <c r="Q117" i="7"/>
  <c r="Q118" i="7"/>
  <c r="Q119" i="7"/>
  <c r="Q120" i="7"/>
  <c r="Q121" i="7"/>
  <c r="Q123" i="7"/>
  <c r="Q124" i="7"/>
  <c r="Q125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6" i="7"/>
  <c r="AB97" i="7"/>
  <c r="AB99" i="7"/>
  <c r="AB100" i="7"/>
  <c r="AB101" i="7"/>
  <c r="AB102" i="7"/>
  <c r="AB103" i="7"/>
  <c r="AB104" i="7"/>
  <c r="AB105" i="7"/>
  <c r="AB107" i="7"/>
  <c r="AB109" i="7"/>
  <c r="AB110" i="7"/>
  <c r="AB111" i="7"/>
  <c r="AB112" i="7"/>
  <c r="AB113" i="7"/>
  <c r="AB115" i="7"/>
  <c r="AB116" i="7"/>
  <c r="AB117" i="7"/>
  <c r="AB118" i="7"/>
  <c r="AB119" i="7"/>
  <c r="AB120" i="7"/>
  <c r="AB121" i="7"/>
  <c r="AB123" i="7"/>
  <c r="AB124" i="7"/>
  <c r="AB125" i="7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70" i="7"/>
  <c r="AM71" i="7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M93" i="7"/>
  <c r="AM94" i="7"/>
  <c r="AM96" i="7"/>
  <c r="AM97" i="7"/>
  <c r="AM99" i="7"/>
  <c r="AM100" i="7"/>
  <c r="AM101" i="7"/>
  <c r="AM102" i="7"/>
  <c r="AM103" i="7"/>
  <c r="AM104" i="7"/>
  <c r="AM105" i="7"/>
  <c r="AM107" i="7"/>
  <c r="AM109" i="7"/>
  <c r="AM110" i="7"/>
  <c r="AM111" i="7"/>
  <c r="AM112" i="7"/>
  <c r="AM113" i="7"/>
  <c r="AM115" i="7"/>
  <c r="AM116" i="7"/>
  <c r="AM117" i="7"/>
  <c r="AM118" i="7"/>
  <c r="AM119" i="7"/>
  <c r="AM120" i="7"/>
  <c r="AM121" i="7"/>
  <c r="AM123" i="7"/>
  <c r="AM124" i="7"/>
  <c r="AM125" i="7"/>
  <c r="AM127" i="7"/>
  <c r="AM128" i="7"/>
  <c r="AM129" i="7"/>
  <c r="AM130" i="7"/>
  <c r="AM131" i="7"/>
  <c r="AM132" i="7"/>
  <c r="AM133" i="7"/>
  <c r="AM134" i="7"/>
  <c r="AM135" i="7"/>
  <c r="AM136" i="7"/>
  <c r="AM137" i="7"/>
  <c r="AM138" i="7"/>
  <c r="AM139" i="7"/>
  <c r="AM140" i="7"/>
  <c r="AM141" i="7"/>
  <c r="AM142" i="7"/>
  <c r="AM143" i="7"/>
  <c r="AM144" i="7"/>
  <c r="AM145" i="7"/>
  <c r="AM146" i="7"/>
  <c r="AM147" i="7"/>
  <c r="AM148" i="7"/>
  <c r="AM149" i="7"/>
  <c r="AM150" i="7"/>
  <c r="AM151" i="7"/>
  <c r="AM152" i="7"/>
  <c r="AM153" i="7"/>
  <c r="AM154" i="7"/>
  <c r="AM155" i="7"/>
  <c r="AM156" i="7"/>
  <c r="AM157" i="7"/>
  <c r="AM158" i="7"/>
  <c r="AM159" i="7"/>
  <c r="AM160" i="7"/>
  <c r="AM161" i="7"/>
  <c r="AM162" i="7"/>
  <c r="AM163" i="7"/>
  <c r="AM164" i="7"/>
  <c r="AM165" i="7"/>
  <c r="AM166" i="7"/>
  <c r="AM167" i="7"/>
  <c r="AM168" i="7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29" i="7"/>
  <c r="AX30" i="7"/>
  <c r="AX31" i="7"/>
  <c r="AX32" i="7"/>
  <c r="AX33" i="7"/>
  <c r="AX34" i="7"/>
  <c r="AX35" i="7"/>
  <c r="AX36" i="7"/>
  <c r="AX38" i="7"/>
  <c r="AX39" i="7"/>
  <c r="AX40" i="7"/>
  <c r="AX41" i="7"/>
  <c r="AX42" i="7"/>
  <c r="AX43" i="7"/>
  <c r="AX44" i="7"/>
  <c r="AX45" i="7"/>
  <c r="AX46" i="7"/>
  <c r="AX47" i="7"/>
  <c r="AX48" i="7"/>
  <c r="AX49" i="7"/>
  <c r="AX50" i="7"/>
  <c r="AX51" i="7"/>
  <c r="AX52" i="7"/>
  <c r="AX53" i="7"/>
  <c r="AX54" i="7"/>
  <c r="AX55" i="7"/>
  <c r="AX56" i="7"/>
  <c r="AX57" i="7"/>
  <c r="AX58" i="7"/>
  <c r="AX59" i="7"/>
  <c r="AX60" i="7"/>
  <c r="AX61" i="7"/>
  <c r="AX62" i="7"/>
  <c r="AX63" i="7"/>
  <c r="AX64" i="7"/>
  <c r="AX65" i="7"/>
  <c r="AX66" i="7"/>
  <c r="AX67" i="7"/>
  <c r="AX68" i="7"/>
  <c r="AX70" i="7"/>
  <c r="AX71" i="7"/>
  <c r="AX72" i="7"/>
  <c r="AX73" i="7"/>
  <c r="AX74" i="7"/>
  <c r="AX75" i="7"/>
  <c r="AX76" i="7"/>
  <c r="AX77" i="7"/>
  <c r="AX78" i="7"/>
  <c r="AX79" i="7"/>
  <c r="AX80" i="7"/>
  <c r="AX81" i="7"/>
  <c r="AX82" i="7"/>
  <c r="AX83" i="7"/>
  <c r="AX84" i="7"/>
  <c r="AX85" i="7"/>
  <c r="AX86" i="7"/>
  <c r="AX87" i="7"/>
  <c r="AX88" i="7"/>
  <c r="AX89" i="7"/>
  <c r="AX90" i="7"/>
  <c r="AX91" i="7"/>
  <c r="AX92" i="7"/>
  <c r="AX93" i="7"/>
  <c r="AX94" i="7"/>
  <c r="AX96" i="7"/>
  <c r="AX97" i="7"/>
  <c r="AX99" i="7"/>
  <c r="AX100" i="7"/>
  <c r="AX101" i="7"/>
  <c r="AX102" i="7"/>
  <c r="AX103" i="7"/>
  <c r="AX104" i="7"/>
  <c r="AX105" i="7"/>
  <c r="AX107" i="7"/>
  <c r="AX109" i="7"/>
  <c r="AX110" i="7"/>
  <c r="AX111" i="7"/>
  <c r="AX112" i="7"/>
  <c r="AX113" i="7"/>
  <c r="AX115" i="7"/>
  <c r="AX116" i="7"/>
  <c r="AX117" i="7"/>
  <c r="AX118" i="7"/>
  <c r="AX119" i="7"/>
  <c r="AX120" i="7"/>
  <c r="AX121" i="7"/>
  <c r="AX123" i="7"/>
  <c r="AX124" i="7"/>
  <c r="AX125" i="7"/>
  <c r="AX127" i="7"/>
  <c r="AX128" i="7"/>
  <c r="AX129" i="7"/>
  <c r="AX130" i="7"/>
  <c r="AX131" i="7"/>
  <c r="AX132" i="7"/>
  <c r="AX133" i="7"/>
  <c r="AX134" i="7"/>
  <c r="AX135" i="7"/>
  <c r="AX136" i="7"/>
  <c r="AX137" i="7"/>
  <c r="AX138" i="7"/>
  <c r="AX139" i="7"/>
  <c r="AX140" i="7"/>
  <c r="AX141" i="7"/>
  <c r="AX142" i="7"/>
  <c r="AX143" i="7"/>
  <c r="AX144" i="7"/>
  <c r="AX145" i="7"/>
  <c r="AX146" i="7"/>
  <c r="AX147" i="7"/>
  <c r="AX148" i="7"/>
  <c r="AX149" i="7"/>
  <c r="AX150" i="7"/>
  <c r="AX151" i="7"/>
  <c r="AX152" i="7"/>
  <c r="AX153" i="7"/>
  <c r="AX154" i="7"/>
  <c r="AX155" i="7"/>
  <c r="AX156" i="7"/>
  <c r="AX157" i="7"/>
  <c r="AX158" i="7"/>
  <c r="AX159" i="7"/>
  <c r="AX160" i="7"/>
  <c r="AX161" i="7"/>
  <c r="AX162" i="7"/>
  <c r="AX163" i="7"/>
  <c r="AX164" i="7"/>
  <c r="AX165" i="7"/>
  <c r="AX166" i="7"/>
  <c r="AX167" i="7"/>
  <c r="AX168" i="7"/>
  <c r="BI9" i="7"/>
  <c r="BI10" i="7"/>
  <c r="BI11" i="7"/>
  <c r="BI12" i="7"/>
  <c r="BI13" i="7"/>
  <c r="BI14" i="7"/>
  <c r="BI15" i="7"/>
  <c r="BI16" i="7"/>
  <c r="BI17" i="7"/>
  <c r="BI18" i="7"/>
  <c r="BI19" i="7"/>
  <c r="BI20" i="7"/>
  <c r="BI21" i="7"/>
  <c r="BI22" i="7"/>
  <c r="BI23" i="7"/>
  <c r="BI24" i="7"/>
  <c r="BI25" i="7"/>
  <c r="BI26" i="7"/>
  <c r="BI27" i="7"/>
  <c r="BI28" i="7"/>
  <c r="BI29" i="7"/>
  <c r="BI30" i="7"/>
  <c r="BI31" i="7"/>
  <c r="BI32" i="7"/>
  <c r="BI33" i="7"/>
  <c r="BI34" i="7"/>
  <c r="BI35" i="7"/>
  <c r="BI36" i="7"/>
  <c r="BI38" i="7"/>
  <c r="BI39" i="7"/>
  <c r="BI40" i="7"/>
  <c r="BI41" i="7"/>
  <c r="BI42" i="7"/>
  <c r="BI43" i="7"/>
  <c r="BI44" i="7"/>
  <c r="BI45" i="7"/>
  <c r="BI46" i="7"/>
  <c r="BI47" i="7"/>
  <c r="BI48" i="7"/>
  <c r="BI49" i="7"/>
  <c r="BI50" i="7"/>
  <c r="BI51" i="7"/>
  <c r="BI52" i="7"/>
  <c r="BI53" i="7"/>
  <c r="BI54" i="7"/>
  <c r="BI55" i="7"/>
  <c r="BI56" i="7"/>
  <c r="BI57" i="7"/>
  <c r="BI58" i="7"/>
  <c r="BI59" i="7"/>
  <c r="BI60" i="7"/>
  <c r="BI61" i="7"/>
  <c r="BI62" i="7"/>
  <c r="BI63" i="7"/>
  <c r="BI64" i="7"/>
  <c r="BI65" i="7"/>
  <c r="BI66" i="7"/>
  <c r="BI67" i="7"/>
  <c r="BI68" i="7"/>
  <c r="BI70" i="7"/>
  <c r="BI71" i="7"/>
  <c r="BI72" i="7"/>
  <c r="BI73" i="7"/>
  <c r="BI74" i="7"/>
  <c r="BI75" i="7"/>
  <c r="BI76" i="7"/>
  <c r="BI77" i="7"/>
  <c r="BI78" i="7"/>
  <c r="BI79" i="7"/>
  <c r="BI80" i="7"/>
  <c r="BI81" i="7"/>
  <c r="BI82" i="7"/>
  <c r="BI83" i="7"/>
  <c r="BI84" i="7"/>
  <c r="BI85" i="7"/>
  <c r="BI86" i="7"/>
  <c r="BI87" i="7"/>
  <c r="BI88" i="7"/>
  <c r="BI89" i="7"/>
  <c r="BI90" i="7"/>
  <c r="BI91" i="7"/>
  <c r="BI92" i="7"/>
  <c r="BI93" i="7"/>
  <c r="BI94" i="7"/>
  <c r="BI96" i="7"/>
  <c r="BI97" i="7"/>
  <c r="BI99" i="7"/>
  <c r="BI100" i="7"/>
  <c r="BI101" i="7"/>
  <c r="BI102" i="7"/>
  <c r="BI103" i="7"/>
  <c r="BI104" i="7"/>
  <c r="BI105" i="7"/>
  <c r="BI107" i="7"/>
  <c r="BI109" i="7"/>
  <c r="BI110" i="7"/>
  <c r="BI111" i="7"/>
  <c r="BI112" i="7"/>
  <c r="BI113" i="7"/>
  <c r="BI115" i="7"/>
  <c r="BI116" i="7"/>
  <c r="BI117" i="7"/>
  <c r="BI118" i="7"/>
  <c r="BI119" i="7"/>
  <c r="BI120" i="7"/>
  <c r="BI121" i="7"/>
  <c r="BI123" i="7"/>
  <c r="BI124" i="7"/>
  <c r="BI125" i="7"/>
  <c r="BI127" i="7"/>
  <c r="BI128" i="7"/>
  <c r="BI129" i="7"/>
  <c r="BI130" i="7"/>
  <c r="BI131" i="7"/>
  <c r="BI132" i="7"/>
  <c r="BI133" i="7"/>
  <c r="BI134" i="7"/>
  <c r="BI135" i="7"/>
  <c r="BI136" i="7"/>
  <c r="BI137" i="7"/>
  <c r="BI138" i="7"/>
  <c r="BI139" i="7"/>
  <c r="BI140" i="7"/>
  <c r="BI141" i="7"/>
  <c r="BI142" i="7"/>
  <c r="BI143" i="7"/>
  <c r="BI144" i="7"/>
  <c r="BI145" i="7"/>
  <c r="BI146" i="7"/>
  <c r="BI147" i="7"/>
  <c r="BI148" i="7"/>
  <c r="BI149" i="7"/>
  <c r="BI150" i="7"/>
  <c r="BI151" i="7"/>
  <c r="BI152" i="7"/>
  <c r="BI153" i="7"/>
  <c r="BI154" i="7"/>
  <c r="BI155" i="7"/>
  <c r="BI156" i="7"/>
  <c r="BI157" i="7"/>
  <c r="BI158" i="7"/>
  <c r="BI159" i="7"/>
  <c r="BI160" i="7"/>
  <c r="BI161" i="7"/>
  <c r="BI162" i="7"/>
  <c r="BI163" i="7"/>
  <c r="BI164" i="7"/>
  <c r="BI165" i="7"/>
  <c r="BI166" i="7"/>
  <c r="BI167" i="7"/>
  <c r="BI168" i="7"/>
  <c r="BT9" i="7"/>
  <c r="BT11" i="7"/>
  <c r="BT12" i="7"/>
  <c r="BT13" i="7"/>
  <c r="BT14" i="7"/>
  <c r="BT15" i="7"/>
  <c r="BT16" i="7"/>
  <c r="BT17" i="7"/>
  <c r="BT18" i="7"/>
  <c r="BT19" i="7"/>
  <c r="BT20" i="7"/>
  <c r="BT21" i="7"/>
  <c r="BT22" i="7"/>
  <c r="BT23" i="7"/>
  <c r="BT24" i="7"/>
  <c r="BT25" i="7"/>
  <c r="BT26" i="7"/>
  <c r="BT27" i="7"/>
  <c r="BT28" i="7"/>
  <c r="BT29" i="7"/>
  <c r="BT30" i="7"/>
  <c r="BT31" i="7"/>
  <c r="BT32" i="7"/>
  <c r="BT33" i="7"/>
  <c r="BT34" i="7"/>
  <c r="BT35" i="7"/>
  <c r="BT36" i="7"/>
  <c r="BT38" i="7"/>
  <c r="BT39" i="7"/>
  <c r="BT40" i="7"/>
  <c r="BT44" i="7"/>
  <c r="BT47" i="7"/>
  <c r="BT48" i="7"/>
  <c r="BT49" i="7"/>
  <c r="BT50" i="7"/>
  <c r="BT51" i="7"/>
  <c r="BT52" i="7"/>
  <c r="BT53" i="7"/>
  <c r="BT56" i="7"/>
  <c r="BT57" i="7"/>
  <c r="BT58" i="7"/>
  <c r="BT59" i="7"/>
  <c r="BT60" i="7"/>
  <c r="BT61" i="7"/>
  <c r="BT62" i="7"/>
  <c r="BT63" i="7"/>
  <c r="BT64" i="7"/>
  <c r="BT65" i="7"/>
  <c r="BT66" i="7"/>
  <c r="BT67" i="7"/>
  <c r="BT68" i="7"/>
  <c r="BT70" i="7"/>
  <c r="BT74" i="7"/>
  <c r="BT75" i="7"/>
  <c r="BT76" i="7"/>
  <c r="BT77" i="7"/>
  <c r="BT78" i="7"/>
  <c r="BT79" i="7"/>
  <c r="BT80" i="7"/>
  <c r="BT81" i="7"/>
  <c r="BT82" i="7"/>
  <c r="BT83" i="7"/>
  <c r="BT84" i="7"/>
  <c r="BT85" i="7"/>
  <c r="BT86" i="7"/>
  <c r="BT87" i="7"/>
  <c r="BT88" i="7"/>
  <c r="BT89" i="7"/>
  <c r="BT90" i="7"/>
  <c r="BT91" i="7"/>
  <c r="BT92" i="7"/>
  <c r="BT93" i="7"/>
  <c r="BT94" i="7"/>
  <c r="BT103" i="7"/>
  <c r="BT104" i="7"/>
  <c r="BT109" i="7"/>
  <c r="BT115" i="7"/>
  <c r="BT116" i="7"/>
  <c r="BT117" i="7"/>
  <c r="BT118" i="7"/>
  <c r="BT119" i="7"/>
  <c r="BT120" i="7"/>
  <c r="BT123" i="7"/>
  <c r="BT124" i="7"/>
  <c r="BT128" i="7"/>
  <c r="BT129" i="7"/>
  <c r="BT130" i="7"/>
  <c r="BT131" i="7"/>
  <c r="BT135" i="7"/>
  <c r="BT136" i="7"/>
  <c r="BT137" i="7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8" i="7"/>
  <c r="BI8" i="7"/>
  <c r="AX8" i="7"/>
  <c r="AM8" i="7"/>
  <c r="AB8" i="7"/>
  <c r="Q8" i="7"/>
  <c r="BY9" i="7"/>
  <c r="BZ9" i="7"/>
  <c r="BY11" i="7"/>
  <c r="BZ11" i="7"/>
  <c r="BY12" i="7"/>
  <c r="BZ12" i="7"/>
  <c r="BY13" i="7"/>
  <c r="BZ13" i="7"/>
  <c r="BY14" i="7"/>
  <c r="BZ14" i="7"/>
  <c r="BY15" i="7"/>
  <c r="BZ15" i="7"/>
  <c r="BY16" i="7"/>
  <c r="BZ16" i="7"/>
  <c r="BY17" i="7"/>
  <c r="BZ17" i="7"/>
  <c r="BY18" i="7"/>
  <c r="BZ18" i="7"/>
  <c r="BY19" i="7"/>
  <c r="BZ19" i="7"/>
  <c r="BY20" i="7"/>
  <c r="BZ20" i="7"/>
  <c r="BY21" i="7"/>
  <c r="BZ21" i="7"/>
  <c r="BY22" i="7"/>
  <c r="BZ22" i="7"/>
  <c r="BY23" i="7"/>
  <c r="BZ23" i="7"/>
  <c r="BY24" i="7"/>
  <c r="BZ24" i="7"/>
  <c r="BY25" i="7"/>
  <c r="BZ25" i="7"/>
  <c r="BY26" i="7"/>
  <c r="BZ26" i="7"/>
  <c r="BY27" i="7"/>
  <c r="BZ27" i="7"/>
  <c r="BY28" i="7"/>
  <c r="BZ28" i="7"/>
  <c r="BY29" i="7"/>
  <c r="BZ29" i="7"/>
  <c r="BY30" i="7"/>
  <c r="BZ30" i="7"/>
  <c r="BY31" i="7"/>
  <c r="BZ31" i="7"/>
  <c r="BY32" i="7"/>
  <c r="BZ32" i="7"/>
  <c r="BY33" i="7"/>
  <c r="BZ33" i="7"/>
  <c r="BY34" i="7"/>
  <c r="BZ34" i="7"/>
  <c r="BY35" i="7"/>
  <c r="BZ35" i="7"/>
  <c r="BY36" i="7"/>
  <c r="BZ36" i="7"/>
  <c r="BY38" i="7"/>
  <c r="BZ38" i="7"/>
  <c r="BY39" i="7"/>
  <c r="BZ39" i="7"/>
  <c r="BY40" i="7"/>
  <c r="BZ40" i="7"/>
  <c r="BY44" i="7"/>
  <c r="BZ44" i="7"/>
  <c r="BY47" i="7"/>
  <c r="BZ47" i="7"/>
  <c r="BY48" i="7"/>
  <c r="BZ48" i="7"/>
  <c r="BY49" i="7"/>
  <c r="BZ49" i="7"/>
  <c r="BY50" i="7"/>
  <c r="BZ50" i="7"/>
  <c r="BY51" i="7"/>
  <c r="BZ51" i="7"/>
  <c r="BY52" i="7"/>
  <c r="BZ52" i="7"/>
  <c r="BY53" i="7"/>
  <c r="BZ53" i="7"/>
  <c r="BY56" i="7"/>
  <c r="BZ56" i="7"/>
  <c r="BY57" i="7"/>
  <c r="BZ57" i="7"/>
  <c r="BY58" i="7"/>
  <c r="BZ58" i="7"/>
  <c r="BY59" i="7"/>
  <c r="BZ59" i="7"/>
  <c r="BY60" i="7"/>
  <c r="BZ60" i="7"/>
  <c r="BY61" i="7"/>
  <c r="BZ61" i="7"/>
  <c r="BY62" i="7"/>
  <c r="BZ62" i="7"/>
  <c r="BY63" i="7"/>
  <c r="BZ63" i="7"/>
  <c r="BY64" i="7"/>
  <c r="BZ64" i="7"/>
  <c r="BY65" i="7"/>
  <c r="BZ65" i="7"/>
  <c r="BY66" i="7"/>
  <c r="BZ66" i="7"/>
  <c r="BY67" i="7"/>
  <c r="BZ67" i="7"/>
  <c r="BY68" i="7"/>
  <c r="BZ68" i="7"/>
  <c r="BY70" i="7"/>
  <c r="BZ70" i="7"/>
  <c r="BY74" i="7"/>
  <c r="BZ74" i="7"/>
  <c r="BY75" i="7"/>
  <c r="BZ75" i="7"/>
  <c r="BY76" i="7"/>
  <c r="BZ76" i="7"/>
  <c r="BY77" i="7"/>
  <c r="BZ77" i="7"/>
  <c r="BY78" i="7"/>
  <c r="BZ78" i="7"/>
  <c r="BY79" i="7"/>
  <c r="BZ79" i="7"/>
  <c r="BY80" i="7"/>
  <c r="BZ80" i="7"/>
  <c r="BY81" i="7"/>
  <c r="BZ81" i="7"/>
  <c r="BY82" i="7"/>
  <c r="BZ82" i="7"/>
  <c r="BY83" i="7"/>
  <c r="BZ83" i="7"/>
  <c r="BY84" i="7"/>
  <c r="BZ84" i="7"/>
  <c r="BY85" i="7"/>
  <c r="BZ85" i="7"/>
  <c r="BY86" i="7"/>
  <c r="BZ86" i="7"/>
  <c r="BY87" i="7"/>
  <c r="BZ87" i="7"/>
  <c r="BY88" i="7"/>
  <c r="BZ88" i="7"/>
  <c r="BY89" i="7"/>
  <c r="BZ89" i="7"/>
  <c r="BY90" i="7"/>
  <c r="BZ90" i="7"/>
  <c r="BY91" i="7"/>
  <c r="BZ91" i="7"/>
  <c r="BY92" i="7"/>
  <c r="BZ92" i="7"/>
  <c r="BY93" i="7"/>
  <c r="BZ93" i="7"/>
  <c r="BY94" i="7"/>
  <c r="BZ94" i="7"/>
  <c r="BY103" i="7"/>
  <c r="BZ103" i="7"/>
  <c r="BY104" i="7"/>
  <c r="BZ104" i="7"/>
  <c r="BY109" i="7"/>
  <c r="BZ109" i="7"/>
  <c r="BY115" i="7"/>
  <c r="BZ115" i="7"/>
  <c r="BY116" i="7"/>
  <c r="BZ116" i="7"/>
  <c r="BY117" i="7"/>
  <c r="BZ117" i="7"/>
  <c r="BY118" i="7"/>
  <c r="BZ118" i="7"/>
  <c r="BY119" i="7"/>
  <c r="BZ119" i="7"/>
  <c r="BY120" i="7"/>
  <c r="BZ120" i="7"/>
  <c r="BY123" i="7"/>
  <c r="BZ123" i="7"/>
  <c r="BY124" i="7"/>
  <c r="BZ124" i="7"/>
  <c r="BY128" i="7"/>
  <c r="BZ128" i="7"/>
  <c r="BY129" i="7"/>
  <c r="BZ129" i="7"/>
  <c r="BY130" i="7"/>
  <c r="BZ130" i="7"/>
  <c r="BY131" i="7"/>
  <c r="BZ131" i="7"/>
  <c r="BY135" i="7"/>
  <c r="BZ135" i="7"/>
  <c r="BY136" i="7"/>
  <c r="BZ136" i="7"/>
  <c r="BY137" i="7"/>
  <c r="BZ137" i="7"/>
  <c r="BY138" i="7"/>
  <c r="BZ138" i="7"/>
  <c r="BY139" i="7"/>
  <c r="BZ139" i="7"/>
  <c r="BY140" i="7"/>
  <c r="BZ140" i="7"/>
  <c r="BY141" i="7"/>
  <c r="BZ141" i="7"/>
  <c r="BY142" i="7"/>
  <c r="BZ142" i="7"/>
  <c r="BY143" i="7"/>
  <c r="BZ143" i="7"/>
  <c r="BY144" i="7"/>
  <c r="BZ144" i="7"/>
  <c r="BY145" i="7"/>
  <c r="BZ145" i="7"/>
  <c r="BY146" i="7"/>
  <c r="BZ146" i="7"/>
  <c r="BY147" i="7"/>
  <c r="BZ147" i="7"/>
  <c r="BY148" i="7"/>
  <c r="BZ148" i="7"/>
  <c r="BY149" i="7"/>
  <c r="BZ149" i="7"/>
  <c r="BY150" i="7"/>
  <c r="BZ150" i="7"/>
  <c r="BY151" i="7"/>
  <c r="BZ151" i="7"/>
  <c r="BY152" i="7"/>
  <c r="BZ152" i="7"/>
  <c r="BY153" i="7"/>
  <c r="BZ153" i="7"/>
  <c r="BY154" i="7"/>
  <c r="BZ154" i="7"/>
  <c r="BY155" i="7"/>
  <c r="BZ155" i="7"/>
  <c r="BY156" i="7"/>
  <c r="BZ156" i="7"/>
  <c r="BY157" i="7"/>
  <c r="BZ157" i="7"/>
  <c r="BY158" i="7"/>
  <c r="BZ158" i="7"/>
  <c r="BY159" i="7"/>
  <c r="BZ159" i="7"/>
  <c r="BY160" i="7"/>
  <c r="BZ160" i="7"/>
  <c r="BY161" i="7"/>
  <c r="BZ161" i="7"/>
  <c r="BY162" i="7"/>
  <c r="BZ162" i="7"/>
  <c r="BY163" i="7"/>
  <c r="BZ163" i="7"/>
  <c r="BY164" i="7"/>
  <c r="BZ164" i="7"/>
  <c r="BY165" i="7"/>
  <c r="BZ165" i="7"/>
  <c r="BY166" i="7"/>
  <c r="BZ166" i="7"/>
  <c r="BY167" i="7"/>
  <c r="BZ167" i="7"/>
  <c r="BY168" i="7"/>
  <c r="BZ168" i="7"/>
  <c r="BZ8" i="7"/>
  <c r="BY8" i="7"/>
  <c r="BW9" i="7"/>
  <c r="BW11" i="7"/>
  <c r="BW12" i="7"/>
  <c r="BW13" i="7"/>
  <c r="BW14" i="7"/>
  <c r="BW15" i="7"/>
  <c r="BW16" i="7"/>
  <c r="BW17" i="7"/>
  <c r="BW18" i="7"/>
  <c r="BW19" i="7"/>
  <c r="BW20" i="7"/>
  <c r="BW21" i="7"/>
  <c r="BW22" i="7"/>
  <c r="BW23" i="7"/>
  <c r="BW24" i="7"/>
  <c r="BW25" i="7"/>
  <c r="BW26" i="7"/>
  <c r="BW27" i="7"/>
  <c r="BW28" i="7"/>
  <c r="BW29" i="7"/>
  <c r="BW30" i="7"/>
  <c r="BW31" i="7"/>
  <c r="BW32" i="7"/>
  <c r="BW33" i="7"/>
  <c r="BW34" i="7"/>
  <c r="BW35" i="7"/>
  <c r="BW36" i="7"/>
  <c r="BW38" i="7"/>
  <c r="BW39" i="7"/>
  <c r="BW40" i="7"/>
  <c r="BW44" i="7"/>
  <c r="BW47" i="7"/>
  <c r="BW48" i="7"/>
  <c r="BW49" i="7"/>
  <c r="BW50" i="7"/>
  <c r="BW51" i="7"/>
  <c r="BW52" i="7"/>
  <c r="BW53" i="7"/>
  <c r="BW56" i="7"/>
  <c r="BW57" i="7"/>
  <c r="BW58" i="7"/>
  <c r="BW59" i="7"/>
  <c r="BW60" i="7"/>
  <c r="BW61" i="7"/>
  <c r="BW62" i="7"/>
  <c r="BW63" i="7"/>
  <c r="BW64" i="7"/>
  <c r="BW65" i="7"/>
  <c r="BW66" i="7"/>
  <c r="BW67" i="7"/>
  <c r="BW68" i="7"/>
  <c r="BW70" i="7"/>
  <c r="BW74" i="7"/>
  <c r="BW75" i="7"/>
  <c r="BW76" i="7"/>
  <c r="BW77" i="7"/>
  <c r="BW78" i="7"/>
  <c r="BW79" i="7"/>
  <c r="BW80" i="7"/>
  <c r="BW81" i="7"/>
  <c r="BW82" i="7"/>
  <c r="BW83" i="7"/>
  <c r="BW84" i="7"/>
  <c r="BW85" i="7"/>
  <c r="BW86" i="7"/>
  <c r="BW87" i="7"/>
  <c r="BW88" i="7"/>
  <c r="BW89" i="7"/>
  <c r="BW90" i="7"/>
  <c r="BW91" i="7"/>
  <c r="BW92" i="7"/>
  <c r="BW93" i="7"/>
  <c r="BW94" i="7"/>
  <c r="BW103" i="7"/>
  <c r="BW104" i="7"/>
  <c r="BW109" i="7"/>
  <c r="BW115" i="7"/>
  <c r="BW116" i="7"/>
  <c r="BW117" i="7"/>
  <c r="BW118" i="7"/>
  <c r="BW119" i="7"/>
  <c r="BW120" i="7"/>
  <c r="BW123" i="7"/>
  <c r="BW124" i="7"/>
  <c r="BW128" i="7"/>
  <c r="BW129" i="7"/>
  <c r="BW130" i="7"/>
  <c r="BW131" i="7"/>
  <c r="BW135" i="7"/>
  <c r="BW136" i="7"/>
  <c r="BW137" i="7"/>
  <c r="BW138" i="7"/>
  <c r="BW139" i="7"/>
  <c r="BW140" i="7"/>
  <c r="BW141" i="7"/>
  <c r="BW142" i="7"/>
  <c r="BW143" i="7"/>
  <c r="BW144" i="7"/>
  <c r="BW145" i="7"/>
  <c r="BW146" i="7"/>
  <c r="BW147" i="7"/>
  <c r="BW148" i="7"/>
  <c r="BW149" i="7"/>
  <c r="BW150" i="7"/>
  <c r="BW151" i="7"/>
  <c r="BW152" i="7"/>
  <c r="BW153" i="7"/>
  <c r="BW154" i="7"/>
  <c r="BW155" i="7"/>
  <c r="BW156" i="7"/>
  <c r="BW157" i="7"/>
  <c r="BW158" i="7"/>
  <c r="BW159" i="7"/>
  <c r="BW160" i="7"/>
  <c r="BW161" i="7"/>
  <c r="BW162" i="7"/>
  <c r="BW163" i="7"/>
  <c r="BW164" i="7"/>
  <c r="BW165" i="7"/>
  <c r="BW166" i="7"/>
  <c r="BW167" i="7"/>
  <c r="BW168" i="7"/>
  <c r="BR9" i="7"/>
  <c r="BS9" i="7"/>
  <c r="BV9" i="7" s="1"/>
  <c r="BR11" i="7"/>
  <c r="BS11" i="7"/>
  <c r="BV11" i="7" s="1"/>
  <c r="BR12" i="7"/>
  <c r="BS12" i="7"/>
  <c r="BV12" i="7" s="1"/>
  <c r="BR13" i="7"/>
  <c r="BS13" i="7"/>
  <c r="BV13" i="7" s="1"/>
  <c r="BR14" i="7"/>
  <c r="BS14" i="7"/>
  <c r="BV14" i="7" s="1"/>
  <c r="BR15" i="7"/>
  <c r="BS15" i="7"/>
  <c r="BV15" i="7" s="1"/>
  <c r="BR16" i="7"/>
  <c r="BS16" i="7"/>
  <c r="BV16" i="7" s="1"/>
  <c r="BR17" i="7"/>
  <c r="BS17" i="7"/>
  <c r="BV17" i="7" s="1"/>
  <c r="BR18" i="7"/>
  <c r="BS18" i="7"/>
  <c r="BV18" i="7" s="1"/>
  <c r="BR19" i="7"/>
  <c r="BS19" i="7"/>
  <c r="BV19" i="7" s="1"/>
  <c r="BR20" i="7"/>
  <c r="BS20" i="7"/>
  <c r="BV20" i="7" s="1"/>
  <c r="BR21" i="7"/>
  <c r="BS21" i="7"/>
  <c r="BV21" i="7" s="1"/>
  <c r="BR22" i="7"/>
  <c r="BS22" i="7"/>
  <c r="BV22" i="7" s="1"/>
  <c r="BR23" i="7"/>
  <c r="BS23" i="7"/>
  <c r="BV23" i="7" s="1"/>
  <c r="BR24" i="7"/>
  <c r="BS24" i="7"/>
  <c r="BV24" i="7" s="1"/>
  <c r="BR25" i="7"/>
  <c r="BS25" i="7"/>
  <c r="BV25" i="7" s="1"/>
  <c r="BR26" i="7"/>
  <c r="BU26" i="7" s="1"/>
  <c r="BS26" i="7"/>
  <c r="BV26" i="7" s="1"/>
  <c r="BR27" i="7"/>
  <c r="BS27" i="7"/>
  <c r="BV27" i="7" s="1"/>
  <c r="BR28" i="7"/>
  <c r="BS28" i="7"/>
  <c r="BV28" i="7" s="1"/>
  <c r="BR29" i="7"/>
  <c r="BS29" i="7"/>
  <c r="BV29" i="7" s="1"/>
  <c r="BR30" i="7"/>
  <c r="BS30" i="7"/>
  <c r="BV30" i="7" s="1"/>
  <c r="BR31" i="7"/>
  <c r="BS31" i="7"/>
  <c r="BV31" i="7" s="1"/>
  <c r="BR32" i="7"/>
  <c r="BS32" i="7"/>
  <c r="BV32" i="7" s="1"/>
  <c r="BR33" i="7"/>
  <c r="BS33" i="7"/>
  <c r="BV33" i="7" s="1"/>
  <c r="BR34" i="7"/>
  <c r="BS34" i="7"/>
  <c r="BV34" i="7" s="1"/>
  <c r="BR35" i="7"/>
  <c r="BS35" i="7"/>
  <c r="BV35" i="7" s="1"/>
  <c r="BR36" i="7"/>
  <c r="BS36" i="7"/>
  <c r="BV36" i="7" s="1"/>
  <c r="BR38" i="7"/>
  <c r="BS38" i="7"/>
  <c r="BV38" i="7" s="1"/>
  <c r="BR39" i="7"/>
  <c r="BS39" i="7"/>
  <c r="BV39" i="7" s="1"/>
  <c r="BR40" i="7"/>
  <c r="BS40" i="7"/>
  <c r="BV40" i="7" s="1"/>
  <c r="BR44" i="7"/>
  <c r="BS44" i="7"/>
  <c r="BV44" i="7" s="1"/>
  <c r="BR47" i="7"/>
  <c r="BS47" i="7"/>
  <c r="BV47" i="7" s="1"/>
  <c r="BR48" i="7"/>
  <c r="BS48" i="7"/>
  <c r="BV48" i="7" s="1"/>
  <c r="BR49" i="7"/>
  <c r="BS49" i="7"/>
  <c r="BV49" i="7" s="1"/>
  <c r="BR50" i="7"/>
  <c r="BS50" i="7"/>
  <c r="BV50" i="7" s="1"/>
  <c r="BR51" i="7"/>
  <c r="BS51" i="7"/>
  <c r="BV51" i="7" s="1"/>
  <c r="BR52" i="7"/>
  <c r="BS52" i="7"/>
  <c r="BV52" i="7" s="1"/>
  <c r="BR53" i="7"/>
  <c r="BS53" i="7"/>
  <c r="BV53" i="7" s="1"/>
  <c r="BR56" i="7"/>
  <c r="BS56" i="7"/>
  <c r="BV56" i="7" s="1"/>
  <c r="BR57" i="7"/>
  <c r="BS57" i="7"/>
  <c r="BV57" i="7" s="1"/>
  <c r="BR58" i="7"/>
  <c r="BS58" i="7"/>
  <c r="BV58" i="7" s="1"/>
  <c r="BR59" i="7"/>
  <c r="BS59" i="7"/>
  <c r="BV59" i="7" s="1"/>
  <c r="BR60" i="7"/>
  <c r="BS60" i="7"/>
  <c r="BV60" i="7" s="1"/>
  <c r="BR61" i="7"/>
  <c r="BS61" i="7"/>
  <c r="BV61" i="7" s="1"/>
  <c r="BR62" i="7"/>
  <c r="BS62" i="7"/>
  <c r="BV62" i="7" s="1"/>
  <c r="BR63" i="7"/>
  <c r="BS63" i="7"/>
  <c r="BV63" i="7" s="1"/>
  <c r="BR64" i="7"/>
  <c r="BS64" i="7"/>
  <c r="BV64" i="7" s="1"/>
  <c r="BR65" i="7"/>
  <c r="BS65" i="7"/>
  <c r="BV65" i="7" s="1"/>
  <c r="BR66" i="7"/>
  <c r="BS66" i="7"/>
  <c r="BV66" i="7" s="1"/>
  <c r="BR67" i="7"/>
  <c r="BS67" i="7"/>
  <c r="BV67" i="7" s="1"/>
  <c r="BR68" i="7"/>
  <c r="BS68" i="7"/>
  <c r="BV68" i="7" s="1"/>
  <c r="BR70" i="7"/>
  <c r="BS70" i="7"/>
  <c r="BV70" i="7" s="1"/>
  <c r="BR74" i="7"/>
  <c r="BS74" i="7"/>
  <c r="BV74" i="7" s="1"/>
  <c r="BR75" i="7"/>
  <c r="BS75" i="7"/>
  <c r="BV75" i="7" s="1"/>
  <c r="BR76" i="7"/>
  <c r="BS76" i="7"/>
  <c r="BV76" i="7" s="1"/>
  <c r="BR77" i="7"/>
  <c r="BS77" i="7"/>
  <c r="BV77" i="7" s="1"/>
  <c r="BR78" i="7"/>
  <c r="BS78" i="7"/>
  <c r="BV78" i="7" s="1"/>
  <c r="BR79" i="7"/>
  <c r="BS79" i="7"/>
  <c r="BV79" i="7" s="1"/>
  <c r="BR80" i="7"/>
  <c r="BS80" i="7"/>
  <c r="BV80" i="7" s="1"/>
  <c r="BR81" i="7"/>
  <c r="BS81" i="7"/>
  <c r="BV81" i="7" s="1"/>
  <c r="BR82" i="7"/>
  <c r="BS82" i="7"/>
  <c r="BV82" i="7" s="1"/>
  <c r="BR83" i="7"/>
  <c r="BS83" i="7"/>
  <c r="BV83" i="7" s="1"/>
  <c r="BR84" i="7"/>
  <c r="BS84" i="7"/>
  <c r="BV84" i="7" s="1"/>
  <c r="BR85" i="7"/>
  <c r="BS85" i="7"/>
  <c r="BV85" i="7" s="1"/>
  <c r="BR86" i="7"/>
  <c r="BU86" i="7" s="1"/>
  <c r="BS86" i="7"/>
  <c r="BV86" i="7" s="1"/>
  <c r="BR87" i="7"/>
  <c r="BS87" i="7"/>
  <c r="BV87" i="7" s="1"/>
  <c r="BR88" i="7"/>
  <c r="BS88" i="7"/>
  <c r="BV88" i="7" s="1"/>
  <c r="BR89" i="7"/>
  <c r="BS89" i="7"/>
  <c r="BV89" i="7" s="1"/>
  <c r="BR90" i="7"/>
  <c r="BS90" i="7"/>
  <c r="BV90" i="7" s="1"/>
  <c r="BR91" i="7"/>
  <c r="BS91" i="7"/>
  <c r="BV91" i="7" s="1"/>
  <c r="BR92" i="7"/>
  <c r="BS92" i="7"/>
  <c r="BV92" i="7" s="1"/>
  <c r="BR93" i="7"/>
  <c r="BS93" i="7"/>
  <c r="BV93" i="7" s="1"/>
  <c r="BR94" i="7"/>
  <c r="BU94" i="7" s="1"/>
  <c r="BS94" i="7"/>
  <c r="BV94" i="7" s="1"/>
  <c r="BR103" i="7"/>
  <c r="BS103" i="7"/>
  <c r="BV103" i="7" s="1"/>
  <c r="BR104" i="7"/>
  <c r="BS104" i="7"/>
  <c r="BV104" i="7" s="1"/>
  <c r="BR109" i="7"/>
  <c r="BS109" i="7"/>
  <c r="BV109" i="7" s="1"/>
  <c r="BR115" i="7"/>
  <c r="BS115" i="7"/>
  <c r="BV115" i="7" s="1"/>
  <c r="BR116" i="7"/>
  <c r="BS116" i="7"/>
  <c r="BV116" i="7" s="1"/>
  <c r="BR117" i="7"/>
  <c r="BS117" i="7"/>
  <c r="BV117" i="7" s="1"/>
  <c r="BR118" i="7"/>
  <c r="BS118" i="7"/>
  <c r="BV118" i="7" s="1"/>
  <c r="BR119" i="7"/>
  <c r="BS119" i="7"/>
  <c r="BV119" i="7" s="1"/>
  <c r="BR120" i="7"/>
  <c r="BS120" i="7"/>
  <c r="BV120" i="7" s="1"/>
  <c r="BR123" i="7"/>
  <c r="BS123" i="7"/>
  <c r="BV123" i="7" s="1"/>
  <c r="BR124" i="7"/>
  <c r="BS124" i="7"/>
  <c r="BV124" i="7" s="1"/>
  <c r="BR128" i="7"/>
  <c r="BS128" i="7"/>
  <c r="BV128" i="7" s="1"/>
  <c r="BR129" i="7"/>
  <c r="BS129" i="7"/>
  <c r="BV129" i="7" s="1"/>
  <c r="BR130" i="7"/>
  <c r="BS130" i="7"/>
  <c r="BV130" i="7" s="1"/>
  <c r="BR131" i="7"/>
  <c r="BS131" i="7"/>
  <c r="BV131" i="7" s="1"/>
  <c r="BR135" i="7"/>
  <c r="BS135" i="7"/>
  <c r="BV135" i="7" s="1"/>
  <c r="BR136" i="7"/>
  <c r="BS136" i="7"/>
  <c r="BV136" i="7" s="1"/>
  <c r="BR137" i="7"/>
  <c r="BS137" i="7"/>
  <c r="BV137" i="7" s="1"/>
  <c r="BR138" i="7"/>
  <c r="BS138" i="7"/>
  <c r="BV138" i="7" s="1"/>
  <c r="BR139" i="7"/>
  <c r="BS139" i="7"/>
  <c r="BV139" i="7" s="1"/>
  <c r="BR140" i="7"/>
  <c r="BS140" i="7"/>
  <c r="BV140" i="7" s="1"/>
  <c r="BR141" i="7"/>
  <c r="BS141" i="7"/>
  <c r="BV141" i="7" s="1"/>
  <c r="BR142" i="7"/>
  <c r="BS142" i="7"/>
  <c r="BV142" i="7" s="1"/>
  <c r="BR143" i="7"/>
  <c r="BS143" i="7"/>
  <c r="BV143" i="7" s="1"/>
  <c r="BR144" i="7"/>
  <c r="BS144" i="7"/>
  <c r="BV144" i="7" s="1"/>
  <c r="BR145" i="7"/>
  <c r="BS145" i="7"/>
  <c r="BV145" i="7" s="1"/>
  <c r="BR146" i="7"/>
  <c r="BS146" i="7"/>
  <c r="BV146" i="7" s="1"/>
  <c r="BR147" i="7"/>
  <c r="BS147" i="7"/>
  <c r="BV147" i="7" s="1"/>
  <c r="BR148" i="7"/>
  <c r="BS148" i="7"/>
  <c r="BV148" i="7" s="1"/>
  <c r="BR149" i="7"/>
  <c r="BS149" i="7"/>
  <c r="BV149" i="7" s="1"/>
  <c r="BR150" i="7"/>
  <c r="BS150" i="7"/>
  <c r="BV150" i="7" s="1"/>
  <c r="BR151" i="7"/>
  <c r="BU151" i="7" s="1"/>
  <c r="BS151" i="7"/>
  <c r="BV151" i="7" s="1"/>
  <c r="BR152" i="7"/>
  <c r="BS152" i="7"/>
  <c r="BV152" i="7" s="1"/>
  <c r="BR153" i="7"/>
  <c r="BS153" i="7"/>
  <c r="BV153" i="7" s="1"/>
  <c r="BR154" i="7"/>
  <c r="BS154" i="7"/>
  <c r="BV154" i="7" s="1"/>
  <c r="BR155" i="7"/>
  <c r="BS155" i="7"/>
  <c r="BV155" i="7" s="1"/>
  <c r="BR156" i="7"/>
  <c r="BS156" i="7"/>
  <c r="BV156" i="7" s="1"/>
  <c r="BR157" i="7"/>
  <c r="BS157" i="7"/>
  <c r="BV157" i="7" s="1"/>
  <c r="BR158" i="7"/>
  <c r="BS158" i="7"/>
  <c r="BV158" i="7" s="1"/>
  <c r="BR159" i="7"/>
  <c r="BU159" i="7" s="1"/>
  <c r="BS159" i="7"/>
  <c r="BV159" i="7" s="1"/>
  <c r="BR160" i="7"/>
  <c r="BS160" i="7"/>
  <c r="BV160" i="7" s="1"/>
  <c r="BR161" i="7"/>
  <c r="BS161" i="7"/>
  <c r="BV161" i="7" s="1"/>
  <c r="BR162" i="7"/>
  <c r="BS162" i="7"/>
  <c r="BV162" i="7" s="1"/>
  <c r="BR163" i="7"/>
  <c r="BS163" i="7"/>
  <c r="BV163" i="7" s="1"/>
  <c r="BR164" i="7"/>
  <c r="BS164" i="7"/>
  <c r="BR165" i="7"/>
  <c r="BS165" i="7"/>
  <c r="BV165" i="7" s="1"/>
  <c r="BR166" i="7"/>
  <c r="BS166" i="7"/>
  <c r="BV166" i="7" s="1"/>
  <c r="BR167" i="7"/>
  <c r="BS167" i="7"/>
  <c r="BV167" i="7" s="1"/>
  <c r="BR168" i="7"/>
  <c r="BS168" i="7"/>
  <c r="BN9" i="7"/>
  <c r="BO9" i="7"/>
  <c r="BN10" i="7"/>
  <c r="BO10" i="7"/>
  <c r="BN11" i="7"/>
  <c r="BO11" i="7"/>
  <c r="BN12" i="7"/>
  <c r="BO12" i="7"/>
  <c r="BN13" i="7"/>
  <c r="BO13" i="7"/>
  <c r="BN14" i="7"/>
  <c r="BO14" i="7"/>
  <c r="BN15" i="7"/>
  <c r="BO15" i="7"/>
  <c r="BN16" i="7"/>
  <c r="BO16" i="7"/>
  <c r="BN17" i="7"/>
  <c r="BO17" i="7"/>
  <c r="BN18" i="7"/>
  <c r="BO18" i="7"/>
  <c r="BN19" i="7"/>
  <c r="BO19" i="7"/>
  <c r="BN20" i="7"/>
  <c r="BO20" i="7"/>
  <c r="BN21" i="7"/>
  <c r="BO21" i="7"/>
  <c r="BN22" i="7"/>
  <c r="BO22" i="7"/>
  <c r="BN23" i="7"/>
  <c r="BO23" i="7"/>
  <c r="BN24" i="7"/>
  <c r="BO24" i="7"/>
  <c r="BN25" i="7"/>
  <c r="BO25" i="7"/>
  <c r="BN26" i="7"/>
  <c r="BO26" i="7"/>
  <c r="BN27" i="7"/>
  <c r="BO27" i="7"/>
  <c r="BN28" i="7"/>
  <c r="BO28" i="7"/>
  <c r="BN29" i="7"/>
  <c r="BO29" i="7"/>
  <c r="BN30" i="7"/>
  <c r="BO30" i="7"/>
  <c r="BN31" i="7"/>
  <c r="BO31" i="7"/>
  <c r="BN32" i="7"/>
  <c r="BO32" i="7"/>
  <c r="BN33" i="7"/>
  <c r="BO33" i="7"/>
  <c r="BN34" i="7"/>
  <c r="BO34" i="7"/>
  <c r="BN35" i="7"/>
  <c r="BO35" i="7"/>
  <c r="BN36" i="7"/>
  <c r="BO36" i="7"/>
  <c r="BN38" i="7"/>
  <c r="BO38" i="7"/>
  <c r="BN39" i="7"/>
  <c r="BO39" i="7"/>
  <c r="BN40" i="7"/>
  <c r="BO40" i="7"/>
  <c r="BN41" i="7"/>
  <c r="BO41" i="7"/>
  <c r="BN42" i="7"/>
  <c r="BO42" i="7"/>
  <c r="BN43" i="7"/>
  <c r="BO43" i="7"/>
  <c r="BN44" i="7"/>
  <c r="BO44" i="7"/>
  <c r="BN45" i="7"/>
  <c r="BO45" i="7"/>
  <c r="BN46" i="7"/>
  <c r="BO46" i="7"/>
  <c r="BN47" i="7"/>
  <c r="BO47" i="7"/>
  <c r="BN48" i="7"/>
  <c r="BO48" i="7"/>
  <c r="BN49" i="7"/>
  <c r="BO49" i="7"/>
  <c r="BN50" i="7"/>
  <c r="BO50" i="7"/>
  <c r="BN51" i="7"/>
  <c r="BO51" i="7"/>
  <c r="BN52" i="7"/>
  <c r="BO52" i="7"/>
  <c r="BN53" i="7"/>
  <c r="BO53" i="7"/>
  <c r="BN54" i="7"/>
  <c r="BO54" i="7"/>
  <c r="BN55" i="7"/>
  <c r="BO55" i="7"/>
  <c r="BN56" i="7"/>
  <c r="BO56" i="7"/>
  <c r="BN57" i="7"/>
  <c r="BO57" i="7"/>
  <c r="BN58" i="7"/>
  <c r="BO58" i="7"/>
  <c r="BN59" i="7"/>
  <c r="BO59" i="7"/>
  <c r="BN60" i="7"/>
  <c r="BO60" i="7"/>
  <c r="BN61" i="7"/>
  <c r="BO61" i="7"/>
  <c r="BN62" i="7"/>
  <c r="BO62" i="7"/>
  <c r="BN63" i="7"/>
  <c r="BO63" i="7"/>
  <c r="BN64" i="7"/>
  <c r="BO64" i="7"/>
  <c r="BN65" i="7"/>
  <c r="BO65" i="7"/>
  <c r="BN66" i="7"/>
  <c r="BO66" i="7"/>
  <c r="BN67" i="7"/>
  <c r="BO67" i="7"/>
  <c r="BN68" i="7"/>
  <c r="BO68" i="7"/>
  <c r="BN70" i="7"/>
  <c r="BO70" i="7"/>
  <c r="BN71" i="7"/>
  <c r="BO71" i="7"/>
  <c r="BN72" i="7"/>
  <c r="BO72" i="7"/>
  <c r="BN73" i="7"/>
  <c r="BO73" i="7"/>
  <c r="BN74" i="7"/>
  <c r="BO74" i="7"/>
  <c r="BN75" i="7"/>
  <c r="BO75" i="7"/>
  <c r="BN76" i="7"/>
  <c r="BO76" i="7"/>
  <c r="BN77" i="7"/>
  <c r="BO77" i="7"/>
  <c r="BN78" i="7"/>
  <c r="BO78" i="7"/>
  <c r="BN79" i="7"/>
  <c r="BO79" i="7"/>
  <c r="BN80" i="7"/>
  <c r="BO80" i="7"/>
  <c r="BN81" i="7"/>
  <c r="BO81" i="7"/>
  <c r="BN82" i="7"/>
  <c r="BO82" i="7"/>
  <c r="BN83" i="7"/>
  <c r="BO83" i="7"/>
  <c r="BN84" i="7"/>
  <c r="BO84" i="7"/>
  <c r="BN85" i="7"/>
  <c r="BO85" i="7"/>
  <c r="BN86" i="7"/>
  <c r="BO86" i="7"/>
  <c r="BN87" i="7"/>
  <c r="BO87" i="7"/>
  <c r="BN88" i="7"/>
  <c r="BO88" i="7"/>
  <c r="BN89" i="7"/>
  <c r="BO89" i="7"/>
  <c r="BN90" i="7"/>
  <c r="BO90" i="7"/>
  <c r="BN91" i="7"/>
  <c r="BO91" i="7"/>
  <c r="BN92" i="7"/>
  <c r="BO92" i="7"/>
  <c r="BN93" i="7"/>
  <c r="BO93" i="7"/>
  <c r="BN94" i="7"/>
  <c r="BO94" i="7"/>
  <c r="BN96" i="7"/>
  <c r="BO96" i="7"/>
  <c r="BN97" i="7"/>
  <c r="BO97" i="7"/>
  <c r="BN99" i="7"/>
  <c r="BO99" i="7"/>
  <c r="BN100" i="7"/>
  <c r="BO100" i="7"/>
  <c r="BN101" i="7"/>
  <c r="BO101" i="7"/>
  <c r="BN102" i="7"/>
  <c r="BO102" i="7"/>
  <c r="BN103" i="7"/>
  <c r="BO103" i="7"/>
  <c r="BN104" i="7"/>
  <c r="BO104" i="7"/>
  <c r="BN105" i="7"/>
  <c r="BO105" i="7"/>
  <c r="BN107" i="7"/>
  <c r="BO107" i="7"/>
  <c r="BN109" i="7"/>
  <c r="BO109" i="7"/>
  <c r="BN110" i="7"/>
  <c r="BO110" i="7"/>
  <c r="BN111" i="7"/>
  <c r="BO111" i="7"/>
  <c r="BN112" i="7"/>
  <c r="BO112" i="7"/>
  <c r="BN113" i="7"/>
  <c r="BO113" i="7"/>
  <c r="BN115" i="7"/>
  <c r="BO115" i="7"/>
  <c r="BN116" i="7"/>
  <c r="BO116" i="7"/>
  <c r="BN117" i="7"/>
  <c r="BO117" i="7"/>
  <c r="BN118" i="7"/>
  <c r="BO118" i="7"/>
  <c r="BN119" i="7"/>
  <c r="BO119" i="7"/>
  <c r="BN120" i="7"/>
  <c r="BO120" i="7"/>
  <c r="BN121" i="7"/>
  <c r="BO121" i="7"/>
  <c r="BN123" i="7"/>
  <c r="BO123" i="7"/>
  <c r="BN124" i="7"/>
  <c r="BO124" i="7"/>
  <c r="BN125" i="7"/>
  <c r="BO125" i="7"/>
  <c r="BN127" i="7"/>
  <c r="BO127" i="7"/>
  <c r="BN128" i="7"/>
  <c r="BO128" i="7"/>
  <c r="BN129" i="7"/>
  <c r="BO129" i="7"/>
  <c r="BN130" i="7"/>
  <c r="BO130" i="7"/>
  <c r="BN131" i="7"/>
  <c r="BO131" i="7"/>
  <c r="BN132" i="7"/>
  <c r="BO132" i="7"/>
  <c r="BN133" i="7"/>
  <c r="BO133" i="7"/>
  <c r="BN134" i="7"/>
  <c r="BO134" i="7"/>
  <c r="BN135" i="7"/>
  <c r="BO135" i="7"/>
  <c r="BN136" i="7"/>
  <c r="BO136" i="7"/>
  <c r="BN137" i="7"/>
  <c r="BO137" i="7"/>
  <c r="BN138" i="7"/>
  <c r="BO138" i="7"/>
  <c r="BN139" i="7"/>
  <c r="BO139" i="7"/>
  <c r="BN140" i="7"/>
  <c r="BO140" i="7"/>
  <c r="BN141" i="7"/>
  <c r="BO141" i="7"/>
  <c r="BN142" i="7"/>
  <c r="BO142" i="7"/>
  <c r="BN143" i="7"/>
  <c r="BO143" i="7"/>
  <c r="BN144" i="7"/>
  <c r="BO144" i="7"/>
  <c r="BN145" i="7"/>
  <c r="BO145" i="7"/>
  <c r="BN146" i="7"/>
  <c r="BO146" i="7"/>
  <c r="BN147" i="7"/>
  <c r="BO147" i="7"/>
  <c r="BN148" i="7"/>
  <c r="BO148" i="7"/>
  <c r="BN149" i="7"/>
  <c r="BO149" i="7"/>
  <c r="BN150" i="7"/>
  <c r="BO150" i="7"/>
  <c r="BN151" i="7"/>
  <c r="BO151" i="7"/>
  <c r="BN152" i="7"/>
  <c r="BO152" i="7"/>
  <c r="BN153" i="7"/>
  <c r="BO153" i="7"/>
  <c r="BN154" i="7"/>
  <c r="BO154" i="7"/>
  <c r="BN155" i="7"/>
  <c r="BO155" i="7"/>
  <c r="BN156" i="7"/>
  <c r="BO156" i="7"/>
  <c r="BN157" i="7"/>
  <c r="BO157" i="7"/>
  <c r="BN158" i="7"/>
  <c r="BO158" i="7"/>
  <c r="BN159" i="7"/>
  <c r="BO159" i="7"/>
  <c r="BN160" i="7"/>
  <c r="BO160" i="7"/>
  <c r="BN161" i="7"/>
  <c r="BO161" i="7"/>
  <c r="BN162" i="7"/>
  <c r="BO162" i="7"/>
  <c r="BN163" i="7"/>
  <c r="BO163" i="7"/>
  <c r="BN164" i="7"/>
  <c r="BO164" i="7"/>
  <c r="BN165" i="7"/>
  <c r="BO165" i="7"/>
  <c r="BN166" i="7"/>
  <c r="BO166" i="7"/>
  <c r="BN167" i="7"/>
  <c r="BO167" i="7"/>
  <c r="BN168" i="7"/>
  <c r="BO168" i="7"/>
  <c r="BL9" i="7"/>
  <c r="BL10" i="7"/>
  <c r="BL11" i="7"/>
  <c r="BL12" i="7"/>
  <c r="BL13" i="7"/>
  <c r="BL14" i="7"/>
  <c r="BL15" i="7"/>
  <c r="BL16" i="7"/>
  <c r="BL17" i="7"/>
  <c r="BL18" i="7"/>
  <c r="BL19" i="7"/>
  <c r="BL20" i="7"/>
  <c r="BL21" i="7"/>
  <c r="BL22" i="7"/>
  <c r="BL23" i="7"/>
  <c r="BL24" i="7"/>
  <c r="BL25" i="7"/>
  <c r="BL26" i="7"/>
  <c r="BL27" i="7"/>
  <c r="BL28" i="7"/>
  <c r="BL29" i="7"/>
  <c r="BL30" i="7"/>
  <c r="BL31" i="7"/>
  <c r="BL32" i="7"/>
  <c r="BL33" i="7"/>
  <c r="BL34" i="7"/>
  <c r="BL35" i="7"/>
  <c r="BL36" i="7"/>
  <c r="BL38" i="7"/>
  <c r="BL39" i="7"/>
  <c r="BL40" i="7"/>
  <c r="BL41" i="7"/>
  <c r="BL42" i="7"/>
  <c r="BL43" i="7"/>
  <c r="BL44" i="7"/>
  <c r="BL45" i="7"/>
  <c r="BL46" i="7"/>
  <c r="BL47" i="7"/>
  <c r="BL48" i="7"/>
  <c r="BL49" i="7"/>
  <c r="BL50" i="7"/>
  <c r="BL51" i="7"/>
  <c r="BL52" i="7"/>
  <c r="BL53" i="7"/>
  <c r="BL54" i="7"/>
  <c r="BL55" i="7"/>
  <c r="BL56" i="7"/>
  <c r="BL57" i="7"/>
  <c r="BL58" i="7"/>
  <c r="BL59" i="7"/>
  <c r="BL60" i="7"/>
  <c r="BL61" i="7"/>
  <c r="BL62" i="7"/>
  <c r="BL63" i="7"/>
  <c r="BL64" i="7"/>
  <c r="BL65" i="7"/>
  <c r="BL66" i="7"/>
  <c r="BL67" i="7"/>
  <c r="BL68" i="7"/>
  <c r="BL70" i="7"/>
  <c r="BL71" i="7"/>
  <c r="BL72" i="7"/>
  <c r="BL73" i="7"/>
  <c r="BL74" i="7"/>
  <c r="BL75" i="7"/>
  <c r="BL76" i="7"/>
  <c r="BL77" i="7"/>
  <c r="BL78" i="7"/>
  <c r="BL79" i="7"/>
  <c r="BL80" i="7"/>
  <c r="BL81" i="7"/>
  <c r="BL82" i="7"/>
  <c r="BL83" i="7"/>
  <c r="BL84" i="7"/>
  <c r="BL85" i="7"/>
  <c r="BL86" i="7"/>
  <c r="BL87" i="7"/>
  <c r="BL88" i="7"/>
  <c r="BL89" i="7"/>
  <c r="BL90" i="7"/>
  <c r="BL91" i="7"/>
  <c r="BL92" i="7"/>
  <c r="BL93" i="7"/>
  <c r="BL94" i="7"/>
  <c r="BL96" i="7"/>
  <c r="BL97" i="7"/>
  <c r="BL99" i="7"/>
  <c r="BL100" i="7"/>
  <c r="BL101" i="7"/>
  <c r="BL102" i="7"/>
  <c r="BL103" i="7"/>
  <c r="BL104" i="7"/>
  <c r="BL105" i="7"/>
  <c r="BL107" i="7"/>
  <c r="BL109" i="7"/>
  <c r="BL110" i="7"/>
  <c r="BL111" i="7"/>
  <c r="BL112" i="7"/>
  <c r="BL113" i="7"/>
  <c r="BL115" i="7"/>
  <c r="BL116" i="7"/>
  <c r="BL117" i="7"/>
  <c r="BL118" i="7"/>
  <c r="BL119" i="7"/>
  <c r="BL120" i="7"/>
  <c r="BL121" i="7"/>
  <c r="BL123" i="7"/>
  <c r="BL124" i="7"/>
  <c r="BL125" i="7"/>
  <c r="BL127" i="7"/>
  <c r="BL128" i="7"/>
  <c r="BL129" i="7"/>
  <c r="BL130" i="7"/>
  <c r="BL131" i="7"/>
  <c r="BL132" i="7"/>
  <c r="BL133" i="7"/>
  <c r="BL134" i="7"/>
  <c r="BL135" i="7"/>
  <c r="BL136" i="7"/>
  <c r="BL137" i="7"/>
  <c r="BL138" i="7"/>
  <c r="BL139" i="7"/>
  <c r="BL140" i="7"/>
  <c r="BL141" i="7"/>
  <c r="BL142" i="7"/>
  <c r="BL143" i="7"/>
  <c r="BL144" i="7"/>
  <c r="BL145" i="7"/>
  <c r="BL146" i="7"/>
  <c r="BL147" i="7"/>
  <c r="BL148" i="7"/>
  <c r="BL149" i="7"/>
  <c r="BL150" i="7"/>
  <c r="BL151" i="7"/>
  <c r="BL152" i="7"/>
  <c r="BL153" i="7"/>
  <c r="BL154" i="7"/>
  <c r="BL155" i="7"/>
  <c r="BL156" i="7"/>
  <c r="BL157" i="7"/>
  <c r="BL158" i="7"/>
  <c r="BL159" i="7"/>
  <c r="BL160" i="7"/>
  <c r="BL161" i="7"/>
  <c r="BL162" i="7"/>
  <c r="BL163" i="7"/>
  <c r="BL164" i="7"/>
  <c r="BL165" i="7"/>
  <c r="BL166" i="7"/>
  <c r="BL167" i="7"/>
  <c r="BL168" i="7"/>
  <c r="BG9" i="7"/>
  <c r="BH9" i="7"/>
  <c r="BK9" i="7" s="1"/>
  <c r="BG10" i="7"/>
  <c r="BH10" i="7"/>
  <c r="BK10" i="7" s="1"/>
  <c r="BG11" i="7"/>
  <c r="BH11" i="7"/>
  <c r="BK11" i="7" s="1"/>
  <c r="BG12" i="7"/>
  <c r="BH12" i="7"/>
  <c r="BK12" i="7" s="1"/>
  <c r="BG13" i="7"/>
  <c r="BH13" i="7"/>
  <c r="BK13" i="7" s="1"/>
  <c r="BG14" i="7"/>
  <c r="BH14" i="7"/>
  <c r="BK14" i="7" s="1"/>
  <c r="BG15" i="7"/>
  <c r="BH15" i="7"/>
  <c r="BK15" i="7" s="1"/>
  <c r="BG16" i="7"/>
  <c r="BH16" i="7"/>
  <c r="BK16" i="7" s="1"/>
  <c r="BG17" i="7"/>
  <c r="BH17" i="7"/>
  <c r="BK17" i="7" s="1"/>
  <c r="BG18" i="7"/>
  <c r="BH18" i="7"/>
  <c r="BK18" i="7" s="1"/>
  <c r="BG19" i="7"/>
  <c r="BH19" i="7"/>
  <c r="BK19" i="7" s="1"/>
  <c r="BG20" i="7"/>
  <c r="BH20" i="7"/>
  <c r="BK20" i="7" s="1"/>
  <c r="BG21" i="7"/>
  <c r="BH21" i="7"/>
  <c r="BK21" i="7" s="1"/>
  <c r="BG22" i="7"/>
  <c r="BH22" i="7"/>
  <c r="BK22" i="7" s="1"/>
  <c r="BG23" i="7"/>
  <c r="BH23" i="7"/>
  <c r="BK23" i="7" s="1"/>
  <c r="BG24" i="7"/>
  <c r="BH24" i="7"/>
  <c r="BK24" i="7" s="1"/>
  <c r="BG25" i="7"/>
  <c r="BJ25" i="7" s="1"/>
  <c r="BH25" i="7"/>
  <c r="BK25" i="7" s="1"/>
  <c r="BG26" i="7"/>
  <c r="BH26" i="7"/>
  <c r="BK26" i="7" s="1"/>
  <c r="BG27" i="7"/>
  <c r="BH27" i="7"/>
  <c r="BK27" i="7" s="1"/>
  <c r="BG28" i="7"/>
  <c r="BH28" i="7"/>
  <c r="BK28" i="7" s="1"/>
  <c r="BG29" i="7"/>
  <c r="BH29" i="7"/>
  <c r="BK29" i="7" s="1"/>
  <c r="BG30" i="7"/>
  <c r="BH30" i="7"/>
  <c r="BK30" i="7" s="1"/>
  <c r="BG31" i="7"/>
  <c r="BH31" i="7"/>
  <c r="BK31" i="7" s="1"/>
  <c r="BG32" i="7"/>
  <c r="BH32" i="7"/>
  <c r="BK32" i="7" s="1"/>
  <c r="BG33" i="7"/>
  <c r="BH33" i="7"/>
  <c r="BK33" i="7" s="1"/>
  <c r="BG34" i="7"/>
  <c r="BH34" i="7"/>
  <c r="BK34" i="7" s="1"/>
  <c r="BG35" i="7"/>
  <c r="BH35" i="7"/>
  <c r="BK35" i="7" s="1"/>
  <c r="BG36" i="7"/>
  <c r="BH36" i="7"/>
  <c r="BK36" i="7" s="1"/>
  <c r="BG38" i="7"/>
  <c r="BH38" i="7"/>
  <c r="BK38" i="7" s="1"/>
  <c r="BG39" i="7"/>
  <c r="BH39" i="7"/>
  <c r="BK39" i="7" s="1"/>
  <c r="BG40" i="7"/>
  <c r="BH40" i="7"/>
  <c r="BK40" i="7" s="1"/>
  <c r="BG41" i="7"/>
  <c r="BH41" i="7"/>
  <c r="BK41" i="7" s="1"/>
  <c r="BG42" i="7"/>
  <c r="BH42" i="7"/>
  <c r="BK42" i="7" s="1"/>
  <c r="BG43" i="7"/>
  <c r="BH43" i="7"/>
  <c r="BK43" i="7" s="1"/>
  <c r="BG44" i="7"/>
  <c r="BH44" i="7"/>
  <c r="BK44" i="7" s="1"/>
  <c r="BG45" i="7"/>
  <c r="BH45" i="7"/>
  <c r="BK45" i="7" s="1"/>
  <c r="BG46" i="7"/>
  <c r="BH46" i="7"/>
  <c r="BK46" i="7" s="1"/>
  <c r="BG47" i="7"/>
  <c r="BH47" i="7"/>
  <c r="BK47" i="7" s="1"/>
  <c r="BG48" i="7"/>
  <c r="BH48" i="7"/>
  <c r="BK48" i="7" s="1"/>
  <c r="BG49" i="7"/>
  <c r="BH49" i="7"/>
  <c r="BK49" i="7" s="1"/>
  <c r="BG50" i="7"/>
  <c r="BJ50" i="7" s="1"/>
  <c r="BH50" i="7"/>
  <c r="BK50" i="7" s="1"/>
  <c r="BG51" i="7"/>
  <c r="BH51" i="7"/>
  <c r="BK51" i="7" s="1"/>
  <c r="BG52" i="7"/>
  <c r="BH52" i="7"/>
  <c r="BK52" i="7" s="1"/>
  <c r="BG53" i="7"/>
  <c r="BH53" i="7"/>
  <c r="BK53" i="7" s="1"/>
  <c r="BG54" i="7"/>
  <c r="BH54" i="7"/>
  <c r="BK54" i="7" s="1"/>
  <c r="BG55" i="7"/>
  <c r="BH55" i="7"/>
  <c r="BK55" i="7" s="1"/>
  <c r="BG56" i="7"/>
  <c r="BH56" i="7"/>
  <c r="BK56" i="7" s="1"/>
  <c r="BG57" i="7"/>
  <c r="BH57" i="7"/>
  <c r="BK57" i="7" s="1"/>
  <c r="BG58" i="7"/>
  <c r="BJ58" i="7" s="1"/>
  <c r="BH58" i="7"/>
  <c r="BK58" i="7" s="1"/>
  <c r="BG59" i="7"/>
  <c r="BH59" i="7"/>
  <c r="BK59" i="7" s="1"/>
  <c r="BG60" i="7"/>
  <c r="BH60" i="7"/>
  <c r="BK60" i="7" s="1"/>
  <c r="BG61" i="7"/>
  <c r="BH61" i="7"/>
  <c r="BK61" i="7" s="1"/>
  <c r="BG62" i="7"/>
  <c r="BH62" i="7"/>
  <c r="BK62" i="7" s="1"/>
  <c r="BG63" i="7"/>
  <c r="BH63" i="7"/>
  <c r="BK63" i="7" s="1"/>
  <c r="BG64" i="7"/>
  <c r="BH64" i="7"/>
  <c r="BK64" i="7" s="1"/>
  <c r="BG65" i="7"/>
  <c r="BH65" i="7"/>
  <c r="BK65" i="7" s="1"/>
  <c r="BG66" i="7"/>
  <c r="BJ66" i="7" s="1"/>
  <c r="BH66" i="7"/>
  <c r="BK66" i="7" s="1"/>
  <c r="BG67" i="7"/>
  <c r="BH67" i="7"/>
  <c r="BK67" i="7" s="1"/>
  <c r="BG68" i="7"/>
  <c r="BH68" i="7"/>
  <c r="BK68" i="7" s="1"/>
  <c r="BG70" i="7"/>
  <c r="BH70" i="7"/>
  <c r="BK70" i="7" s="1"/>
  <c r="BG71" i="7"/>
  <c r="BH71" i="7"/>
  <c r="BK71" i="7" s="1"/>
  <c r="BG72" i="7"/>
  <c r="BH72" i="7"/>
  <c r="BK72" i="7" s="1"/>
  <c r="BG73" i="7"/>
  <c r="BH73" i="7"/>
  <c r="BK73" i="7" s="1"/>
  <c r="BG74" i="7"/>
  <c r="BH74" i="7"/>
  <c r="BK74" i="7" s="1"/>
  <c r="BG75" i="7"/>
  <c r="BH75" i="7"/>
  <c r="BK75" i="7" s="1"/>
  <c r="BG76" i="7"/>
  <c r="BH76" i="7"/>
  <c r="BK76" i="7" s="1"/>
  <c r="BG77" i="7"/>
  <c r="BH77" i="7"/>
  <c r="BK77" i="7" s="1"/>
  <c r="BG78" i="7"/>
  <c r="BH78" i="7"/>
  <c r="BK78" i="7" s="1"/>
  <c r="BG79" i="7"/>
  <c r="BH79" i="7"/>
  <c r="BK79" i="7" s="1"/>
  <c r="BG80" i="7"/>
  <c r="BH80" i="7"/>
  <c r="BK80" i="7" s="1"/>
  <c r="BG81" i="7"/>
  <c r="BH81" i="7"/>
  <c r="BK81" i="7" s="1"/>
  <c r="BG82" i="7"/>
  <c r="BH82" i="7"/>
  <c r="BK82" i="7" s="1"/>
  <c r="BG83" i="7"/>
  <c r="BH83" i="7"/>
  <c r="BK83" i="7" s="1"/>
  <c r="BG84" i="7"/>
  <c r="BH84" i="7"/>
  <c r="BK84" i="7" s="1"/>
  <c r="BG85" i="7"/>
  <c r="BH85" i="7"/>
  <c r="BK85" i="7" s="1"/>
  <c r="BG86" i="7"/>
  <c r="BH86" i="7"/>
  <c r="BK86" i="7" s="1"/>
  <c r="BG87" i="7"/>
  <c r="BH87" i="7"/>
  <c r="BK87" i="7" s="1"/>
  <c r="BG88" i="7"/>
  <c r="BH88" i="7"/>
  <c r="BK88" i="7" s="1"/>
  <c r="BG89" i="7"/>
  <c r="BH89" i="7"/>
  <c r="BK89" i="7" s="1"/>
  <c r="BG90" i="7"/>
  <c r="BH90" i="7"/>
  <c r="BK90" i="7" s="1"/>
  <c r="BG91" i="7"/>
  <c r="BJ91" i="7" s="1"/>
  <c r="BH91" i="7"/>
  <c r="BK91" i="7" s="1"/>
  <c r="BG92" i="7"/>
  <c r="BH92" i="7"/>
  <c r="BK92" i="7" s="1"/>
  <c r="BG93" i="7"/>
  <c r="BH93" i="7"/>
  <c r="BK93" i="7" s="1"/>
  <c r="BG94" i="7"/>
  <c r="BH94" i="7"/>
  <c r="BK94" i="7" s="1"/>
  <c r="BG96" i="7"/>
  <c r="BH96" i="7"/>
  <c r="BK96" i="7" s="1"/>
  <c r="BG97" i="7"/>
  <c r="BH97" i="7"/>
  <c r="BK97" i="7" s="1"/>
  <c r="BG99" i="7"/>
  <c r="BH99" i="7"/>
  <c r="BK99" i="7" s="1"/>
  <c r="BG100" i="7"/>
  <c r="BH100" i="7"/>
  <c r="BK100" i="7" s="1"/>
  <c r="BG101" i="7"/>
  <c r="BH101" i="7"/>
  <c r="BK101" i="7" s="1"/>
  <c r="BG102" i="7"/>
  <c r="BH102" i="7"/>
  <c r="BK102" i="7" s="1"/>
  <c r="BG103" i="7"/>
  <c r="BH103" i="7"/>
  <c r="BK103" i="7" s="1"/>
  <c r="BG104" i="7"/>
  <c r="BH104" i="7"/>
  <c r="BK104" i="7" s="1"/>
  <c r="BG105" i="7"/>
  <c r="BH105" i="7"/>
  <c r="BK105" i="7" s="1"/>
  <c r="BG107" i="7"/>
  <c r="BH107" i="7"/>
  <c r="BK107" i="7" s="1"/>
  <c r="BG109" i="7"/>
  <c r="BH109" i="7"/>
  <c r="BK109" i="7" s="1"/>
  <c r="BG110" i="7"/>
  <c r="BH110" i="7"/>
  <c r="BK110" i="7" s="1"/>
  <c r="BG111" i="7"/>
  <c r="BH111" i="7"/>
  <c r="BK111" i="7" s="1"/>
  <c r="BG112" i="7"/>
  <c r="BH112" i="7"/>
  <c r="BK112" i="7" s="1"/>
  <c r="BG113" i="7"/>
  <c r="BH113" i="7"/>
  <c r="BK113" i="7" s="1"/>
  <c r="BG115" i="7"/>
  <c r="BH115" i="7"/>
  <c r="BK115" i="7" s="1"/>
  <c r="BG116" i="7"/>
  <c r="BH116" i="7"/>
  <c r="BK116" i="7" s="1"/>
  <c r="BG117" i="7"/>
  <c r="BH117" i="7"/>
  <c r="BK117" i="7" s="1"/>
  <c r="BG118" i="7"/>
  <c r="BH118" i="7"/>
  <c r="BK118" i="7" s="1"/>
  <c r="BG119" i="7"/>
  <c r="BH119" i="7"/>
  <c r="BK119" i="7" s="1"/>
  <c r="BG120" i="7"/>
  <c r="BH120" i="7"/>
  <c r="BK120" i="7" s="1"/>
  <c r="BG121" i="7"/>
  <c r="BH121" i="7"/>
  <c r="BK121" i="7" s="1"/>
  <c r="BG123" i="7"/>
  <c r="BH123" i="7"/>
  <c r="BK123" i="7" s="1"/>
  <c r="BG124" i="7"/>
  <c r="BH124" i="7"/>
  <c r="BK124" i="7" s="1"/>
  <c r="BG125" i="7"/>
  <c r="BH125" i="7"/>
  <c r="BK125" i="7" s="1"/>
  <c r="BG127" i="7"/>
  <c r="BH127" i="7"/>
  <c r="BK127" i="7" s="1"/>
  <c r="BG128" i="7"/>
  <c r="BH128" i="7"/>
  <c r="BK128" i="7" s="1"/>
  <c r="BG129" i="7"/>
  <c r="BH129" i="7"/>
  <c r="BK129" i="7" s="1"/>
  <c r="BG130" i="7"/>
  <c r="BH130" i="7"/>
  <c r="BK130" i="7" s="1"/>
  <c r="BG131" i="7"/>
  <c r="BH131" i="7"/>
  <c r="BK131" i="7" s="1"/>
  <c r="BG132" i="7"/>
  <c r="BH132" i="7"/>
  <c r="BK132" i="7" s="1"/>
  <c r="BG133" i="7"/>
  <c r="BH133" i="7"/>
  <c r="BK133" i="7" s="1"/>
  <c r="BG134" i="7"/>
  <c r="BH134" i="7"/>
  <c r="BK134" i="7" s="1"/>
  <c r="BG135" i="7"/>
  <c r="BH135" i="7"/>
  <c r="BK135" i="7" s="1"/>
  <c r="BG136" i="7"/>
  <c r="BH136" i="7"/>
  <c r="BK136" i="7" s="1"/>
  <c r="BG137" i="7"/>
  <c r="BH137" i="7"/>
  <c r="BK137" i="7" s="1"/>
  <c r="BG138" i="7"/>
  <c r="BH138" i="7"/>
  <c r="BK138" i="7" s="1"/>
  <c r="BG139" i="7"/>
  <c r="BH139" i="7"/>
  <c r="BK139" i="7" s="1"/>
  <c r="BG140" i="7"/>
  <c r="BH140" i="7"/>
  <c r="BK140" i="7" s="1"/>
  <c r="BG141" i="7"/>
  <c r="BH141" i="7"/>
  <c r="BK141" i="7" s="1"/>
  <c r="BG142" i="7"/>
  <c r="BH142" i="7"/>
  <c r="BK142" i="7" s="1"/>
  <c r="BG143" i="7"/>
  <c r="BH143" i="7"/>
  <c r="BK143" i="7" s="1"/>
  <c r="BG144" i="7"/>
  <c r="BH144" i="7"/>
  <c r="BK144" i="7" s="1"/>
  <c r="BG145" i="7"/>
  <c r="BH145" i="7"/>
  <c r="BK145" i="7" s="1"/>
  <c r="BG146" i="7"/>
  <c r="BH146" i="7"/>
  <c r="BK146" i="7" s="1"/>
  <c r="BG147" i="7"/>
  <c r="BH147" i="7"/>
  <c r="BK147" i="7" s="1"/>
  <c r="BG148" i="7"/>
  <c r="BH148" i="7"/>
  <c r="BK148" i="7" s="1"/>
  <c r="BG149" i="7"/>
  <c r="BH149" i="7"/>
  <c r="BK149" i="7" s="1"/>
  <c r="BG150" i="7"/>
  <c r="BH150" i="7"/>
  <c r="BK150" i="7" s="1"/>
  <c r="BG151" i="7"/>
  <c r="BH151" i="7"/>
  <c r="BK151" i="7" s="1"/>
  <c r="BG152" i="7"/>
  <c r="BH152" i="7"/>
  <c r="BK152" i="7" s="1"/>
  <c r="BG153" i="7"/>
  <c r="BH153" i="7"/>
  <c r="BK153" i="7" s="1"/>
  <c r="BG154" i="7"/>
  <c r="BH154" i="7"/>
  <c r="BK154" i="7" s="1"/>
  <c r="BG155" i="7"/>
  <c r="BH155" i="7"/>
  <c r="BK155" i="7" s="1"/>
  <c r="BG156" i="7"/>
  <c r="BH156" i="7"/>
  <c r="BK156" i="7" s="1"/>
  <c r="BG157" i="7"/>
  <c r="BH157" i="7"/>
  <c r="BK157" i="7" s="1"/>
  <c r="BG158" i="7"/>
  <c r="BH158" i="7"/>
  <c r="BK158" i="7" s="1"/>
  <c r="BG159" i="7"/>
  <c r="BH159" i="7"/>
  <c r="BK159" i="7" s="1"/>
  <c r="BG160" i="7"/>
  <c r="BH160" i="7"/>
  <c r="BK160" i="7" s="1"/>
  <c r="BG161" i="7"/>
  <c r="BH161" i="7"/>
  <c r="BK161" i="7" s="1"/>
  <c r="BG162" i="7"/>
  <c r="BH162" i="7"/>
  <c r="BK162" i="7" s="1"/>
  <c r="BG163" i="7"/>
  <c r="BH163" i="7"/>
  <c r="BK163" i="7" s="1"/>
  <c r="BG164" i="7"/>
  <c r="BH164" i="7"/>
  <c r="BK164" i="7" s="1"/>
  <c r="BG165" i="7"/>
  <c r="BH165" i="7"/>
  <c r="BK165" i="7" s="1"/>
  <c r="BG166" i="7"/>
  <c r="BH166" i="7"/>
  <c r="BK166" i="7" s="1"/>
  <c r="BG167" i="7"/>
  <c r="BH167" i="7"/>
  <c r="BK167" i="7" s="1"/>
  <c r="BG168" i="7"/>
  <c r="BH168" i="7"/>
  <c r="BK168" i="7" s="1"/>
  <c r="BC9" i="7"/>
  <c r="BD9" i="7"/>
  <c r="BC10" i="7"/>
  <c r="BD10" i="7"/>
  <c r="BC11" i="7"/>
  <c r="BD11" i="7"/>
  <c r="BC12" i="7"/>
  <c r="BD12" i="7"/>
  <c r="BC13" i="7"/>
  <c r="BD13" i="7"/>
  <c r="BC14" i="7"/>
  <c r="BD14" i="7"/>
  <c r="BC15" i="7"/>
  <c r="BD15" i="7"/>
  <c r="BC16" i="7"/>
  <c r="BD16" i="7"/>
  <c r="BC17" i="7"/>
  <c r="BD17" i="7"/>
  <c r="BC18" i="7"/>
  <c r="BD18" i="7"/>
  <c r="BC19" i="7"/>
  <c r="BD19" i="7"/>
  <c r="BC20" i="7"/>
  <c r="BD20" i="7"/>
  <c r="BC21" i="7"/>
  <c r="BD21" i="7"/>
  <c r="BC22" i="7"/>
  <c r="BD22" i="7"/>
  <c r="BC23" i="7"/>
  <c r="BD23" i="7"/>
  <c r="BC24" i="7"/>
  <c r="BD24" i="7"/>
  <c r="BC25" i="7"/>
  <c r="BD25" i="7"/>
  <c r="BC26" i="7"/>
  <c r="BD26" i="7"/>
  <c r="BC27" i="7"/>
  <c r="BD27" i="7"/>
  <c r="BC28" i="7"/>
  <c r="BD28" i="7"/>
  <c r="BC29" i="7"/>
  <c r="BD29" i="7"/>
  <c r="BC30" i="7"/>
  <c r="BD30" i="7"/>
  <c r="BC31" i="7"/>
  <c r="BD31" i="7"/>
  <c r="BC32" i="7"/>
  <c r="BD32" i="7"/>
  <c r="BC33" i="7"/>
  <c r="BD33" i="7"/>
  <c r="BC34" i="7"/>
  <c r="BD34" i="7"/>
  <c r="BC35" i="7"/>
  <c r="BD35" i="7"/>
  <c r="BC36" i="7"/>
  <c r="BD36" i="7"/>
  <c r="BC38" i="7"/>
  <c r="BD38" i="7"/>
  <c r="BC39" i="7"/>
  <c r="BD39" i="7"/>
  <c r="BC40" i="7"/>
  <c r="BD40" i="7"/>
  <c r="BC41" i="7"/>
  <c r="BD41" i="7"/>
  <c r="BC42" i="7"/>
  <c r="BD42" i="7"/>
  <c r="BC43" i="7"/>
  <c r="BD43" i="7"/>
  <c r="BC44" i="7"/>
  <c r="BD44" i="7"/>
  <c r="BC45" i="7"/>
  <c r="BD45" i="7"/>
  <c r="BC46" i="7"/>
  <c r="BD46" i="7"/>
  <c r="BC47" i="7"/>
  <c r="BD47" i="7"/>
  <c r="BC48" i="7"/>
  <c r="BD48" i="7"/>
  <c r="BC49" i="7"/>
  <c r="BD49" i="7"/>
  <c r="BC50" i="7"/>
  <c r="BD50" i="7"/>
  <c r="BC51" i="7"/>
  <c r="BD51" i="7"/>
  <c r="BC52" i="7"/>
  <c r="BD52" i="7"/>
  <c r="BC53" i="7"/>
  <c r="BD53" i="7"/>
  <c r="BC54" i="7"/>
  <c r="BD54" i="7"/>
  <c r="BC55" i="7"/>
  <c r="BD55" i="7"/>
  <c r="BC56" i="7"/>
  <c r="BD56" i="7"/>
  <c r="BC57" i="7"/>
  <c r="BD57" i="7"/>
  <c r="BC58" i="7"/>
  <c r="BD58" i="7"/>
  <c r="BC59" i="7"/>
  <c r="BD59" i="7"/>
  <c r="BC60" i="7"/>
  <c r="BD60" i="7"/>
  <c r="BC61" i="7"/>
  <c r="BD61" i="7"/>
  <c r="BC62" i="7"/>
  <c r="BD62" i="7"/>
  <c r="BC63" i="7"/>
  <c r="BD63" i="7"/>
  <c r="BC64" i="7"/>
  <c r="BD64" i="7"/>
  <c r="BC65" i="7"/>
  <c r="BD65" i="7"/>
  <c r="BC66" i="7"/>
  <c r="BD66" i="7"/>
  <c r="BC67" i="7"/>
  <c r="BD67" i="7"/>
  <c r="BC68" i="7"/>
  <c r="BD68" i="7"/>
  <c r="BC70" i="7"/>
  <c r="BD70" i="7"/>
  <c r="BC71" i="7"/>
  <c r="BD71" i="7"/>
  <c r="BC72" i="7"/>
  <c r="BD72" i="7"/>
  <c r="BC73" i="7"/>
  <c r="BD73" i="7"/>
  <c r="BC74" i="7"/>
  <c r="BD74" i="7"/>
  <c r="BC75" i="7"/>
  <c r="BD75" i="7"/>
  <c r="BC76" i="7"/>
  <c r="BD76" i="7"/>
  <c r="BC77" i="7"/>
  <c r="BD77" i="7"/>
  <c r="BC78" i="7"/>
  <c r="BD78" i="7"/>
  <c r="BC79" i="7"/>
  <c r="BD79" i="7"/>
  <c r="BC80" i="7"/>
  <c r="BD80" i="7"/>
  <c r="BC81" i="7"/>
  <c r="BD81" i="7"/>
  <c r="BC82" i="7"/>
  <c r="BD82" i="7"/>
  <c r="BC83" i="7"/>
  <c r="BD83" i="7"/>
  <c r="BC84" i="7"/>
  <c r="BD84" i="7"/>
  <c r="BC85" i="7"/>
  <c r="BD85" i="7"/>
  <c r="BC86" i="7"/>
  <c r="BD86" i="7"/>
  <c r="BC87" i="7"/>
  <c r="BD87" i="7"/>
  <c r="BC88" i="7"/>
  <c r="BD88" i="7"/>
  <c r="BC89" i="7"/>
  <c r="BD89" i="7"/>
  <c r="BC90" i="7"/>
  <c r="BD90" i="7"/>
  <c r="BC91" i="7"/>
  <c r="BD91" i="7"/>
  <c r="BC92" i="7"/>
  <c r="BD92" i="7"/>
  <c r="BC93" i="7"/>
  <c r="BD93" i="7"/>
  <c r="BC94" i="7"/>
  <c r="BD94" i="7"/>
  <c r="BC96" i="7"/>
  <c r="BD96" i="7"/>
  <c r="BC97" i="7"/>
  <c r="BD97" i="7"/>
  <c r="BC99" i="7"/>
  <c r="BD99" i="7"/>
  <c r="BC100" i="7"/>
  <c r="BD100" i="7"/>
  <c r="BC101" i="7"/>
  <c r="BD101" i="7"/>
  <c r="BC102" i="7"/>
  <c r="BD102" i="7"/>
  <c r="BC103" i="7"/>
  <c r="BD103" i="7"/>
  <c r="BC104" i="7"/>
  <c r="BD104" i="7"/>
  <c r="BC105" i="7"/>
  <c r="BD105" i="7"/>
  <c r="BC107" i="7"/>
  <c r="BD107" i="7"/>
  <c r="BC109" i="7"/>
  <c r="BD109" i="7"/>
  <c r="BC110" i="7"/>
  <c r="BD110" i="7"/>
  <c r="BC111" i="7"/>
  <c r="BD111" i="7"/>
  <c r="BC112" i="7"/>
  <c r="BD112" i="7"/>
  <c r="BC113" i="7"/>
  <c r="BD113" i="7"/>
  <c r="BC115" i="7"/>
  <c r="BD115" i="7"/>
  <c r="BC116" i="7"/>
  <c r="BD116" i="7"/>
  <c r="BC117" i="7"/>
  <c r="BD117" i="7"/>
  <c r="BC118" i="7"/>
  <c r="BD118" i="7"/>
  <c r="BC119" i="7"/>
  <c r="BD119" i="7"/>
  <c r="BC120" i="7"/>
  <c r="BD120" i="7"/>
  <c r="BC121" i="7"/>
  <c r="BD121" i="7"/>
  <c r="BC123" i="7"/>
  <c r="BD123" i="7"/>
  <c r="BC124" i="7"/>
  <c r="BD124" i="7"/>
  <c r="BC125" i="7"/>
  <c r="BD125" i="7"/>
  <c r="BC127" i="7"/>
  <c r="BD127" i="7"/>
  <c r="BC128" i="7"/>
  <c r="BD128" i="7"/>
  <c r="BC129" i="7"/>
  <c r="BD129" i="7"/>
  <c r="BC130" i="7"/>
  <c r="BD130" i="7"/>
  <c r="BC131" i="7"/>
  <c r="BD131" i="7"/>
  <c r="BC132" i="7"/>
  <c r="BD132" i="7"/>
  <c r="BC133" i="7"/>
  <c r="BD133" i="7"/>
  <c r="BC134" i="7"/>
  <c r="BD134" i="7"/>
  <c r="BC135" i="7"/>
  <c r="BD135" i="7"/>
  <c r="BC136" i="7"/>
  <c r="BD136" i="7"/>
  <c r="BC137" i="7"/>
  <c r="BD137" i="7"/>
  <c r="BC138" i="7"/>
  <c r="BD138" i="7"/>
  <c r="BC139" i="7"/>
  <c r="BD139" i="7"/>
  <c r="BC140" i="7"/>
  <c r="BD140" i="7"/>
  <c r="BC141" i="7"/>
  <c r="BD141" i="7"/>
  <c r="BC142" i="7"/>
  <c r="BD142" i="7"/>
  <c r="BC143" i="7"/>
  <c r="BD143" i="7"/>
  <c r="BC144" i="7"/>
  <c r="BD144" i="7"/>
  <c r="BC145" i="7"/>
  <c r="BD145" i="7"/>
  <c r="BC146" i="7"/>
  <c r="BD146" i="7"/>
  <c r="BC147" i="7"/>
  <c r="BD147" i="7"/>
  <c r="BC148" i="7"/>
  <c r="BD148" i="7"/>
  <c r="BC149" i="7"/>
  <c r="BD149" i="7"/>
  <c r="BC150" i="7"/>
  <c r="BD150" i="7"/>
  <c r="BC151" i="7"/>
  <c r="BD151" i="7"/>
  <c r="BC152" i="7"/>
  <c r="BD152" i="7"/>
  <c r="BC153" i="7"/>
  <c r="BD153" i="7"/>
  <c r="BC154" i="7"/>
  <c r="BD154" i="7"/>
  <c r="BC155" i="7"/>
  <c r="BD155" i="7"/>
  <c r="BC156" i="7"/>
  <c r="BD156" i="7"/>
  <c r="BC157" i="7"/>
  <c r="BD157" i="7"/>
  <c r="BC158" i="7"/>
  <c r="BD158" i="7"/>
  <c r="BC159" i="7"/>
  <c r="BD159" i="7"/>
  <c r="BC160" i="7"/>
  <c r="BD160" i="7"/>
  <c r="BC161" i="7"/>
  <c r="BD161" i="7"/>
  <c r="BC162" i="7"/>
  <c r="BD162" i="7"/>
  <c r="BC163" i="7"/>
  <c r="BD163" i="7"/>
  <c r="BC164" i="7"/>
  <c r="BD164" i="7"/>
  <c r="BC165" i="7"/>
  <c r="BD165" i="7"/>
  <c r="BC166" i="7"/>
  <c r="BD166" i="7"/>
  <c r="BC167" i="7"/>
  <c r="BD167" i="7"/>
  <c r="BC168" i="7"/>
  <c r="BD168" i="7"/>
  <c r="BA9" i="7"/>
  <c r="BA10" i="7"/>
  <c r="BA11" i="7"/>
  <c r="BA12" i="7"/>
  <c r="BA13" i="7"/>
  <c r="BA14" i="7"/>
  <c r="BA15" i="7"/>
  <c r="BA16" i="7"/>
  <c r="BA17" i="7"/>
  <c r="BA18" i="7"/>
  <c r="BA19" i="7"/>
  <c r="BA20" i="7"/>
  <c r="BA21" i="7"/>
  <c r="BA22" i="7"/>
  <c r="BA23" i="7"/>
  <c r="BA24" i="7"/>
  <c r="BA25" i="7"/>
  <c r="BA26" i="7"/>
  <c r="BA27" i="7"/>
  <c r="BA28" i="7"/>
  <c r="BA29" i="7"/>
  <c r="BA30" i="7"/>
  <c r="BA31" i="7"/>
  <c r="BA32" i="7"/>
  <c r="BA33" i="7"/>
  <c r="BA34" i="7"/>
  <c r="BA35" i="7"/>
  <c r="BA36" i="7"/>
  <c r="BA38" i="7"/>
  <c r="BA39" i="7"/>
  <c r="BA40" i="7"/>
  <c r="BA41" i="7"/>
  <c r="BA42" i="7"/>
  <c r="BA43" i="7"/>
  <c r="BA44" i="7"/>
  <c r="BA45" i="7"/>
  <c r="BA46" i="7"/>
  <c r="BA47" i="7"/>
  <c r="BA48" i="7"/>
  <c r="BA49" i="7"/>
  <c r="BA50" i="7"/>
  <c r="BA51" i="7"/>
  <c r="BA52" i="7"/>
  <c r="BA53" i="7"/>
  <c r="BA54" i="7"/>
  <c r="BA55" i="7"/>
  <c r="BA56" i="7"/>
  <c r="BA57" i="7"/>
  <c r="BA58" i="7"/>
  <c r="BA59" i="7"/>
  <c r="BA60" i="7"/>
  <c r="BA61" i="7"/>
  <c r="BA62" i="7"/>
  <c r="BA63" i="7"/>
  <c r="BA64" i="7"/>
  <c r="BA65" i="7"/>
  <c r="BA66" i="7"/>
  <c r="BA67" i="7"/>
  <c r="BA68" i="7"/>
  <c r="BA70" i="7"/>
  <c r="BA71" i="7"/>
  <c r="BA72" i="7"/>
  <c r="BA73" i="7"/>
  <c r="BA74" i="7"/>
  <c r="BA75" i="7"/>
  <c r="BA76" i="7"/>
  <c r="BA77" i="7"/>
  <c r="BA78" i="7"/>
  <c r="BA79" i="7"/>
  <c r="BA80" i="7"/>
  <c r="BA81" i="7"/>
  <c r="BA82" i="7"/>
  <c r="BA83" i="7"/>
  <c r="BA84" i="7"/>
  <c r="BA85" i="7"/>
  <c r="BA86" i="7"/>
  <c r="BA87" i="7"/>
  <c r="BA88" i="7"/>
  <c r="BA89" i="7"/>
  <c r="BA90" i="7"/>
  <c r="BA91" i="7"/>
  <c r="BA92" i="7"/>
  <c r="BA93" i="7"/>
  <c r="BA94" i="7"/>
  <c r="BA96" i="7"/>
  <c r="BA97" i="7"/>
  <c r="BA99" i="7"/>
  <c r="BA100" i="7"/>
  <c r="BA101" i="7"/>
  <c r="BA102" i="7"/>
  <c r="BA103" i="7"/>
  <c r="BA104" i="7"/>
  <c r="BA105" i="7"/>
  <c r="BA107" i="7"/>
  <c r="BA109" i="7"/>
  <c r="BA110" i="7"/>
  <c r="BA111" i="7"/>
  <c r="BA112" i="7"/>
  <c r="BA113" i="7"/>
  <c r="BA115" i="7"/>
  <c r="BA116" i="7"/>
  <c r="BA117" i="7"/>
  <c r="BA118" i="7"/>
  <c r="BA119" i="7"/>
  <c r="BA120" i="7"/>
  <c r="BA121" i="7"/>
  <c r="BA123" i="7"/>
  <c r="BA124" i="7"/>
  <c r="BA125" i="7"/>
  <c r="BA127" i="7"/>
  <c r="BA128" i="7"/>
  <c r="BA129" i="7"/>
  <c r="BA130" i="7"/>
  <c r="BA131" i="7"/>
  <c r="BA132" i="7"/>
  <c r="BA133" i="7"/>
  <c r="BA134" i="7"/>
  <c r="BA135" i="7"/>
  <c r="BA136" i="7"/>
  <c r="BA137" i="7"/>
  <c r="BA138" i="7"/>
  <c r="BA139" i="7"/>
  <c r="BA140" i="7"/>
  <c r="BA141" i="7"/>
  <c r="BA142" i="7"/>
  <c r="BA143" i="7"/>
  <c r="BA144" i="7"/>
  <c r="BA145" i="7"/>
  <c r="BA146" i="7"/>
  <c r="BA147" i="7"/>
  <c r="BA148" i="7"/>
  <c r="BA149" i="7"/>
  <c r="BA150" i="7"/>
  <c r="BA151" i="7"/>
  <c r="BA152" i="7"/>
  <c r="BA153" i="7"/>
  <c r="BA154" i="7"/>
  <c r="BA155" i="7"/>
  <c r="BA156" i="7"/>
  <c r="BA157" i="7"/>
  <c r="BA158" i="7"/>
  <c r="BA159" i="7"/>
  <c r="BA160" i="7"/>
  <c r="BA161" i="7"/>
  <c r="BA162" i="7"/>
  <c r="BA163" i="7"/>
  <c r="BA164" i="7"/>
  <c r="BA165" i="7"/>
  <c r="BA166" i="7"/>
  <c r="BA167" i="7"/>
  <c r="BA168" i="7"/>
  <c r="AV9" i="7"/>
  <c r="AY9" i="7" s="1"/>
  <c r="AW9" i="7"/>
  <c r="AZ9" i="7" s="1"/>
  <c r="AV10" i="7"/>
  <c r="AW10" i="7"/>
  <c r="AZ10" i="7" s="1"/>
  <c r="AV11" i="7"/>
  <c r="AW11" i="7"/>
  <c r="AZ11" i="7" s="1"/>
  <c r="AV12" i="7"/>
  <c r="AW12" i="7"/>
  <c r="AZ12" i="7" s="1"/>
  <c r="AV13" i="7"/>
  <c r="AW13" i="7"/>
  <c r="AZ13" i="7" s="1"/>
  <c r="AV14" i="7"/>
  <c r="AW14" i="7"/>
  <c r="AZ14" i="7" s="1"/>
  <c r="AV15" i="7"/>
  <c r="AY15" i="7" s="1"/>
  <c r="AW15" i="7"/>
  <c r="AZ15" i="7" s="1"/>
  <c r="AV16" i="7"/>
  <c r="AW16" i="7"/>
  <c r="AZ16" i="7" s="1"/>
  <c r="AV17" i="7"/>
  <c r="AY17" i="7" s="1"/>
  <c r="AW17" i="7"/>
  <c r="AZ17" i="7" s="1"/>
  <c r="AV18" i="7"/>
  <c r="AW18" i="7"/>
  <c r="AZ18" i="7" s="1"/>
  <c r="AV19" i="7"/>
  <c r="AW19" i="7"/>
  <c r="AZ19" i="7" s="1"/>
  <c r="AV20" i="7"/>
  <c r="AW20" i="7"/>
  <c r="AZ20" i="7" s="1"/>
  <c r="AV21" i="7"/>
  <c r="AW21" i="7"/>
  <c r="AZ21" i="7" s="1"/>
  <c r="AV22" i="7"/>
  <c r="AW22" i="7"/>
  <c r="AZ22" i="7" s="1"/>
  <c r="AV23" i="7"/>
  <c r="AY23" i="7" s="1"/>
  <c r="AW23" i="7"/>
  <c r="AZ23" i="7" s="1"/>
  <c r="AV24" i="7"/>
  <c r="AW24" i="7"/>
  <c r="AZ24" i="7" s="1"/>
  <c r="AV25" i="7"/>
  <c r="AY25" i="7" s="1"/>
  <c r="AW25" i="7"/>
  <c r="AZ25" i="7" s="1"/>
  <c r="AV26" i="7"/>
  <c r="AW26" i="7"/>
  <c r="AZ26" i="7" s="1"/>
  <c r="AV27" i="7"/>
  <c r="AW27" i="7"/>
  <c r="AZ27" i="7" s="1"/>
  <c r="AV28" i="7"/>
  <c r="AW28" i="7"/>
  <c r="AZ28" i="7" s="1"/>
  <c r="AV29" i="7"/>
  <c r="AW29" i="7"/>
  <c r="AZ29" i="7" s="1"/>
  <c r="AV30" i="7"/>
  <c r="AW30" i="7"/>
  <c r="AZ30" i="7" s="1"/>
  <c r="AV31" i="7"/>
  <c r="AY31" i="7" s="1"/>
  <c r="AW31" i="7"/>
  <c r="AZ31" i="7" s="1"/>
  <c r="AV32" i="7"/>
  <c r="AW32" i="7"/>
  <c r="AZ32" i="7" s="1"/>
  <c r="AV33" i="7"/>
  <c r="AY33" i="7" s="1"/>
  <c r="AW33" i="7"/>
  <c r="AZ33" i="7" s="1"/>
  <c r="AV34" i="7"/>
  <c r="AW34" i="7"/>
  <c r="AZ34" i="7" s="1"/>
  <c r="AV35" i="7"/>
  <c r="AW35" i="7"/>
  <c r="AZ35" i="7" s="1"/>
  <c r="AV36" i="7"/>
  <c r="AW36" i="7"/>
  <c r="AZ36" i="7" s="1"/>
  <c r="AV38" i="7"/>
  <c r="AW38" i="7"/>
  <c r="AZ38" i="7" s="1"/>
  <c r="AV39" i="7"/>
  <c r="AW39" i="7"/>
  <c r="AZ39" i="7" s="1"/>
  <c r="AV40" i="7"/>
  <c r="AW40" i="7"/>
  <c r="AZ40" i="7" s="1"/>
  <c r="AV41" i="7"/>
  <c r="AW41" i="7"/>
  <c r="AZ41" i="7" s="1"/>
  <c r="AV42" i="7"/>
  <c r="AW42" i="7"/>
  <c r="AZ42" i="7" s="1"/>
  <c r="AV43" i="7"/>
  <c r="AW43" i="7"/>
  <c r="AZ43" i="7" s="1"/>
  <c r="AV44" i="7"/>
  <c r="AW44" i="7"/>
  <c r="AZ44" i="7" s="1"/>
  <c r="AV45" i="7"/>
  <c r="AW45" i="7"/>
  <c r="AZ45" i="7" s="1"/>
  <c r="AV46" i="7"/>
  <c r="AW46" i="7"/>
  <c r="AZ46" i="7" s="1"/>
  <c r="AV47" i="7"/>
  <c r="AW47" i="7"/>
  <c r="AZ47" i="7" s="1"/>
  <c r="AV48" i="7"/>
  <c r="AY48" i="7" s="1"/>
  <c r="AW48" i="7"/>
  <c r="AZ48" i="7" s="1"/>
  <c r="AV49" i="7"/>
  <c r="AW49" i="7"/>
  <c r="AZ49" i="7" s="1"/>
  <c r="AV50" i="7"/>
  <c r="AW50" i="7"/>
  <c r="AV51" i="7"/>
  <c r="AW51" i="7"/>
  <c r="AZ51" i="7" s="1"/>
  <c r="AV52" i="7"/>
  <c r="AW52" i="7"/>
  <c r="AZ52" i="7" s="1"/>
  <c r="AV53" i="7"/>
  <c r="AW53" i="7"/>
  <c r="AZ53" i="7" s="1"/>
  <c r="AV54" i="7"/>
  <c r="AW54" i="7"/>
  <c r="AV55" i="7"/>
  <c r="AW55" i="7"/>
  <c r="AZ55" i="7" s="1"/>
  <c r="AV56" i="7"/>
  <c r="AY56" i="7" s="1"/>
  <c r="AW56" i="7"/>
  <c r="AZ56" i="7" s="1"/>
  <c r="AV57" i="7"/>
  <c r="AW57" i="7"/>
  <c r="AZ57" i="7" s="1"/>
  <c r="AV58" i="7"/>
  <c r="AW58" i="7"/>
  <c r="AZ58" i="7" s="1"/>
  <c r="AV59" i="7"/>
  <c r="AW59" i="7"/>
  <c r="AZ59" i="7" s="1"/>
  <c r="AV60" i="7"/>
  <c r="AW60" i="7"/>
  <c r="AZ60" i="7" s="1"/>
  <c r="AV61" i="7"/>
  <c r="AW61" i="7"/>
  <c r="AZ61" i="7" s="1"/>
  <c r="AV62" i="7"/>
  <c r="AW62" i="7"/>
  <c r="AZ62" i="7" s="1"/>
  <c r="AV63" i="7"/>
  <c r="AW63" i="7"/>
  <c r="AZ63" i="7" s="1"/>
  <c r="AV64" i="7"/>
  <c r="AY64" i="7" s="1"/>
  <c r="AW64" i="7"/>
  <c r="AZ64" i="7" s="1"/>
  <c r="AV65" i="7"/>
  <c r="AW65" i="7"/>
  <c r="AZ65" i="7" s="1"/>
  <c r="AV66" i="7"/>
  <c r="AW66" i="7"/>
  <c r="AZ66" i="7" s="1"/>
  <c r="AV67" i="7"/>
  <c r="AW67" i="7"/>
  <c r="AZ67" i="7" s="1"/>
  <c r="AV68" i="7"/>
  <c r="AW68" i="7"/>
  <c r="AZ68" i="7" s="1"/>
  <c r="AV70" i="7"/>
  <c r="AW70" i="7"/>
  <c r="AZ70" i="7" s="1"/>
  <c r="AV71" i="7"/>
  <c r="AW71" i="7"/>
  <c r="AZ71" i="7" s="1"/>
  <c r="AV72" i="7"/>
  <c r="AW72" i="7"/>
  <c r="AZ72" i="7" s="1"/>
  <c r="AV73" i="7"/>
  <c r="AY73" i="7" s="1"/>
  <c r="AW73" i="7"/>
  <c r="AZ73" i="7" s="1"/>
  <c r="AV74" i="7"/>
  <c r="AW74" i="7"/>
  <c r="AZ74" i="7" s="1"/>
  <c r="AV75" i="7"/>
  <c r="AY75" i="7" s="1"/>
  <c r="AW75" i="7"/>
  <c r="AZ75" i="7" s="1"/>
  <c r="AV76" i="7"/>
  <c r="AW76" i="7"/>
  <c r="AZ76" i="7" s="1"/>
  <c r="AV77" i="7"/>
  <c r="AW77" i="7"/>
  <c r="AZ77" i="7" s="1"/>
  <c r="AV78" i="7"/>
  <c r="AW78" i="7"/>
  <c r="AZ78" i="7" s="1"/>
  <c r="AV79" i="7"/>
  <c r="AW79" i="7"/>
  <c r="AZ79" i="7" s="1"/>
  <c r="AV80" i="7"/>
  <c r="AW80" i="7"/>
  <c r="AZ80" i="7" s="1"/>
  <c r="AV81" i="7"/>
  <c r="AY81" i="7" s="1"/>
  <c r="AW81" i="7"/>
  <c r="AZ81" i="7" s="1"/>
  <c r="AV82" i="7"/>
  <c r="AW82" i="7"/>
  <c r="AZ82" i="7" s="1"/>
  <c r="AV83" i="7"/>
  <c r="AW83" i="7"/>
  <c r="AZ83" i="7" s="1"/>
  <c r="AV84" i="7"/>
  <c r="AW84" i="7"/>
  <c r="AZ84" i="7" s="1"/>
  <c r="AV85" i="7"/>
  <c r="AW85" i="7"/>
  <c r="AZ85" i="7" s="1"/>
  <c r="AV86" i="7"/>
  <c r="AW86" i="7"/>
  <c r="AZ86" i="7" s="1"/>
  <c r="AV87" i="7"/>
  <c r="AW87" i="7"/>
  <c r="AZ87" i="7" s="1"/>
  <c r="AV88" i="7"/>
  <c r="AW88" i="7"/>
  <c r="AZ88" i="7" s="1"/>
  <c r="AV89" i="7"/>
  <c r="AY89" i="7" s="1"/>
  <c r="AW89" i="7"/>
  <c r="AZ89" i="7" s="1"/>
  <c r="AV90" i="7"/>
  <c r="AW90" i="7"/>
  <c r="AZ90" i="7" s="1"/>
  <c r="AV91" i="7"/>
  <c r="AY91" i="7" s="1"/>
  <c r="AW91" i="7"/>
  <c r="AZ91" i="7" s="1"/>
  <c r="AV92" i="7"/>
  <c r="AW92" i="7"/>
  <c r="AZ92" i="7" s="1"/>
  <c r="AV93" i="7"/>
  <c r="AW93" i="7"/>
  <c r="AZ93" i="7" s="1"/>
  <c r="AV94" i="7"/>
  <c r="AW94" i="7"/>
  <c r="AZ94" i="7" s="1"/>
  <c r="AV96" i="7"/>
  <c r="AW96" i="7"/>
  <c r="AZ96" i="7" s="1"/>
  <c r="AV97" i="7"/>
  <c r="AW97" i="7"/>
  <c r="AZ97" i="7" s="1"/>
  <c r="AV99" i="7"/>
  <c r="AW99" i="7"/>
  <c r="AZ99" i="7" s="1"/>
  <c r="AV100" i="7"/>
  <c r="AW100" i="7"/>
  <c r="AZ100" i="7" s="1"/>
  <c r="AV101" i="7"/>
  <c r="AW101" i="7"/>
  <c r="AZ101" i="7" s="1"/>
  <c r="AV102" i="7"/>
  <c r="AW102" i="7"/>
  <c r="AZ102" i="7" s="1"/>
  <c r="AV103" i="7"/>
  <c r="AW103" i="7"/>
  <c r="AZ103" i="7" s="1"/>
  <c r="AV104" i="7"/>
  <c r="AW104" i="7"/>
  <c r="AZ104" i="7" s="1"/>
  <c r="AV105" i="7"/>
  <c r="AW105" i="7"/>
  <c r="AZ105" i="7" s="1"/>
  <c r="AV107" i="7"/>
  <c r="AW107" i="7"/>
  <c r="AZ107" i="7" s="1"/>
  <c r="AV109" i="7"/>
  <c r="AW109" i="7"/>
  <c r="AZ109" i="7" s="1"/>
  <c r="AV110" i="7"/>
  <c r="AW110" i="7"/>
  <c r="AZ110" i="7" s="1"/>
  <c r="AV111" i="7"/>
  <c r="AW111" i="7"/>
  <c r="AZ111" i="7" s="1"/>
  <c r="AV112" i="7"/>
  <c r="AW112" i="7"/>
  <c r="AZ112" i="7" s="1"/>
  <c r="AV113" i="7"/>
  <c r="AW113" i="7"/>
  <c r="AZ113" i="7" s="1"/>
  <c r="AV115" i="7"/>
  <c r="AW115" i="7"/>
  <c r="AZ115" i="7" s="1"/>
  <c r="AV116" i="7"/>
  <c r="AW116" i="7"/>
  <c r="AZ116" i="7" s="1"/>
  <c r="AV117" i="7"/>
  <c r="AW117" i="7"/>
  <c r="AZ117" i="7" s="1"/>
  <c r="AV118" i="7"/>
  <c r="AW118" i="7"/>
  <c r="AZ118" i="7" s="1"/>
  <c r="AV119" i="7"/>
  <c r="AW119" i="7"/>
  <c r="AZ119" i="7" s="1"/>
  <c r="AV120" i="7"/>
  <c r="AW120" i="7"/>
  <c r="AZ120" i="7" s="1"/>
  <c r="AV121" i="7"/>
  <c r="AW121" i="7"/>
  <c r="AZ121" i="7" s="1"/>
  <c r="AV123" i="7"/>
  <c r="AW123" i="7"/>
  <c r="AZ123" i="7" s="1"/>
  <c r="AV124" i="7"/>
  <c r="AW124" i="7"/>
  <c r="AZ124" i="7" s="1"/>
  <c r="AV125" i="7"/>
  <c r="AW125" i="7"/>
  <c r="AZ125" i="7" s="1"/>
  <c r="AV127" i="7"/>
  <c r="AW127" i="7"/>
  <c r="AZ127" i="7" s="1"/>
  <c r="AV128" i="7"/>
  <c r="AW128" i="7"/>
  <c r="AZ128" i="7" s="1"/>
  <c r="AV129" i="7"/>
  <c r="AW129" i="7"/>
  <c r="AZ129" i="7" s="1"/>
  <c r="AV130" i="7"/>
  <c r="AW130" i="7"/>
  <c r="AZ130" i="7" s="1"/>
  <c r="AV131" i="7"/>
  <c r="AW131" i="7"/>
  <c r="AZ131" i="7" s="1"/>
  <c r="AV132" i="7"/>
  <c r="AW132" i="7"/>
  <c r="AZ132" i="7" s="1"/>
  <c r="AV133" i="7"/>
  <c r="AW133" i="7"/>
  <c r="AZ133" i="7" s="1"/>
  <c r="AV134" i="7"/>
  <c r="AW134" i="7"/>
  <c r="AZ134" i="7" s="1"/>
  <c r="AV135" i="7"/>
  <c r="AW135" i="7"/>
  <c r="AZ135" i="7" s="1"/>
  <c r="AV136" i="7"/>
  <c r="AW136" i="7"/>
  <c r="AZ136" i="7" s="1"/>
  <c r="AV137" i="7"/>
  <c r="AW137" i="7"/>
  <c r="AZ137" i="7" s="1"/>
  <c r="AV138" i="7"/>
  <c r="AW138" i="7"/>
  <c r="AZ138" i="7" s="1"/>
  <c r="AV139" i="7"/>
  <c r="AW139" i="7"/>
  <c r="AZ139" i="7" s="1"/>
  <c r="AV140" i="7"/>
  <c r="AW140" i="7"/>
  <c r="AZ140" i="7" s="1"/>
  <c r="AV141" i="7"/>
  <c r="AW141" i="7"/>
  <c r="AZ141" i="7" s="1"/>
  <c r="AV142" i="7"/>
  <c r="AW142" i="7"/>
  <c r="AZ142" i="7" s="1"/>
  <c r="AV143" i="7"/>
  <c r="AW143" i="7"/>
  <c r="AZ143" i="7" s="1"/>
  <c r="AV144" i="7"/>
  <c r="AW144" i="7"/>
  <c r="AZ144" i="7" s="1"/>
  <c r="AV145" i="7"/>
  <c r="AW145" i="7"/>
  <c r="AZ145" i="7" s="1"/>
  <c r="AV146" i="7"/>
  <c r="AW146" i="7"/>
  <c r="AZ146" i="7" s="1"/>
  <c r="AV147" i="7"/>
  <c r="AW147" i="7"/>
  <c r="AZ147" i="7" s="1"/>
  <c r="AV148" i="7"/>
  <c r="AW148" i="7"/>
  <c r="AZ148" i="7" s="1"/>
  <c r="AV149" i="7"/>
  <c r="AW149" i="7"/>
  <c r="AZ149" i="7" s="1"/>
  <c r="AV150" i="7"/>
  <c r="AW150" i="7"/>
  <c r="AZ150" i="7" s="1"/>
  <c r="AV151" i="7"/>
  <c r="AW151" i="7"/>
  <c r="AZ151" i="7" s="1"/>
  <c r="AV152" i="7"/>
  <c r="AW152" i="7"/>
  <c r="AZ152" i="7" s="1"/>
  <c r="AV153" i="7"/>
  <c r="AW153" i="7"/>
  <c r="AZ153" i="7" s="1"/>
  <c r="AV154" i="7"/>
  <c r="AW154" i="7"/>
  <c r="AZ154" i="7" s="1"/>
  <c r="AV155" i="7"/>
  <c r="AW155" i="7"/>
  <c r="AZ155" i="7" s="1"/>
  <c r="AV156" i="7"/>
  <c r="AW156" i="7"/>
  <c r="AZ156" i="7" s="1"/>
  <c r="AV157" i="7"/>
  <c r="AW157" i="7"/>
  <c r="AZ157" i="7" s="1"/>
  <c r="AV158" i="7"/>
  <c r="AW158" i="7"/>
  <c r="AZ158" i="7" s="1"/>
  <c r="AV159" i="7"/>
  <c r="AW159" i="7"/>
  <c r="AZ159" i="7" s="1"/>
  <c r="AV160" i="7"/>
  <c r="AW160" i="7"/>
  <c r="AZ160" i="7" s="1"/>
  <c r="AV161" i="7"/>
  <c r="AW161" i="7"/>
  <c r="AZ161" i="7" s="1"/>
  <c r="AV162" i="7"/>
  <c r="AW162" i="7"/>
  <c r="AZ162" i="7" s="1"/>
  <c r="AV163" i="7"/>
  <c r="AW163" i="7"/>
  <c r="AZ163" i="7" s="1"/>
  <c r="AV164" i="7"/>
  <c r="AW164" i="7"/>
  <c r="AZ164" i="7" s="1"/>
  <c r="AV165" i="7"/>
  <c r="AW165" i="7"/>
  <c r="AZ165" i="7" s="1"/>
  <c r="AV166" i="7"/>
  <c r="AW166" i="7"/>
  <c r="AZ166" i="7" s="1"/>
  <c r="AV167" i="7"/>
  <c r="AW167" i="7"/>
  <c r="AZ167" i="7" s="1"/>
  <c r="AV168" i="7"/>
  <c r="AW168" i="7"/>
  <c r="AZ168" i="7" s="1"/>
  <c r="AR9" i="7"/>
  <c r="AS9" i="7"/>
  <c r="AR10" i="7"/>
  <c r="AS10" i="7"/>
  <c r="AR11" i="7"/>
  <c r="AS11" i="7"/>
  <c r="AR12" i="7"/>
  <c r="AS12" i="7"/>
  <c r="AR13" i="7"/>
  <c r="AS13" i="7"/>
  <c r="AR14" i="7"/>
  <c r="AS14" i="7"/>
  <c r="AR15" i="7"/>
  <c r="AS15" i="7"/>
  <c r="AR16" i="7"/>
  <c r="AS16" i="7"/>
  <c r="AR17" i="7"/>
  <c r="AS17" i="7"/>
  <c r="AR18" i="7"/>
  <c r="AS18" i="7"/>
  <c r="AR19" i="7"/>
  <c r="AS19" i="7"/>
  <c r="AR20" i="7"/>
  <c r="AS20" i="7"/>
  <c r="AR21" i="7"/>
  <c r="AS21" i="7"/>
  <c r="AR22" i="7"/>
  <c r="AS22" i="7"/>
  <c r="AR23" i="7"/>
  <c r="AS23" i="7"/>
  <c r="AR24" i="7"/>
  <c r="AS24" i="7"/>
  <c r="AR25" i="7"/>
  <c r="AS25" i="7"/>
  <c r="AR26" i="7"/>
  <c r="AS26" i="7"/>
  <c r="AR27" i="7"/>
  <c r="AS27" i="7"/>
  <c r="AR28" i="7"/>
  <c r="AS28" i="7"/>
  <c r="AR29" i="7"/>
  <c r="AS29" i="7"/>
  <c r="AR30" i="7"/>
  <c r="AS30" i="7"/>
  <c r="AR31" i="7"/>
  <c r="AS31" i="7"/>
  <c r="AR32" i="7"/>
  <c r="AS32" i="7"/>
  <c r="AR33" i="7"/>
  <c r="AS33" i="7"/>
  <c r="AR34" i="7"/>
  <c r="AS34" i="7"/>
  <c r="AR35" i="7"/>
  <c r="AS35" i="7"/>
  <c r="AR36" i="7"/>
  <c r="AS36" i="7"/>
  <c r="AR38" i="7"/>
  <c r="AS38" i="7"/>
  <c r="AR39" i="7"/>
  <c r="AS39" i="7"/>
  <c r="AR40" i="7"/>
  <c r="AS40" i="7"/>
  <c r="AR41" i="7"/>
  <c r="AS41" i="7"/>
  <c r="AR42" i="7"/>
  <c r="AS42" i="7"/>
  <c r="AR43" i="7"/>
  <c r="AS43" i="7"/>
  <c r="AR44" i="7"/>
  <c r="AS44" i="7"/>
  <c r="AR45" i="7"/>
  <c r="AS45" i="7"/>
  <c r="AR46" i="7"/>
  <c r="AS46" i="7"/>
  <c r="AR47" i="7"/>
  <c r="AS47" i="7"/>
  <c r="AR48" i="7"/>
  <c r="AS48" i="7"/>
  <c r="AR49" i="7"/>
  <c r="AS49" i="7"/>
  <c r="AR50" i="7"/>
  <c r="AS50" i="7"/>
  <c r="AR51" i="7"/>
  <c r="AS51" i="7"/>
  <c r="AR52" i="7"/>
  <c r="AS52" i="7"/>
  <c r="AR53" i="7"/>
  <c r="AS53" i="7"/>
  <c r="AR54" i="7"/>
  <c r="AS54" i="7"/>
  <c r="AR55" i="7"/>
  <c r="AS55" i="7"/>
  <c r="AR56" i="7"/>
  <c r="AS56" i="7"/>
  <c r="AR57" i="7"/>
  <c r="AS57" i="7"/>
  <c r="AR58" i="7"/>
  <c r="AS58" i="7"/>
  <c r="AR59" i="7"/>
  <c r="AS59" i="7"/>
  <c r="AR60" i="7"/>
  <c r="AS60" i="7"/>
  <c r="AR61" i="7"/>
  <c r="AS61" i="7"/>
  <c r="AR62" i="7"/>
  <c r="AS62" i="7"/>
  <c r="AR63" i="7"/>
  <c r="AS63" i="7"/>
  <c r="AR64" i="7"/>
  <c r="AS64" i="7"/>
  <c r="AR65" i="7"/>
  <c r="AS65" i="7"/>
  <c r="AR66" i="7"/>
  <c r="AS66" i="7"/>
  <c r="AR67" i="7"/>
  <c r="AS67" i="7"/>
  <c r="AR68" i="7"/>
  <c r="AS68" i="7"/>
  <c r="AR70" i="7"/>
  <c r="AS70" i="7"/>
  <c r="AR71" i="7"/>
  <c r="AS71" i="7"/>
  <c r="AR72" i="7"/>
  <c r="AS72" i="7"/>
  <c r="AR73" i="7"/>
  <c r="AS73" i="7"/>
  <c r="AR74" i="7"/>
  <c r="AS74" i="7"/>
  <c r="AR75" i="7"/>
  <c r="AS75" i="7"/>
  <c r="AR76" i="7"/>
  <c r="AS76" i="7"/>
  <c r="AR77" i="7"/>
  <c r="AS77" i="7"/>
  <c r="AR78" i="7"/>
  <c r="AS78" i="7"/>
  <c r="AR79" i="7"/>
  <c r="AS79" i="7"/>
  <c r="AR80" i="7"/>
  <c r="AS80" i="7"/>
  <c r="AR81" i="7"/>
  <c r="AS81" i="7"/>
  <c r="AR82" i="7"/>
  <c r="AS82" i="7"/>
  <c r="AR83" i="7"/>
  <c r="AS83" i="7"/>
  <c r="AR84" i="7"/>
  <c r="AS84" i="7"/>
  <c r="AR85" i="7"/>
  <c r="AS85" i="7"/>
  <c r="AR86" i="7"/>
  <c r="AS86" i="7"/>
  <c r="AR87" i="7"/>
  <c r="AS87" i="7"/>
  <c r="AR88" i="7"/>
  <c r="AS88" i="7"/>
  <c r="AR89" i="7"/>
  <c r="AS89" i="7"/>
  <c r="AR90" i="7"/>
  <c r="AS90" i="7"/>
  <c r="AR91" i="7"/>
  <c r="AS91" i="7"/>
  <c r="AR92" i="7"/>
  <c r="AS92" i="7"/>
  <c r="AR93" i="7"/>
  <c r="AS93" i="7"/>
  <c r="AR94" i="7"/>
  <c r="AS94" i="7"/>
  <c r="AR96" i="7"/>
  <c r="AS96" i="7"/>
  <c r="AR97" i="7"/>
  <c r="AS97" i="7"/>
  <c r="AR99" i="7"/>
  <c r="AS99" i="7"/>
  <c r="AR100" i="7"/>
  <c r="AS100" i="7"/>
  <c r="AR101" i="7"/>
  <c r="AS101" i="7"/>
  <c r="AR102" i="7"/>
  <c r="AS102" i="7"/>
  <c r="AR103" i="7"/>
  <c r="AS103" i="7"/>
  <c r="AR104" i="7"/>
  <c r="AS104" i="7"/>
  <c r="AR105" i="7"/>
  <c r="AS105" i="7"/>
  <c r="AR107" i="7"/>
  <c r="AS107" i="7"/>
  <c r="AR109" i="7"/>
  <c r="AS109" i="7"/>
  <c r="AR110" i="7"/>
  <c r="AS110" i="7"/>
  <c r="AR111" i="7"/>
  <c r="AS111" i="7"/>
  <c r="AR112" i="7"/>
  <c r="AS112" i="7"/>
  <c r="AR113" i="7"/>
  <c r="AS113" i="7"/>
  <c r="AR115" i="7"/>
  <c r="AS115" i="7"/>
  <c r="AR116" i="7"/>
  <c r="AS116" i="7"/>
  <c r="AR117" i="7"/>
  <c r="AS117" i="7"/>
  <c r="AR118" i="7"/>
  <c r="AS118" i="7"/>
  <c r="AR119" i="7"/>
  <c r="AS119" i="7"/>
  <c r="AR120" i="7"/>
  <c r="AS120" i="7"/>
  <c r="AR121" i="7"/>
  <c r="AS121" i="7"/>
  <c r="AR123" i="7"/>
  <c r="AS123" i="7"/>
  <c r="AR124" i="7"/>
  <c r="AS124" i="7"/>
  <c r="AR125" i="7"/>
  <c r="AS125" i="7"/>
  <c r="AR127" i="7"/>
  <c r="AS127" i="7"/>
  <c r="AR128" i="7"/>
  <c r="AS128" i="7"/>
  <c r="AR129" i="7"/>
  <c r="AS129" i="7"/>
  <c r="AR130" i="7"/>
  <c r="AS130" i="7"/>
  <c r="AR131" i="7"/>
  <c r="AS131" i="7"/>
  <c r="AR132" i="7"/>
  <c r="AS132" i="7"/>
  <c r="AR133" i="7"/>
  <c r="AS133" i="7"/>
  <c r="AR134" i="7"/>
  <c r="AS134" i="7"/>
  <c r="AR135" i="7"/>
  <c r="AS135" i="7"/>
  <c r="AR136" i="7"/>
  <c r="AS136" i="7"/>
  <c r="AR137" i="7"/>
  <c r="AS137" i="7"/>
  <c r="AR138" i="7"/>
  <c r="AS138" i="7"/>
  <c r="AR139" i="7"/>
  <c r="AS139" i="7"/>
  <c r="AR140" i="7"/>
  <c r="AS140" i="7"/>
  <c r="AR141" i="7"/>
  <c r="AS141" i="7"/>
  <c r="AR142" i="7"/>
  <c r="AS142" i="7"/>
  <c r="AR143" i="7"/>
  <c r="AS143" i="7"/>
  <c r="AR144" i="7"/>
  <c r="AS144" i="7"/>
  <c r="AR145" i="7"/>
  <c r="AS145" i="7"/>
  <c r="AR146" i="7"/>
  <c r="AS146" i="7"/>
  <c r="AR147" i="7"/>
  <c r="AS147" i="7"/>
  <c r="AR148" i="7"/>
  <c r="AS148" i="7"/>
  <c r="AR149" i="7"/>
  <c r="AS149" i="7"/>
  <c r="AR150" i="7"/>
  <c r="AS150" i="7"/>
  <c r="AR151" i="7"/>
  <c r="AS151" i="7"/>
  <c r="AR152" i="7"/>
  <c r="AS152" i="7"/>
  <c r="AR153" i="7"/>
  <c r="AS153" i="7"/>
  <c r="AR154" i="7"/>
  <c r="AS154" i="7"/>
  <c r="AR155" i="7"/>
  <c r="AS155" i="7"/>
  <c r="AR156" i="7"/>
  <c r="AS156" i="7"/>
  <c r="AR157" i="7"/>
  <c r="AS157" i="7"/>
  <c r="AR158" i="7"/>
  <c r="AS158" i="7"/>
  <c r="AR159" i="7"/>
  <c r="AS159" i="7"/>
  <c r="AR160" i="7"/>
  <c r="AS160" i="7"/>
  <c r="AR161" i="7"/>
  <c r="AS161" i="7"/>
  <c r="AR162" i="7"/>
  <c r="AS162" i="7"/>
  <c r="AR163" i="7"/>
  <c r="AS163" i="7"/>
  <c r="AR164" i="7"/>
  <c r="AS164" i="7"/>
  <c r="AR165" i="7"/>
  <c r="AS165" i="7"/>
  <c r="AR166" i="7"/>
  <c r="AS166" i="7"/>
  <c r="AR167" i="7"/>
  <c r="AS167" i="7"/>
  <c r="AR168" i="7"/>
  <c r="AS168" i="7"/>
  <c r="AP9" i="7"/>
  <c r="AP10" i="7"/>
  <c r="AP11" i="7"/>
  <c r="AP12" i="7"/>
  <c r="AP13" i="7"/>
  <c r="AP14" i="7"/>
  <c r="AP15" i="7"/>
  <c r="AP16" i="7"/>
  <c r="AP17" i="7"/>
  <c r="AP18" i="7"/>
  <c r="AP19" i="7"/>
  <c r="AP20" i="7"/>
  <c r="AP21" i="7"/>
  <c r="AP22" i="7"/>
  <c r="AP23" i="7"/>
  <c r="AP24" i="7"/>
  <c r="AP25" i="7"/>
  <c r="AP26" i="7"/>
  <c r="AP27" i="7"/>
  <c r="AP28" i="7"/>
  <c r="AP29" i="7"/>
  <c r="AP30" i="7"/>
  <c r="AP31" i="7"/>
  <c r="AP32" i="7"/>
  <c r="AP33" i="7"/>
  <c r="AP34" i="7"/>
  <c r="AP35" i="7"/>
  <c r="AP36" i="7"/>
  <c r="AP38" i="7"/>
  <c r="AP39" i="7"/>
  <c r="AP40" i="7"/>
  <c r="AP41" i="7"/>
  <c r="AP42" i="7"/>
  <c r="AP43" i="7"/>
  <c r="AP44" i="7"/>
  <c r="AP45" i="7"/>
  <c r="AP46" i="7"/>
  <c r="AP47" i="7"/>
  <c r="AP48" i="7"/>
  <c r="AP49" i="7"/>
  <c r="AP50" i="7"/>
  <c r="AP51" i="7"/>
  <c r="AP52" i="7"/>
  <c r="AP53" i="7"/>
  <c r="AP54" i="7"/>
  <c r="AP55" i="7"/>
  <c r="AP56" i="7"/>
  <c r="AP57" i="7"/>
  <c r="AP58" i="7"/>
  <c r="AP59" i="7"/>
  <c r="AP60" i="7"/>
  <c r="AP61" i="7"/>
  <c r="AP62" i="7"/>
  <c r="AP63" i="7"/>
  <c r="AP64" i="7"/>
  <c r="AP65" i="7"/>
  <c r="AP66" i="7"/>
  <c r="AP67" i="7"/>
  <c r="AP68" i="7"/>
  <c r="AP70" i="7"/>
  <c r="AP71" i="7"/>
  <c r="AP72" i="7"/>
  <c r="AP73" i="7"/>
  <c r="AP74" i="7"/>
  <c r="AP75" i="7"/>
  <c r="AP76" i="7"/>
  <c r="AP77" i="7"/>
  <c r="AP78" i="7"/>
  <c r="AP79" i="7"/>
  <c r="AP80" i="7"/>
  <c r="AP81" i="7"/>
  <c r="AP82" i="7"/>
  <c r="AP83" i="7"/>
  <c r="AP84" i="7"/>
  <c r="AP85" i="7"/>
  <c r="AP86" i="7"/>
  <c r="AP87" i="7"/>
  <c r="AP88" i="7"/>
  <c r="AP89" i="7"/>
  <c r="AP90" i="7"/>
  <c r="AP91" i="7"/>
  <c r="AP92" i="7"/>
  <c r="AP93" i="7"/>
  <c r="AP94" i="7"/>
  <c r="AP96" i="7"/>
  <c r="AP97" i="7"/>
  <c r="AP99" i="7"/>
  <c r="AP100" i="7"/>
  <c r="AP101" i="7"/>
  <c r="AP102" i="7"/>
  <c r="AP103" i="7"/>
  <c r="AP104" i="7"/>
  <c r="AP105" i="7"/>
  <c r="AP107" i="7"/>
  <c r="AP109" i="7"/>
  <c r="AP110" i="7"/>
  <c r="AP111" i="7"/>
  <c r="AP112" i="7"/>
  <c r="AP113" i="7"/>
  <c r="AP115" i="7"/>
  <c r="AP116" i="7"/>
  <c r="AP117" i="7"/>
  <c r="AP118" i="7"/>
  <c r="AP119" i="7"/>
  <c r="AP120" i="7"/>
  <c r="AP121" i="7"/>
  <c r="AP123" i="7"/>
  <c r="AP124" i="7"/>
  <c r="AP125" i="7"/>
  <c r="AP127" i="7"/>
  <c r="AP128" i="7"/>
  <c r="AP129" i="7"/>
  <c r="AP130" i="7"/>
  <c r="AP131" i="7"/>
  <c r="AP132" i="7"/>
  <c r="AP133" i="7"/>
  <c r="AP134" i="7"/>
  <c r="AP135" i="7"/>
  <c r="AP136" i="7"/>
  <c r="AP137" i="7"/>
  <c r="AP138" i="7"/>
  <c r="AP139" i="7"/>
  <c r="AP140" i="7"/>
  <c r="AP141" i="7"/>
  <c r="AP142" i="7"/>
  <c r="AP143" i="7"/>
  <c r="AP144" i="7"/>
  <c r="AP145" i="7"/>
  <c r="AP146" i="7"/>
  <c r="AP147" i="7"/>
  <c r="AP148" i="7"/>
  <c r="AP149" i="7"/>
  <c r="AP150" i="7"/>
  <c r="AP151" i="7"/>
  <c r="AP152" i="7"/>
  <c r="AP153" i="7"/>
  <c r="AP154" i="7"/>
  <c r="AP155" i="7"/>
  <c r="AP156" i="7"/>
  <c r="AP157" i="7"/>
  <c r="AP158" i="7"/>
  <c r="AP159" i="7"/>
  <c r="AP160" i="7"/>
  <c r="AP161" i="7"/>
  <c r="AP162" i="7"/>
  <c r="AP163" i="7"/>
  <c r="AP164" i="7"/>
  <c r="AP165" i="7"/>
  <c r="AP166" i="7"/>
  <c r="AP167" i="7"/>
  <c r="AP168" i="7"/>
  <c r="AK9" i="7"/>
  <c r="AN9" i="7" s="1"/>
  <c r="AL9" i="7"/>
  <c r="AO9" i="7" s="1"/>
  <c r="AK10" i="7"/>
  <c r="AL10" i="7"/>
  <c r="AO10" i="7" s="1"/>
  <c r="AK11" i="7"/>
  <c r="AN11" i="7" s="1"/>
  <c r="AL11" i="7"/>
  <c r="AO11" i="7" s="1"/>
  <c r="AK12" i="7"/>
  <c r="AL12" i="7"/>
  <c r="AO12" i="7" s="1"/>
  <c r="AK13" i="7"/>
  <c r="AL13" i="7"/>
  <c r="AO13" i="7" s="1"/>
  <c r="AK14" i="7"/>
  <c r="AL14" i="7"/>
  <c r="AO14" i="7" s="1"/>
  <c r="AK15" i="7"/>
  <c r="AL15" i="7"/>
  <c r="AO15" i="7" s="1"/>
  <c r="AK16" i="7"/>
  <c r="AL16" i="7"/>
  <c r="AO16" i="7" s="1"/>
  <c r="AK17" i="7"/>
  <c r="AN17" i="7" s="1"/>
  <c r="AL17" i="7"/>
  <c r="AO17" i="7" s="1"/>
  <c r="AK18" i="7"/>
  <c r="AL18" i="7"/>
  <c r="AO18" i="7" s="1"/>
  <c r="AK19" i="7"/>
  <c r="AN19" i="7" s="1"/>
  <c r="AL19" i="7"/>
  <c r="AO19" i="7" s="1"/>
  <c r="AK20" i="7"/>
  <c r="AL20" i="7"/>
  <c r="AO20" i="7" s="1"/>
  <c r="AK21" i="7"/>
  <c r="AL21" i="7"/>
  <c r="AO21" i="7" s="1"/>
  <c r="AK22" i="7"/>
  <c r="AL22" i="7"/>
  <c r="AO22" i="7" s="1"/>
  <c r="AK23" i="7"/>
  <c r="AL23" i="7"/>
  <c r="AO23" i="7" s="1"/>
  <c r="AK24" i="7"/>
  <c r="AL24" i="7"/>
  <c r="AO24" i="7" s="1"/>
  <c r="AK25" i="7"/>
  <c r="AN25" i="7" s="1"/>
  <c r="AL25" i="7"/>
  <c r="AO25" i="7" s="1"/>
  <c r="AK26" i="7"/>
  <c r="AL26" i="7"/>
  <c r="AO26" i="7" s="1"/>
  <c r="AK27" i="7"/>
  <c r="AN27" i="7" s="1"/>
  <c r="AL27" i="7"/>
  <c r="AO27" i="7" s="1"/>
  <c r="AK28" i="7"/>
  <c r="AL28" i="7"/>
  <c r="AO28" i="7" s="1"/>
  <c r="AK29" i="7"/>
  <c r="AL29" i="7"/>
  <c r="AO29" i="7" s="1"/>
  <c r="AK30" i="7"/>
  <c r="AL30" i="7"/>
  <c r="AO30" i="7" s="1"/>
  <c r="AK31" i="7"/>
  <c r="AL31" i="7"/>
  <c r="AO31" i="7" s="1"/>
  <c r="AK32" i="7"/>
  <c r="AL32" i="7"/>
  <c r="AO32" i="7" s="1"/>
  <c r="AK33" i="7"/>
  <c r="AL33" i="7"/>
  <c r="AO33" i="7" s="1"/>
  <c r="AK34" i="7"/>
  <c r="AL34" i="7"/>
  <c r="AO34" i="7" s="1"/>
  <c r="AK35" i="7"/>
  <c r="AL35" i="7"/>
  <c r="AO35" i="7" s="1"/>
  <c r="AK36" i="7"/>
  <c r="AL36" i="7"/>
  <c r="AO36" i="7" s="1"/>
  <c r="AK38" i="7"/>
  <c r="AL38" i="7"/>
  <c r="AO38" i="7" s="1"/>
  <c r="AK39" i="7"/>
  <c r="AL39" i="7"/>
  <c r="AO39" i="7" s="1"/>
  <c r="AK40" i="7"/>
  <c r="AL40" i="7"/>
  <c r="AO40" i="7" s="1"/>
  <c r="AK41" i="7"/>
  <c r="AL41" i="7"/>
  <c r="AO41" i="7" s="1"/>
  <c r="AK42" i="7"/>
  <c r="AL42" i="7"/>
  <c r="AO42" i="7" s="1"/>
  <c r="AK43" i="7"/>
  <c r="AL43" i="7"/>
  <c r="AO43" i="7" s="1"/>
  <c r="AK44" i="7"/>
  <c r="AN44" i="7" s="1"/>
  <c r="AL44" i="7"/>
  <c r="AO44" i="7" s="1"/>
  <c r="AK45" i="7"/>
  <c r="AL45" i="7"/>
  <c r="AO45" i="7" s="1"/>
  <c r="AK46" i="7"/>
  <c r="AN46" i="7" s="1"/>
  <c r="AL46" i="7"/>
  <c r="AO46" i="7" s="1"/>
  <c r="AK47" i="7"/>
  <c r="AL47" i="7"/>
  <c r="AO47" i="7" s="1"/>
  <c r="AK48" i="7"/>
  <c r="AL48" i="7"/>
  <c r="AO48" i="7" s="1"/>
  <c r="AK49" i="7"/>
  <c r="AL49" i="7"/>
  <c r="AO49" i="7" s="1"/>
  <c r="AK50" i="7"/>
  <c r="AL50" i="7"/>
  <c r="AO50" i="7" s="1"/>
  <c r="AK51" i="7"/>
  <c r="AL51" i="7"/>
  <c r="AO51" i="7" s="1"/>
  <c r="AK52" i="7"/>
  <c r="AN52" i="7" s="1"/>
  <c r="AL52" i="7"/>
  <c r="AO52" i="7" s="1"/>
  <c r="AK53" i="7"/>
  <c r="AL53" i="7"/>
  <c r="AO53" i="7" s="1"/>
  <c r="AK54" i="7"/>
  <c r="AN54" i="7" s="1"/>
  <c r="AL54" i="7"/>
  <c r="AO54" i="7" s="1"/>
  <c r="AK55" i="7"/>
  <c r="AL55" i="7"/>
  <c r="AO55" i="7" s="1"/>
  <c r="AK56" i="7"/>
  <c r="AL56" i="7"/>
  <c r="AO56" i="7" s="1"/>
  <c r="AK57" i="7"/>
  <c r="AL57" i="7"/>
  <c r="AO57" i="7" s="1"/>
  <c r="AK58" i="7"/>
  <c r="AL58" i="7"/>
  <c r="AO58" i="7" s="1"/>
  <c r="AK59" i="7"/>
  <c r="AL59" i="7"/>
  <c r="AO59" i="7" s="1"/>
  <c r="AK60" i="7"/>
  <c r="AN60" i="7" s="1"/>
  <c r="AL60" i="7"/>
  <c r="AO60" i="7" s="1"/>
  <c r="AK61" i="7"/>
  <c r="AL61" i="7"/>
  <c r="AO61" i="7" s="1"/>
  <c r="AK62" i="7"/>
  <c r="AL62" i="7"/>
  <c r="AO62" i="7" s="1"/>
  <c r="AK63" i="7"/>
  <c r="AL63" i="7"/>
  <c r="AO63" i="7" s="1"/>
  <c r="AK64" i="7"/>
  <c r="AL64" i="7"/>
  <c r="AO64" i="7" s="1"/>
  <c r="AK65" i="7"/>
  <c r="AL65" i="7"/>
  <c r="AO65" i="7" s="1"/>
  <c r="AK66" i="7"/>
  <c r="AL66" i="7"/>
  <c r="AO66" i="7" s="1"/>
  <c r="AK67" i="7"/>
  <c r="AL67" i="7"/>
  <c r="AO67" i="7" s="1"/>
  <c r="AK68" i="7"/>
  <c r="AN68" i="7" s="1"/>
  <c r="AL68" i="7"/>
  <c r="AO68" i="7" s="1"/>
  <c r="AK70" i="7"/>
  <c r="AL70" i="7"/>
  <c r="AO70" i="7" s="1"/>
  <c r="AK71" i="7"/>
  <c r="AL71" i="7"/>
  <c r="AO71" i="7" s="1"/>
  <c r="AK72" i="7"/>
  <c r="AL72" i="7"/>
  <c r="AO72" i="7" s="1"/>
  <c r="AK73" i="7"/>
  <c r="AL73" i="7"/>
  <c r="AO73" i="7" s="1"/>
  <c r="AK74" i="7"/>
  <c r="AL74" i="7"/>
  <c r="AO74" i="7" s="1"/>
  <c r="AK75" i="7"/>
  <c r="AN75" i="7" s="1"/>
  <c r="AL75" i="7"/>
  <c r="AO75" i="7" s="1"/>
  <c r="AK76" i="7"/>
  <c r="AL76" i="7"/>
  <c r="AO76" i="7" s="1"/>
  <c r="AK77" i="7"/>
  <c r="AN77" i="7" s="1"/>
  <c r="AL77" i="7"/>
  <c r="AO77" i="7" s="1"/>
  <c r="AK78" i="7"/>
  <c r="AL78" i="7"/>
  <c r="AO78" i="7" s="1"/>
  <c r="AK79" i="7"/>
  <c r="AL79" i="7"/>
  <c r="AO79" i="7" s="1"/>
  <c r="AK80" i="7"/>
  <c r="AL80" i="7"/>
  <c r="AO80" i="7" s="1"/>
  <c r="AK81" i="7"/>
  <c r="AL81" i="7"/>
  <c r="AO81" i="7" s="1"/>
  <c r="AK82" i="7"/>
  <c r="AL82" i="7"/>
  <c r="AO82" i="7" s="1"/>
  <c r="AK83" i="7"/>
  <c r="AN83" i="7" s="1"/>
  <c r="AL83" i="7"/>
  <c r="AO83" i="7" s="1"/>
  <c r="AK84" i="7"/>
  <c r="AL84" i="7"/>
  <c r="AO84" i="7" s="1"/>
  <c r="AK85" i="7"/>
  <c r="AN85" i="7" s="1"/>
  <c r="AL85" i="7"/>
  <c r="AO85" i="7" s="1"/>
  <c r="AK86" i="7"/>
  <c r="AL86" i="7"/>
  <c r="AO86" i="7" s="1"/>
  <c r="AK87" i="7"/>
  <c r="AL87" i="7"/>
  <c r="AO87" i="7" s="1"/>
  <c r="AK88" i="7"/>
  <c r="AL88" i="7"/>
  <c r="AO88" i="7" s="1"/>
  <c r="AK89" i="7"/>
  <c r="AL89" i="7"/>
  <c r="AO89" i="7" s="1"/>
  <c r="AK90" i="7"/>
  <c r="AL90" i="7"/>
  <c r="AO90" i="7" s="1"/>
  <c r="AK91" i="7"/>
  <c r="AN91" i="7" s="1"/>
  <c r="AL91" i="7"/>
  <c r="AO91" i="7" s="1"/>
  <c r="AK92" i="7"/>
  <c r="AL92" i="7"/>
  <c r="AO92" i="7" s="1"/>
  <c r="AK93" i="7"/>
  <c r="AL93" i="7"/>
  <c r="AO93" i="7" s="1"/>
  <c r="AK94" i="7"/>
  <c r="AL94" i="7"/>
  <c r="AO94" i="7" s="1"/>
  <c r="AK96" i="7"/>
  <c r="AL96" i="7"/>
  <c r="AO96" i="7" s="1"/>
  <c r="AK97" i="7"/>
  <c r="AL97" i="7"/>
  <c r="AO97" i="7" s="1"/>
  <c r="AK99" i="7"/>
  <c r="AL99" i="7"/>
  <c r="AO99" i="7" s="1"/>
  <c r="AK100" i="7"/>
  <c r="AL100" i="7"/>
  <c r="AO100" i="7" s="1"/>
  <c r="AK101" i="7"/>
  <c r="AL101" i="7"/>
  <c r="AO101" i="7" s="1"/>
  <c r="AK102" i="7"/>
  <c r="AL102" i="7"/>
  <c r="AO102" i="7" s="1"/>
  <c r="AK103" i="7"/>
  <c r="AL103" i="7"/>
  <c r="AO103" i="7" s="1"/>
  <c r="AK104" i="7"/>
  <c r="AL104" i="7"/>
  <c r="AO104" i="7" s="1"/>
  <c r="AK105" i="7"/>
  <c r="AL105" i="7"/>
  <c r="AO105" i="7" s="1"/>
  <c r="AK107" i="7"/>
  <c r="AL107" i="7"/>
  <c r="AO107" i="7" s="1"/>
  <c r="AK109" i="7"/>
  <c r="AL109" i="7"/>
  <c r="AO109" i="7" s="1"/>
  <c r="AK110" i="7"/>
  <c r="AN110" i="7" s="1"/>
  <c r="AL110" i="7"/>
  <c r="AO110" i="7" s="1"/>
  <c r="AK111" i="7"/>
  <c r="AL111" i="7"/>
  <c r="AO111" i="7" s="1"/>
  <c r="AK112" i="7"/>
  <c r="AL112" i="7"/>
  <c r="AO112" i="7" s="1"/>
  <c r="AK113" i="7"/>
  <c r="AL113" i="7"/>
  <c r="AO113" i="7" s="1"/>
  <c r="AK115" i="7"/>
  <c r="AL115" i="7"/>
  <c r="AO115" i="7" s="1"/>
  <c r="AK116" i="7"/>
  <c r="AL116" i="7"/>
  <c r="AO116" i="7" s="1"/>
  <c r="AK117" i="7"/>
  <c r="AL117" i="7"/>
  <c r="AO117" i="7" s="1"/>
  <c r="AK118" i="7"/>
  <c r="AL118" i="7"/>
  <c r="AO118" i="7" s="1"/>
  <c r="AK119" i="7"/>
  <c r="AN119" i="7" s="1"/>
  <c r="AL119" i="7"/>
  <c r="AO119" i="7" s="1"/>
  <c r="AK120" i="7"/>
  <c r="AL120" i="7"/>
  <c r="AO120" i="7" s="1"/>
  <c r="AK121" i="7"/>
  <c r="AL121" i="7"/>
  <c r="AO121" i="7" s="1"/>
  <c r="AK123" i="7"/>
  <c r="AL123" i="7"/>
  <c r="AO123" i="7" s="1"/>
  <c r="AK124" i="7"/>
  <c r="AL124" i="7"/>
  <c r="AO124" i="7" s="1"/>
  <c r="AK125" i="7"/>
  <c r="AL125" i="7"/>
  <c r="AO125" i="7" s="1"/>
  <c r="AK127" i="7"/>
  <c r="AL127" i="7"/>
  <c r="AO127" i="7" s="1"/>
  <c r="AK128" i="7"/>
  <c r="AL128" i="7"/>
  <c r="AO128" i="7" s="1"/>
  <c r="AK129" i="7"/>
  <c r="AN129" i="7" s="1"/>
  <c r="AL129" i="7"/>
  <c r="AO129" i="7" s="1"/>
  <c r="AK130" i="7"/>
  <c r="AL130" i="7"/>
  <c r="AO130" i="7" s="1"/>
  <c r="AK131" i="7"/>
  <c r="AL131" i="7"/>
  <c r="AO131" i="7" s="1"/>
  <c r="AK132" i="7"/>
  <c r="AL132" i="7"/>
  <c r="AO132" i="7" s="1"/>
  <c r="AK133" i="7"/>
  <c r="AL133" i="7"/>
  <c r="AO133" i="7" s="1"/>
  <c r="AK134" i="7"/>
  <c r="AL134" i="7"/>
  <c r="AO134" i="7" s="1"/>
  <c r="AK135" i="7"/>
  <c r="AL135" i="7"/>
  <c r="AO135" i="7" s="1"/>
  <c r="AK136" i="7"/>
  <c r="AL136" i="7"/>
  <c r="AO136" i="7" s="1"/>
  <c r="AK137" i="7"/>
  <c r="AN137" i="7" s="1"/>
  <c r="AL137" i="7"/>
  <c r="AO137" i="7" s="1"/>
  <c r="AK138" i="7"/>
  <c r="AL138" i="7"/>
  <c r="AO138" i="7" s="1"/>
  <c r="AK139" i="7"/>
  <c r="AL139" i="7"/>
  <c r="AO139" i="7" s="1"/>
  <c r="AK140" i="7"/>
  <c r="AL140" i="7"/>
  <c r="AO140" i="7" s="1"/>
  <c r="AK141" i="7"/>
  <c r="AL141" i="7"/>
  <c r="AO141" i="7" s="1"/>
  <c r="AK142" i="7"/>
  <c r="AL142" i="7"/>
  <c r="AO142" i="7" s="1"/>
  <c r="AK143" i="7"/>
  <c r="AL143" i="7"/>
  <c r="AO143" i="7" s="1"/>
  <c r="AK144" i="7"/>
  <c r="AL144" i="7"/>
  <c r="AO144" i="7" s="1"/>
  <c r="AK145" i="7"/>
  <c r="AN145" i="7" s="1"/>
  <c r="AL145" i="7"/>
  <c r="AO145" i="7" s="1"/>
  <c r="AK146" i="7"/>
  <c r="AL146" i="7"/>
  <c r="AO146" i="7" s="1"/>
  <c r="AK147" i="7"/>
  <c r="AL147" i="7"/>
  <c r="AO147" i="7" s="1"/>
  <c r="AK148" i="7"/>
  <c r="AL148" i="7"/>
  <c r="AO148" i="7" s="1"/>
  <c r="AK149" i="7"/>
  <c r="AL149" i="7"/>
  <c r="AO149" i="7" s="1"/>
  <c r="AK150" i="7"/>
  <c r="AL150" i="7"/>
  <c r="AO150" i="7" s="1"/>
  <c r="AK151" i="7"/>
  <c r="AL151" i="7"/>
  <c r="AO151" i="7" s="1"/>
  <c r="AK152" i="7"/>
  <c r="AL152" i="7"/>
  <c r="AO152" i="7" s="1"/>
  <c r="AK153" i="7"/>
  <c r="AN153" i="7" s="1"/>
  <c r="AL153" i="7"/>
  <c r="AO153" i="7" s="1"/>
  <c r="AK154" i="7"/>
  <c r="AL154" i="7"/>
  <c r="AO154" i="7" s="1"/>
  <c r="AK155" i="7"/>
  <c r="AL155" i="7"/>
  <c r="AO155" i="7" s="1"/>
  <c r="AK156" i="7"/>
  <c r="AL156" i="7"/>
  <c r="AO156" i="7" s="1"/>
  <c r="AK157" i="7"/>
  <c r="AL157" i="7"/>
  <c r="AO157" i="7" s="1"/>
  <c r="AK158" i="7"/>
  <c r="AL158" i="7"/>
  <c r="AO158" i="7" s="1"/>
  <c r="AK159" i="7"/>
  <c r="AL159" i="7"/>
  <c r="AO159" i="7" s="1"/>
  <c r="AK160" i="7"/>
  <c r="AL160" i="7"/>
  <c r="AO160" i="7" s="1"/>
  <c r="AK161" i="7"/>
  <c r="AN161" i="7" s="1"/>
  <c r="AL161" i="7"/>
  <c r="AO161" i="7" s="1"/>
  <c r="AK162" i="7"/>
  <c r="AL162" i="7"/>
  <c r="AO162" i="7" s="1"/>
  <c r="AK163" i="7"/>
  <c r="AL163" i="7"/>
  <c r="AO163" i="7" s="1"/>
  <c r="AK164" i="7"/>
  <c r="AL164" i="7"/>
  <c r="AO164" i="7" s="1"/>
  <c r="AK165" i="7"/>
  <c r="AL165" i="7"/>
  <c r="AO165" i="7" s="1"/>
  <c r="AK166" i="7"/>
  <c r="AL166" i="7"/>
  <c r="AO166" i="7" s="1"/>
  <c r="AK167" i="7"/>
  <c r="AL167" i="7"/>
  <c r="AO167" i="7" s="1"/>
  <c r="AK168" i="7"/>
  <c r="AL168" i="7"/>
  <c r="AO168" i="7" s="1"/>
  <c r="AG9" i="7"/>
  <c r="AH9" i="7"/>
  <c r="AG10" i="7"/>
  <c r="AH10" i="7"/>
  <c r="AG11" i="7"/>
  <c r="AH11" i="7"/>
  <c r="AG12" i="7"/>
  <c r="AH12" i="7"/>
  <c r="AG13" i="7"/>
  <c r="AH13" i="7"/>
  <c r="AG14" i="7"/>
  <c r="AH14" i="7"/>
  <c r="AG15" i="7"/>
  <c r="AH15" i="7"/>
  <c r="AG16" i="7"/>
  <c r="AH16" i="7"/>
  <c r="AG17" i="7"/>
  <c r="AH17" i="7"/>
  <c r="AG18" i="7"/>
  <c r="AH18" i="7"/>
  <c r="AG19" i="7"/>
  <c r="AH19" i="7"/>
  <c r="AG20" i="7"/>
  <c r="AH20" i="7"/>
  <c r="AG21" i="7"/>
  <c r="AH21" i="7"/>
  <c r="AG22" i="7"/>
  <c r="AH22" i="7"/>
  <c r="AG23" i="7"/>
  <c r="AH23" i="7"/>
  <c r="AG24" i="7"/>
  <c r="AH24" i="7"/>
  <c r="AG25" i="7"/>
  <c r="AH25" i="7"/>
  <c r="AG26" i="7"/>
  <c r="AH26" i="7"/>
  <c r="AG27" i="7"/>
  <c r="AH27" i="7"/>
  <c r="AG28" i="7"/>
  <c r="AH28" i="7"/>
  <c r="AG29" i="7"/>
  <c r="AH29" i="7"/>
  <c r="AG30" i="7"/>
  <c r="AH30" i="7"/>
  <c r="AG31" i="7"/>
  <c r="AH31" i="7"/>
  <c r="AG32" i="7"/>
  <c r="AH32" i="7"/>
  <c r="AG33" i="7"/>
  <c r="AH33" i="7"/>
  <c r="AG34" i="7"/>
  <c r="AH34" i="7"/>
  <c r="AG35" i="7"/>
  <c r="AH35" i="7"/>
  <c r="AG36" i="7"/>
  <c r="AH36" i="7"/>
  <c r="AG38" i="7"/>
  <c r="AH38" i="7"/>
  <c r="AG39" i="7"/>
  <c r="AH39" i="7"/>
  <c r="AG40" i="7"/>
  <c r="AH40" i="7"/>
  <c r="AG41" i="7"/>
  <c r="AH41" i="7"/>
  <c r="AG42" i="7"/>
  <c r="AH42" i="7"/>
  <c r="AG43" i="7"/>
  <c r="AH43" i="7"/>
  <c r="AG44" i="7"/>
  <c r="AH44" i="7"/>
  <c r="AG45" i="7"/>
  <c r="AH45" i="7"/>
  <c r="AG46" i="7"/>
  <c r="AH46" i="7"/>
  <c r="AG47" i="7"/>
  <c r="AH47" i="7"/>
  <c r="AG48" i="7"/>
  <c r="AH48" i="7"/>
  <c r="AG49" i="7"/>
  <c r="AH49" i="7"/>
  <c r="AG50" i="7"/>
  <c r="AH50" i="7"/>
  <c r="AG51" i="7"/>
  <c r="AH51" i="7"/>
  <c r="AG52" i="7"/>
  <c r="AH52" i="7"/>
  <c r="AG53" i="7"/>
  <c r="AH53" i="7"/>
  <c r="AG54" i="7"/>
  <c r="AH54" i="7"/>
  <c r="AG55" i="7"/>
  <c r="AH55" i="7"/>
  <c r="AG56" i="7"/>
  <c r="AH56" i="7"/>
  <c r="AG57" i="7"/>
  <c r="AH57" i="7"/>
  <c r="AG58" i="7"/>
  <c r="AH58" i="7"/>
  <c r="AG59" i="7"/>
  <c r="AH59" i="7"/>
  <c r="AG60" i="7"/>
  <c r="AH60" i="7"/>
  <c r="AG61" i="7"/>
  <c r="AH61" i="7"/>
  <c r="AG62" i="7"/>
  <c r="AH62" i="7"/>
  <c r="AG63" i="7"/>
  <c r="AH63" i="7"/>
  <c r="AG64" i="7"/>
  <c r="AH64" i="7"/>
  <c r="AG65" i="7"/>
  <c r="AH65" i="7"/>
  <c r="AG66" i="7"/>
  <c r="AH66" i="7"/>
  <c r="AG67" i="7"/>
  <c r="AH67" i="7"/>
  <c r="AG68" i="7"/>
  <c r="AH68" i="7"/>
  <c r="AG70" i="7"/>
  <c r="AH70" i="7"/>
  <c r="AG71" i="7"/>
  <c r="AH71" i="7"/>
  <c r="AG72" i="7"/>
  <c r="AH72" i="7"/>
  <c r="AG73" i="7"/>
  <c r="AH73" i="7"/>
  <c r="AG74" i="7"/>
  <c r="AH74" i="7"/>
  <c r="AG75" i="7"/>
  <c r="AH75" i="7"/>
  <c r="AG76" i="7"/>
  <c r="AH76" i="7"/>
  <c r="AG77" i="7"/>
  <c r="AH77" i="7"/>
  <c r="AG78" i="7"/>
  <c r="AH78" i="7"/>
  <c r="AG79" i="7"/>
  <c r="AH79" i="7"/>
  <c r="AG80" i="7"/>
  <c r="AH80" i="7"/>
  <c r="AG81" i="7"/>
  <c r="AH81" i="7"/>
  <c r="AG82" i="7"/>
  <c r="AH82" i="7"/>
  <c r="AG83" i="7"/>
  <c r="AH83" i="7"/>
  <c r="AG84" i="7"/>
  <c r="AH84" i="7"/>
  <c r="AG85" i="7"/>
  <c r="AH85" i="7"/>
  <c r="AG86" i="7"/>
  <c r="AH86" i="7"/>
  <c r="AG87" i="7"/>
  <c r="AH87" i="7"/>
  <c r="AG88" i="7"/>
  <c r="AH88" i="7"/>
  <c r="AG89" i="7"/>
  <c r="AH89" i="7"/>
  <c r="AG90" i="7"/>
  <c r="AH90" i="7"/>
  <c r="AG91" i="7"/>
  <c r="AH91" i="7"/>
  <c r="AG92" i="7"/>
  <c r="AH92" i="7"/>
  <c r="AG93" i="7"/>
  <c r="AH93" i="7"/>
  <c r="AG94" i="7"/>
  <c r="AH94" i="7"/>
  <c r="AG96" i="7"/>
  <c r="AH96" i="7"/>
  <c r="AG97" i="7"/>
  <c r="AH97" i="7"/>
  <c r="AG99" i="7"/>
  <c r="AH99" i="7"/>
  <c r="AG100" i="7"/>
  <c r="AH100" i="7"/>
  <c r="AG101" i="7"/>
  <c r="AH101" i="7"/>
  <c r="AG102" i="7"/>
  <c r="AH102" i="7"/>
  <c r="AG103" i="7"/>
  <c r="AH103" i="7"/>
  <c r="AG104" i="7"/>
  <c r="AH104" i="7"/>
  <c r="AG105" i="7"/>
  <c r="AH105" i="7"/>
  <c r="AG107" i="7"/>
  <c r="AH107" i="7"/>
  <c r="AG109" i="7"/>
  <c r="AH109" i="7"/>
  <c r="AG110" i="7"/>
  <c r="AH110" i="7"/>
  <c r="AG111" i="7"/>
  <c r="AH111" i="7"/>
  <c r="AG112" i="7"/>
  <c r="AH112" i="7"/>
  <c r="AG113" i="7"/>
  <c r="AH113" i="7"/>
  <c r="AG115" i="7"/>
  <c r="AH115" i="7"/>
  <c r="AG116" i="7"/>
  <c r="AH116" i="7"/>
  <c r="AG117" i="7"/>
  <c r="AH117" i="7"/>
  <c r="AG118" i="7"/>
  <c r="AH118" i="7"/>
  <c r="AG119" i="7"/>
  <c r="AH119" i="7"/>
  <c r="AG120" i="7"/>
  <c r="AH120" i="7"/>
  <c r="AG121" i="7"/>
  <c r="AH121" i="7"/>
  <c r="AG123" i="7"/>
  <c r="AH123" i="7"/>
  <c r="AG124" i="7"/>
  <c r="AH124" i="7"/>
  <c r="AG125" i="7"/>
  <c r="AH125" i="7"/>
  <c r="AG127" i="7"/>
  <c r="AH127" i="7"/>
  <c r="AG128" i="7"/>
  <c r="AH128" i="7"/>
  <c r="AG129" i="7"/>
  <c r="AH129" i="7"/>
  <c r="AG130" i="7"/>
  <c r="AH130" i="7"/>
  <c r="AG131" i="7"/>
  <c r="AH131" i="7"/>
  <c r="AG132" i="7"/>
  <c r="AH132" i="7"/>
  <c r="AG133" i="7"/>
  <c r="AH133" i="7"/>
  <c r="AG134" i="7"/>
  <c r="AH134" i="7"/>
  <c r="AG135" i="7"/>
  <c r="AH135" i="7"/>
  <c r="AG136" i="7"/>
  <c r="AH136" i="7"/>
  <c r="AG137" i="7"/>
  <c r="AH137" i="7"/>
  <c r="AG138" i="7"/>
  <c r="AH138" i="7"/>
  <c r="AG139" i="7"/>
  <c r="AH139" i="7"/>
  <c r="AG140" i="7"/>
  <c r="AH140" i="7"/>
  <c r="AG141" i="7"/>
  <c r="AH141" i="7"/>
  <c r="AG142" i="7"/>
  <c r="AH142" i="7"/>
  <c r="AG143" i="7"/>
  <c r="AH143" i="7"/>
  <c r="AG144" i="7"/>
  <c r="AH144" i="7"/>
  <c r="AG145" i="7"/>
  <c r="AH145" i="7"/>
  <c r="AG146" i="7"/>
  <c r="AH146" i="7"/>
  <c r="AG147" i="7"/>
  <c r="AH147" i="7"/>
  <c r="AG148" i="7"/>
  <c r="AH148" i="7"/>
  <c r="AG149" i="7"/>
  <c r="AH149" i="7"/>
  <c r="AG150" i="7"/>
  <c r="AH150" i="7"/>
  <c r="AG151" i="7"/>
  <c r="AH151" i="7"/>
  <c r="AG152" i="7"/>
  <c r="AH152" i="7"/>
  <c r="AG153" i="7"/>
  <c r="AH153" i="7"/>
  <c r="AG154" i="7"/>
  <c r="AH154" i="7"/>
  <c r="AG155" i="7"/>
  <c r="AH155" i="7"/>
  <c r="AG156" i="7"/>
  <c r="AH156" i="7"/>
  <c r="AG157" i="7"/>
  <c r="AH157" i="7"/>
  <c r="AG158" i="7"/>
  <c r="AH158" i="7"/>
  <c r="AG159" i="7"/>
  <c r="AH159" i="7"/>
  <c r="AG160" i="7"/>
  <c r="AH160" i="7"/>
  <c r="AG161" i="7"/>
  <c r="AH161" i="7"/>
  <c r="AG162" i="7"/>
  <c r="AH162" i="7"/>
  <c r="AG163" i="7"/>
  <c r="AH163" i="7"/>
  <c r="AG164" i="7"/>
  <c r="AH164" i="7"/>
  <c r="AG165" i="7"/>
  <c r="AH165" i="7"/>
  <c r="AG166" i="7"/>
  <c r="AH166" i="7"/>
  <c r="AG167" i="7"/>
  <c r="AH167" i="7"/>
  <c r="AG168" i="7"/>
  <c r="AH16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6" i="7"/>
  <c r="T97" i="7"/>
  <c r="T99" i="7"/>
  <c r="T100" i="7"/>
  <c r="T101" i="7"/>
  <c r="T102" i="7"/>
  <c r="T103" i="7"/>
  <c r="T104" i="7"/>
  <c r="T105" i="7"/>
  <c r="T107" i="7"/>
  <c r="T109" i="7"/>
  <c r="T110" i="7"/>
  <c r="T111" i="7"/>
  <c r="T112" i="7"/>
  <c r="T113" i="7"/>
  <c r="T115" i="7"/>
  <c r="T116" i="7"/>
  <c r="T117" i="7"/>
  <c r="T118" i="7"/>
  <c r="T119" i="7"/>
  <c r="T120" i="7"/>
  <c r="T121" i="7"/>
  <c r="T123" i="7"/>
  <c r="T124" i="7"/>
  <c r="T125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70" i="7"/>
  <c r="AE71" i="7"/>
  <c r="AE72" i="7"/>
  <c r="AE73" i="7"/>
  <c r="AE74" i="7"/>
  <c r="AE75" i="7"/>
  <c r="AE76" i="7"/>
  <c r="AE77" i="7"/>
  <c r="AE78" i="7"/>
  <c r="AE79" i="7"/>
  <c r="AE80" i="7"/>
  <c r="AE81" i="7"/>
  <c r="AE82" i="7"/>
  <c r="AE83" i="7"/>
  <c r="AE84" i="7"/>
  <c r="AE85" i="7"/>
  <c r="AE86" i="7"/>
  <c r="AE87" i="7"/>
  <c r="AE88" i="7"/>
  <c r="AE89" i="7"/>
  <c r="AE90" i="7"/>
  <c r="AE91" i="7"/>
  <c r="AE92" i="7"/>
  <c r="AE93" i="7"/>
  <c r="AE94" i="7"/>
  <c r="AE96" i="7"/>
  <c r="AE97" i="7"/>
  <c r="AE99" i="7"/>
  <c r="AE100" i="7"/>
  <c r="AE101" i="7"/>
  <c r="AE102" i="7"/>
  <c r="AE103" i="7"/>
  <c r="AE104" i="7"/>
  <c r="AE105" i="7"/>
  <c r="AE107" i="7"/>
  <c r="AE109" i="7"/>
  <c r="AE110" i="7"/>
  <c r="AE111" i="7"/>
  <c r="AE112" i="7"/>
  <c r="AE113" i="7"/>
  <c r="AE115" i="7"/>
  <c r="AE116" i="7"/>
  <c r="AE117" i="7"/>
  <c r="AE118" i="7"/>
  <c r="AE119" i="7"/>
  <c r="AE120" i="7"/>
  <c r="AE121" i="7"/>
  <c r="AE123" i="7"/>
  <c r="AE124" i="7"/>
  <c r="AE125" i="7"/>
  <c r="AE127" i="7"/>
  <c r="AE128" i="7"/>
  <c r="AE129" i="7"/>
  <c r="AE130" i="7"/>
  <c r="AE131" i="7"/>
  <c r="AE132" i="7"/>
  <c r="AE133" i="7"/>
  <c r="AE134" i="7"/>
  <c r="AE135" i="7"/>
  <c r="AE136" i="7"/>
  <c r="AE137" i="7"/>
  <c r="AE138" i="7"/>
  <c r="AE139" i="7"/>
  <c r="AE140" i="7"/>
  <c r="AE141" i="7"/>
  <c r="AE142" i="7"/>
  <c r="AE143" i="7"/>
  <c r="AE144" i="7"/>
  <c r="AE145" i="7"/>
  <c r="AE146" i="7"/>
  <c r="AE147" i="7"/>
  <c r="AE148" i="7"/>
  <c r="AE149" i="7"/>
  <c r="AE150" i="7"/>
  <c r="AE151" i="7"/>
  <c r="AE152" i="7"/>
  <c r="AE153" i="7"/>
  <c r="AE154" i="7"/>
  <c r="AE155" i="7"/>
  <c r="AE156" i="7"/>
  <c r="AE157" i="7"/>
  <c r="AE158" i="7"/>
  <c r="AE159" i="7"/>
  <c r="AE160" i="7"/>
  <c r="AE161" i="7"/>
  <c r="AE162" i="7"/>
  <c r="AE163" i="7"/>
  <c r="AE164" i="7"/>
  <c r="AE165" i="7"/>
  <c r="AE166" i="7"/>
  <c r="AE167" i="7"/>
  <c r="AE168" i="7"/>
  <c r="Z9" i="7"/>
  <c r="AA9" i="7"/>
  <c r="AD9" i="7" s="1"/>
  <c r="Z10" i="7"/>
  <c r="AA10" i="7"/>
  <c r="AD10" i="7" s="1"/>
  <c r="Z11" i="7"/>
  <c r="AA11" i="7"/>
  <c r="AD11" i="7" s="1"/>
  <c r="Z12" i="7"/>
  <c r="AA12" i="7"/>
  <c r="AD12" i="7" s="1"/>
  <c r="Z13" i="7"/>
  <c r="AA13" i="7"/>
  <c r="AD13" i="7" s="1"/>
  <c r="Z14" i="7"/>
  <c r="AA14" i="7"/>
  <c r="AD14" i="7" s="1"/>
  <c r="Z15" i="7"/>
  <c r="AA15" i="7"/>
  <c r="AD15" i="7" s="1"/>
  <c r="Z16" i="7"/>
  <c r="AA16" i="7"/>
  <c r="AD16" i="7" s="1"/>
  <c r="Z17" i="7"/>
  <c r="AA17" i="7"/>
  <c r="AD17" i="7" s="1"/>
  <c r="Z18" i="7"/>
  <c r="AC18" i="7" s="1"/>
  <c r="AA18" i="7"/>
  <c r="AD18" i="7" s="1"/>
  <c r="Z19" i="7"/>
  <c r="AA19" i="7"/>
  <c r="AD19" i="7" s="1"/>
  <c r="Z20" i="7"/>
  <c r="AA20" i="7"/>
  <c r="AD20" i="7" s="1"/>
  <c r="Z21" i="7"/>
  <c r="AA21" i="7"/>
  <c r="AD21" i="7" s="1"/>
  <c r="Z22" i="7"/>
  <c r="AA22" i="7"/>
  <c r="AD22" i="7" s="1"/>
  <c r="Z23" i="7"/>
  <c r="AC23" i="7" s="1"/>
  <c r="AA23" i="7"/>
  <c r="AD23" i="7" s="1"/>
  <c r="Z24" i="7"/>
  <c r="AA24" i="7"/>
  <c r="AD24" i="7" s="1"/>
  <c r="Z25" i="7"/>
  <c r="AA25" i="7"/>
  <c r="AD25" i="7" s="1"/>
  <c r="Z26" i="7"/>
  <c r="AA26" i="7"/>
  <c r="AD26" i="7" s="1"/>
  <c r="Z27" i="7"/>
  <c r="AA27" i="7"/>
  <c r="AD27" i="7" s="1"/>
  <c r="Z28" i="7"/>
  <c r="AA28" i="7"/>
  <c r="AD28" i="7" s="1"/>
  <c r="Z29" i="7"/>
  <c r="AA29" i="7"/>
  <c r="AD29" i="7" s="1"/>
  <c r="Z30" i="7"/>
  <c r="AA30" i="7"/>
  <c r="AD30" i="7" s="1"/>
  <c r="Z31" i="7"/>
  <c r="AA31" i="7"/>
  <c r="AD31" i="7" s="1"/>
  <c r="Z32" i="7"/>
  <c r="AA32" i="7"/>
  <c r="AD32" i="7" s="1"/>
  <c r="Z33" i="7"/>
  <c r="AA33" i="7"/>
  <c r="AD33" i="7" s="1"/>
  <c r="Z34" i="7"/>
  <c r="AA34" i="7"/>
  <c r="AD34" i="7" s="1"/>
  <c r="Z35" i="7"/>
  <c r="AA35" i="7"/>
  <c r="AD35" i="7" s="1"/>
  <c r="Z36" i="7"/>
  <c r="AA36" i="7"/>
  <c r="AD36" i="7" s="1"/>
  <c r="Z38" i="7"/>
  <c r="AA38" i="7"/>
  <c r="AD38" i="7" s="1"/>
  <c r="Z39" i="7"/>
  <c r="AA39" i="7"/>
  <c r="AD39" i="7" s="1"/>
  <c r="Z40" i="7"/>
  <c r="AA40" i="7"/>
  <c r="AD40" i="7" s="1"/>
  <c r="Z41" i="7"/>
  <c r="AA41" i="7"/>
  <c r="AD41" i="7" s="1"/>
  <c r="Z42" i="7"/>
  <c r="AA42" i="7"/>
  <c r="AD42" i="7" s="1"/>
  <c r="Z43" i="7"/>
  <c r="AA43" i="7"/>
  <c r="AD43" i="7" s="1"/>
  <c r="Z44" i="7"/>
  <c r="AA44" i="7"/>
  <c r="AD44" i="7" s="1"/>
  <c r="Z45" i="7"/>
  <c r="AA45" i="7"/>
  <c r="AD45" i="7" s="1"/>
  <c r="Z46" i="7"/>
  <c r="AA46" i="7"/>
  <c r="AD46" i="7" s="1"/>
  <c r="Z47" i="7"/>
  <c r="AA47" i="7"/>
  <c r="AD47" i="7" s="1"/>
  <c r="Z48" i="7"/>
  <c r="AC48" i="7" s="1"/>
  <c r="AA48" i="7"/>
  <c r="AD48" i="7" s="1"/>
  <c r="Z49" i="7"/>
  <c r="AA49" i="7"/>
  <c r="AD49" i="7" s="1"/>
  <c r="Z50" i="7"/>
  <c r="AA50" i="7"/>
  <c r="AD50" i="7" s="1"/>
  <c r="Z51" i="7"/>
  <c r="AA51" i="7"/>
  <c r="AD51" i="7" s="1"/>
  <c r="Z52" i="7"/>
  <c r="AA52" i="7"/>
  <c r="AD52" i="7" s="1"/>
  <c r="Z53" i="7"/>
  <c r="AA53" i="7"/>
  <c r="AD53" i="7" s="1"/>
  <c r="Z54" i="7"/>
  <c r="AA54" i="7"/>
  <c r="AD54" i="7" s="1"/>
  <c r="Z55" i="7"/>
  <c r="AA55" i="7"/>
  <c r="AD55" i="7" s="1"/>
  <c r="Z56" i="7"/>
  <c r="AC56" i="7" s="1"/>
  <c r="AA56" i="7"/>
  <c r="AD56" i="7" s="1"/>
  <c r="Z57" i="7"/>
  <c r="AA57" i="7"/>
  <c r="AD57" i="7" s="1"/>
  <c r="Z58" i="7"/>
  <c r="AA58" i="7"/>
  <c r="AD58" i="7" s="1"/>
  <c r="Z59" i="7"/>
  <c r="AA59" i="7"/>
  <c r="AD59" i="7" s="1"/>
  <c r="Z60" i="7"/>
  <c r="AA60" i="7"/>
  <c r="AD60" i="7" s="1"/>
  <c r="Z61" i="7"/>
  <c r="AA61" i="7"/>
  <c r="AD61" i="7" s="1"/>
  <c r="Z62" i="7"/>
  <c r="AA62" i="7"/>
  <c r="AD62" i="7" s="1"/>
  <c r="Z63" i="7"/>
  <c r="AA63" i="7"/>
  <c r="AD63" i="7" s="1"/>
  <c r="Z64" i="7"/>
  <c r="AC64" i="7" s="1"/>
  <c r="AA64" i="7"/>
  <c r="AD64" i="7" s="1"/>
  <c r="Z65" i="7"/>
  <c r="AA65" i="7"/>
  <c r="AD65" i="7" s="1"/>
  <c r="Z66" i="7"/>
  <c r="AA66" i="7"/>
  <c r="AD66" i="7" s="1"/>
  <c r="Z67" i="7"/>
  <c r="AA67" i="7"/>
  <c r="AD67" i="7" s="1"/>
  <c r="Z68" i="7"/>
  <c r="AA68" i="7"/>
  <c r="AD68" i="7" s="1"/>
  <c r="Z70" i="7"/>
  <c r="AA70" i="7"/>
  <c r="AD70" i="7" s="1"/>
  <c r="Z71" i="7"/>
  <c r="AA71" i="7"/>
  <c r="AD71" i="7" s="1"/>
  <c r="Z72" i="7"/>
  <c r="AA72" i="7"/>
  <c r="AD72" i="7" s="1"/>
  <c r="Z73" i="7"/>
  <c r="AC73" i="7" s="1"/>
  <c r="AA73" i="7"/>
  <c r="AD73" i="7" s="1"/>
  <c r="Z74" i="7"/>
  <c r="AA74" i="7"/>
  <c r="AD74" i="7" s="1"/>
  <c r="Z75" i="7"/>
  <c r="AA75" i="7"/>
  <c r="AD75" i="7" s="1"/>
  <c r="Z76" i="7"/>
  <c r="AA76" i="7"/>
  <c r="AD76" i="7" s="1"/>
  <c r="Z77" i="7"/>
  <c r="AA77" i="7"/>
  <c r="AD77" i="7" s="1"/>
  <c r="Z78" i="7"/>
  <c r="AA78" i="7"/>
  <c r="AD78" i="7" s="1"/>
  <c r="Z79" i="7"/>
  <c r="AC79" i="7" s="1"/>
  <c r="AA79" i="7"/>
  <c r="AD79" i="7" s="1"/>
  <c r="Z80" i="7"/>
  <c r="AA80" i="7"/>
  <c r="AD80" i="7" s="1"/>
  <c r="Z81" i="7"/>
  <c r="AA81" i="7"/>
  <c r="AD81" i="7" s="1"/>
  <c r="Z82" i="7"/>
  <c r="AC82" i="7" s="1"/>
  <c r="AA82" i="7"/>
  <c r="AD82" i="7" s="1"/>
  <c r="Z83" i="7"/>
  <c r="AA83" i="7"/>
  <c r="AD83" i="7" s="1"/>
  <c r="Z84" i="7"/>
  <c r="AA84" i="7"/>
  <c r="AD84" i="7" s="1"/>
  <c r="Z85" i="7"/>
  <c r="AA85" i="7"/>
  <c r="AD85" i="7" s="1"/>
  <c r="Z86" i="7"/>
  <c r="AA86" i="7"/>
  <c r="AD86" i="7" s="1"/>
  <c r="Z87" i="7"/>
  <c r="AA87" i="7"/>
  <c r="AD87" i="7" s="1"/>
  <c r="Z88" i="7"/>
  <c r="AA88" i="7"/>
  <c r="AD88" i="7" s="1"/>
  <c r="Z89" i="7"/>
  <c r="AC89" i="7" s="1"/>
  <c r="AA89" i="7"/>
  <c r="AD89" i="7" s="1"/>
  <c r="Z90" i="7"/>
  <c r="AA90" i="7"/>
  <c r="AD90" i="7" s="1"/>
  <c r="Z91" i="7"/>
  <c r="AA91" i="7"/>
  <c r="AD91" i="7" s="1"/>
  <c r="Z92" i="7"/>
  <c r="AA92" i="7"/>
  <c r="AD92" i="7" s="1"/>
  <c r="Z93" i="7"/>
  <c r="AA93" i="7"/>
  <c r="AD93" i="7" s="1"/>
  <c r="Z94" i="7"/>
  <c r="AA94" i="7"/>
  <c r="AD94" i="7" s="1"/>
  <c r="Z96" i="7"/>
  <c r="AA96" i="7"/>
  <c r="AD96" i="7" s="1"/>
  <c r="Z97" i="7"/>
  <c r="AA97" i="7"/>
  <c r="AD97" i="7" s="1"/>
  <c r="Z99" i="7"/>
  <c r="AA99" i="7"/>
  <c r="AD99" i="7" s="1"/>
  <c r="Z100" i="7"/>
  <c r="AA100" i="7"/>
  <c r="AD100" i="7" s="1"/>
  <c r="Z101" i="7"/>
  <c r="AA101" i="7"/>
  <c r="AD101" i="7" s="1"/>
  <c r="Z102" i="7"/>
  <c r="AC102" i="7" s="1"/>
  <c r="AA102" i="7"/>
  <c r="AD102" i="7" s="1"/>
  <c r="Z103" i="7"/>
  <c r="AA103" i="7"/>
  <c r="AD103" i="7" s="1"/>
  <c r="Z104" i="7"/>
  <c r="AA104" i="7"/>
  <c r="AD104" i="7" s="1"/>
  <c r="Z105" i="7"/>
  <c r="AA105" i="7"/>
  <c r="AD105" i="7" s="1"/>
  <c r="Z107" i="7"/>
  <c r="AA107" i="7"/>
  <c r="AD107" i="7" s="1"/>
  <c r="Z109" i="7"/>
  <c r="AA109" i="7"/>
  <c r="AD109" i="7" s="1"/>
  <c r="Z110" i="7"/>
  <c r="AC110" i="7" s="1"/>
  <c r="AA110" i="7"/>
  <c r="AD110" i="7" s="1"/>
  <c r="Z111" i="7"/>
  <c r="AA111" i="7"/>
  <c r="AD111" i="7" s="1"/>
  <c r="Z112" i="7"/>
  <c r="AA112" i="7"/>
  <c r="AD112" i="7" s="1"/>
  <c r="Z113" i="7"/>
  <c r="AA113" i="7"/>
  <c r="AD113" i="7" s="1"/>
  <c r="Z115" i="7"/>
  <c r="AA115" i="7"/>
  <c r="AD115" i="7" s="1"/>
  <c r="Z116" i="7"/>
  <c r="AA116" i="7"/>
  <c r="AD116" i="7" s="1"/>
  <c r="Z117" i="7"/>
  <c r="AA117" i="7"/>
  <c r="AD117" i="7" s="1"/>
  <c r="Z118" i="7"/>
  <c r="AA118" i="7"/>
  <c r="AD118" i="7" s="1"/>
  <c r="Z119" i="7"/>
  <c r="AC119" i="7" s="1"/>
  <c r="AA119" i="7"/>
  <c r="AD119" i="7" s="1"/>
  <c r="Z120" i="7"/>
  <c r="AA120" i="7"/>
  <c r="AD120" i="7" s="1"/>
  <c r="Z121" i="7"/>
  <c r="AC121" i="7" s="1"/>
  <c r="AA121" i="7"/>
  <c r="AD121" i="7" s="1"/>
  <c r="Z123" i="7"/>
  <c r="AA123" i="7"/>
  <c r="AD123" i="7" s="1"/>
  <c r="Z124" i="7"/>
  <c r="AC124" i="7" s="1"/>
  <c r="AA124" i="7"/>
  <c r="AD124" i="7" s="1"/>
  <c r="Z125" i="7"/>
  <c r="AA125" i="7"/>
  <c r="AD125" i="7" s="1"/>
  <c r="Z127" i="7"/>
  <c r="AA127" i="7"/>
  <c r="AD127" i="7" s="1"/>
  <c r="Z128" i="7"/>
  <c r="AA128" i="7"/>
  <c r="AD128" i="7" s="1"/>
  <c r="Z129" i="7"/>
  <c r="AA129" i="7"/>
  <c r="AD129" i="7" s="1"/>
  <c r="Z130" i="7"/>
  <c r="AA130" i="7"/>
  <c r="AD130" i="7" s="1"/>
  <c r="Z131" i="7"/>
  <c r="AA131" i="7"/>
  <c r="AD131" i="7" s="1"/>
  <c r="Z132" i="7"/>
  <c r="AA132" i="7"/>
  <c r="AD132" i="7" s="1"/>
  <c r="Z133" i="7"/>
  <c r="AA133" i="7"/>
  <c r="AD133" i="7" s="1"/>
  <c r="Z134" i="7"/>
  <c r="AA134" i="7"/>
  <c r="AD134" i="7" s="1"/>
  <c r="Z135" i="7"/>
  <c r="AA135" i="7"/>
  <c r="AD135" i="7" s="1"/>
  <c r="Z136" i="7"/>
  <c r="AA136" i="7"/>
  <c r="AD136" i="7" s="1"/>
  <c r="Z137" i="7"/>
  <c r="AC137" i="7" s="1"/>
  <c r="AA137" i="7"/>
  <c r="AD137" i="7" s="1"/>
  <c r="Z138" i="7"/>
  <c r="AA138" i="7"/>
  <c r="AD138" i="7" s="1"/>
  <c r="Z139" i="7"/>
  <c r="AC139" i="7" s="1"/>
  <c r="AA139" i="7"/>
  <c r="AD139" i="7" s="1"/>
  <c r="Z140" i="7"/>
  <c r="AA140" i="7"/>
  <c r="AD140" i="7" s="1"/>
  <c r="Z141" i="7"/>
  <c r="AA141" i="7"/>
  <c r="AD141" i="7" s="1"/>
  <c r="Z142" i="7"/>
  <c r="AA142" i="7"/>
  <c r="AD142" i="7" s="1"/>
  <c r="Z143" i="7"/>
  <c r="AA143" i="7"/>
  <c r="AD143" i="7" s="1"/>
  <c r="Z144" i="7"/>
  <c r="AA144" i="7"/>
  <c r="AD144" i="7" s="1"/>
  <c r="Z145" i="7"/>
  <c r="AC145" i="7" s="1"/>
  <c r="AA145" i="7"/>
  <c r="AD145" i="7" s="1"/>
  <c r="Z146" i="7"/>
  <c r="AA146" i="7"/>
  <c r="AD146" i="7" s="1"/>
  <c r="Z147" i="7"/>
  <c r="AC147" i="7" s="1"/>
  <c r="AA147" i="7"/>
  <c r="AD147" i="7" s="1"/>
  <c r="Z148" i="7"/>
  <c r="AA148" i="7"/>
  <c r="AD148" i="7" s="1"/>
  <c r="Z149" i="7"/>
  <c r="AA149" i="7"/>
  <c r="AD149" i="7" s="1"/>
  <c r="Z150" i="7"/>
  <c r="AA150" i="7"/>
  <c r="AD150" i="7" s="1"/>
  <c r="Z151" i="7"/>
  <c r="AA151" i="7"/>
  <c r="AD151" i="7" s="1"/>
  <c r="Z152" i="7"/>
  <c r="AA152" i="7"/>
  <c r="AD152" i="7" s="1"/>
  <c r="Z153" i="7"/>
  <c r="AC153" i="7" s="1"/>
  <c r="AA153" i="7"/>
  <c r="AD153" i="7" s="1"/>
  <c r="Z154" i="7"/>
  <c r="AA154" i="7"/>
  <c r="AD154" i="7" s="1"/>
  <c r="Z155" i="7"/>
  <c r="AC155" i="7" s="1"/>
  <c r="AA155" i="7"/>
  <c r="AD155" i="7" s="1"/>
  <c r="Z156" i="7"/>
  <c r="AA156" i="7"/>
  <c r="AD156" i="7" s="1"/>
  <c r="Z157" i="7"/>
  <c r="AA157" i="7"/>
  <c r="AD157" i="7" s="1"/>
  <c r="Z158" i="7"/>
  <c r="AA158" i="7"/>
  <c r="AD158" i="7" s="1"/>
  <c r="Z159" i="7"/>
  <c r="AA159" i="7"/>
  <c r="AD159" i="7" s="1"/>
  <c r="Z160" i="7"/>
  <c r="AA160" i="7"/>
  <c r="AD160" i="7" s="1"/>
  <c r="Z161" i="7"/>
  <c r="AC161" i="7" s="1"/>
  <c r="AA161" i="7"/>
  <c r="AD161" i="7" s="1"/>
  <c r="Z162" i="7"/>
  <c r="AA162" i="7"/>
  <c r="AD162" i="7" s="1"/>
  <c r="Z163" i="7"/>
  <c r="AC163" i="7" s="1"/>
  <c r="AA163" i="7"/>
  <c r="AD163" i="7" s="1"/>
  <c r="Z164" i="7"/>
  <c r="AA164" i="7"/>
  <c r="AD164" i="7" s="1"/>
  <c r="Z165" i="7"/>
  <c r="AA165" i="7"/>
  <c r="AD165" i="7" s="1"/>
  <c r="Z166" i="7"/>
  <c r="AA166" i="7"/>
  <c r="AD166" i="7" s="1"/>
  <c r="Z167" i="7"/>
  <c r="AA167" i="7"/>
  <c r="AD167" i="7" s="1"/>
  <c r="Z168" i="7"/>
  <c r="AA168" i="7"/>
  <c r="AD168" i="7" s="1"/>
  <c r="V9" i="7"/>
  <c r="W9" i="7"/>
  <c r="V10" i="7"/>
  <c r="W10" i="7"/>
  <c r="V11" i="7"/>
  <c r="W11" i="7"/>
  <c r="V12" i="7"/>
  <c r="W12" i="7"/>
  <c r="V13" i="7"/>
  <c r="W13" i="7"/>
  <c r="V14" i="7"/>
  <c r="W14" i="7"/>
  <c r="V15" i="7"/>
  <c r="W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V59" i="7"/>
  <c r="W59" i="7"/>
  <c r="V60" i="7"/>
  <c r="W60" i="7"/>
  <c r="V61" i="7"/>
  <c r="W61" i="7"/>
  <c r="V62" i="7"/>
  <c r="W62" i="7"/>
  <c r="V63" i="7"/>
  <c r="W63" i="7"/>
  <c r="V64" i="7"/>
  <c r="W64" i="7"/>
  <c r="V65" i="7"/>
  <c r="W65" i="7"/>
  <c r="V66" i="7"/>
  <c r="W66" i="7"/>
  <c r="V67" i="7"/>
  <c r="W67" i="7"/>
  <c r="V68" i="7"/>
  <c r="W68" i="7"/>
  <c r="V70" i="7"/>
  <c r="W70" i="7"/>
  <c r="V71" i="7"/>
  <c r="W71" i="7"/>
  <c r="V72" i="7"/>
  <c r="W72" i="7"/>
  <c r="V73" i="7"/>
  <c r="W73" i="7"/>
  <c r="V74" i="7"/>
  <c r="W74" i="7"/>
  <c r="V75" i="7"/>
  <c r="W75" i="7"/>
  <c r="V76" i="7"/>
  <c r="W76" i="7"/>
  <c r="V77" i="7"/>
  <c r="W77" i="7"/>
  <c r="V78" i="7"/>
  <c r="W78" i="7"/>
  <c r="V79" i="7"/>
  <c r="W79" i="7"/>
  <c r="V80" i="7"/>
  <c r="W80" i="7"/>
  <c r="V81" i="7"/>
  <c r="W81" i="7"/>
  <c r="V82" i="7"/>
  <c r="W82" i="7"/>
  <c r="V83" i="7"/>
  <c r="W83" i="7"/>
  <c r="V84" i="7"/>
  <c r="W84" i="7"/>
  <c r="V85" i="7"/>
  <c r="W85" i="7"/>
  <c r="V86" i="7"/>
  <c r="W86" i="7"/>
  <c r="V87" i="7"/>
  <c r="W87" i="7"/>
  <c r="V88" i="7"/>
  <c r="W88" i="7"/>
  <c r="V89" i="7"/>
  <c r="W89" i="7"/>
  <c r="V90" i="7"/>
  <c r="W90" i="7"/>
  <c r="V91" i="7"/>
  <c r="W91" i="7"/>
  <c r="V92" i="7"/>
  <c r="W92" i="7"/>
  <c r="V93" i="7"/>
  <c r="W93" i="7"/>
  <c r="V94" i="7"/>
  <c r="W94" i="7"/>
  <c r="V96" i="7"/>
  <c r="W96" i="7"/>
  <c r="V97" i="7"/>
  <c r="W97" i="7"/>
  <c r="V99" i="7"/>
  <c r="W99" i="7"/>
  <c r="V100" i="7"/>
  <c r="W100" i="7"/>
  <c r="V101" i="7"/>
  <c r="W101" i="7"/>
  <c r="V102" i="7"/>
  <c r="W102" i="7"/>
  <c r="V103" i="7"/>
  <c r="W103" i="7"/>
  <c r="V104" i="7"/>
  <c r="W104" i="7"/>
  <c r="V105" i="7"/>
  <c r="W105" i="7"/>
  <c r="V107" i="7"/>
  <c r="W107" i="7"/>
  <c r="V109" i="7"/>
  <c r="W109" i="7"/>
  <c r="V110" i="7"/>
  <c r="W110" i="7"/>
  <c r="V111" i="7"/>
  <c r="W111" i="7"/>
  <c r="V112" i="7"/>
  <c r="W112" i="7"/>
  <c r="V113" i="7"/>
  <c r="W113" i="7"/>
  <c r="V115" i="7"/>
  <c r="W115" i="7"/>
  <c r="V116" i="7"/>
  <c r="W116" i="7"/>
  <c r="V117" i="7"/>
  <c r="W117" i="7"/>
  <c r="V118" i="7"/>
  <c r="W118" i="7"/>
  <c r="V119" i="7"/>
  <c r="W119" i="7"/>
  <c r="V120" i="7"/>
  <c r="W120" i="7"/>
  <c r="V121" i="7"/>
  <c r="W121" i="7"/>
  <c r="V123" i="7"/>
  <c r="W123" i="7"/>
  <c r="V124" i="7"/>
  <c r="W124" i="7"/>
  <c r="V125" i="7"/>
  <c r="W125" i="7"/>
  <c r="V127" i="7"/>
  <c r="W127" i="7"/>
  <c r="V128" i="7"/>
  <c r="W128" i="7"/>
  <c r="V129" i="7"/>
  <c r="W129" i="7"/>
  <c r="V130" i="7"/>
  <c r="W130" i="7"/>
  <c r="V131" i="7"/>
  <c r="W131" i="7"/>
  <c r="V132" i="7"/>
  <c r="W132" i="7"/>
  <c r="V133" i="7"/>
  <c r="W133" i="7"/>
  <c r="V134" i="7"/>
  <c r="W134" i="7"/>
  <c r="V135" i="7"/>
  <c r="W135" i="7"/>
  <c r="V136" i="7"/>
  <c r="W136" i="7"/>
  <c r="V137" i="7"/>
  <c r="W137" i="7"/>
  <c r="V138" i="7"/>
  <c r="W138" i="7"/>
  <c r="V139" i="7"/>
  <c r="W139" i="7"/>
  <c r="V140" i="7"/>
  <c r="W140" i="7"/>
  <c r="V141" i="7"/>
  <c r="W141" i="7"/>
  <c r="V142" i="7"/>
  <c r="W142" i="7"/>
  <c r="V143" i="7"/>
  <c r="W143" i="7"/>
  <c r="V144" i="7"/>
  <c r="W144" i="7"/>
  <c r="V145" i="7"/>
  <c r="W145" i="7"/>
  <c r="V146" i="7"/>
  <c r="W146" i="7"/>
  <c r="V147" i="7"/>
  <c r="W147" i="7"/>
  <c r="V148" i="7"/>
  <c r="W148" i="7"/>
  <c r="V149" i="7"/>
  <c r="W149" i="7"/>
  <c r="V150" i="7"/>
  <c r="W150" i="7"/>
  <c r="V151" i="7"/>
  <c r="W151" i="7"/>
  <c r="V152" i="7"/>
  <c r="W152" i="7"/>
  <c r="V153" i="7"/>
  <c r="W153" i="7"/>
  <c r="V154" i="7"/>
  <c r="W154" i="7"/>
  <c r="V155" i="7"/>
  <c r="W155" i="7"/>
  <c r="V156" i="7"/>
  <c r="W156" i="7"/>
  <c r="V157" i="7"/>
  <c r="W157" i="7"/>
  <c r="V158" i="7"/>
  <c r="W158" i="7"/>
  <c r="V159" i="7"/>
  <c r="W159" i="7"/>
  <c r="V160" i="7"/>
  <c r="W160" i="7"/>
  <c r="V161" i="7"/>
  <c r="W161" i="7"/>
  <c r="V162" i="7"/>
  <c r="W162" i="7"/>
  <c r="V163" i="7"/>
  <c r="W163" i="7"/>
  <c r="V164" i="7"/>
  <c r="W164" i="7"/>
  <c r="V165" i="7"/>
  <c r="W165" i="7"/>
  <c r="V166" i="7"/>
  <c r="W166" i="7"/>
  <c r="V167" i="7"/>
  <c r="W167" i="7"/>
  <c r="V168" i="7"/>
  <c r="W168" i="7"/>
  <c r="O9" i="7"/>
  <c r="R9" i="7" s="1"/>
  <c r="P9" i="7"/>
  <c r="S9" i="7" s="1"/>
  <c r="O10" i="7"/>
  <c r="P10" i="7"/>
  <c r="S10" i="7" s="1"/>
  <c r="O11" i="7"/>
  <c r="P11" i="7"/>
  <c r="S11" i="7" s="1"/>
  <c r="O12" i="7"/>
  <c r="P12" i="7"/>
  <c r="S12" i="7" s="1"/>
  <c r="O13" i="7"/>
  <c r="P13" i="7"/>
  <c r="S13" i="7" s="1"/>
  <c r="O14" i="7"/>
  <c r="R14" i="7" s="1"/>
  <c r="P14" i="7"/>
  <c r="S14" i="7" s="1"/>
  <c r="O15" i="7"/>
  <c r="R15" i="7" s="1"/>
  <c r="P15" i="7"/>
  <c r="S15" i="7" s="1"/>
  <c r="O16" i="7"/>
  <c r="P16" i="7"/>
  <c r="S16" i="7" s="1"/>
  <c r="O17" i="7"/>
  <c r="R17" i="7" s="1"/>
  <c r="P17" i="7"/>
  <c r="S17" i="7" s="1"/>
  <c r="O18" i="7"/>
  <c r="P18" i="7"/>
  <c r="S18" i="7" s="1"/>
  <c r="O19" i="7"/>
  <c r="P19" i="7"/>
  <c r="S19" i="7" s="1"/>
  <c r="O20" i="7"/>
  <c r="P20" i="7"/>
  <c r="S20" i="7" s="1"/>
  <c r="O21" i="7"/>
  <c r="P21" i="7"/>
  <c r="S21" i="7" s="1"/>
  <c r="O22" i="7"/>
  <c r="R22" i="7" s="1"/>
  <c r="P22" i="7"/>
  <c r="S22" i="7" s="1"/>
  <c r="O23" i="7"/>
  <c r="R23" i="7" s="1"/>
  <c r="P23" i="7"/>
  <c r="S23" i="7" s="1"/>
  <c r="O24" i="7"/>
  <c r="P24" i="7"/>
  <c r="S24" i="7" s="1"/>
  <c r="O25" i="7"/>
  <c r="P25" i="7"/>
  <c r="S25" i="7" s="1"/>
  <c r="O26" i="7"/>
  <c r="P26" i="7"/>
  <c r="S26" i="7" s="1"/>
  <c r="O27" i="7"/>
  <c r="P27" i="7"/>
  <c r="S27" i="7" s="1"/>
  <c r="O28" i="7"/>
  <c r="P28" i="7"/>
  <c r="S28" i="7" s="1"/>
  <c r="O29" i="7"/>
  <c r="P29" i="7"/>
  <c r="S29" i="7" s="1"/>
  <c r="O30" i="7"/>
  <c r="R30" i="7" s="1"/>
  <c r="P30" i="7"/>
  <c r="S30" i="7" s="1"/>
  <c r="O31" i="7"/>
  <c r="R31" i="7" s="1"/>
  <c r="P31" i="7"/>
  <c r="S31" i="7" s="1"/>
  <c r="O32" i="7"/>
  <c r="P32" i="7"/>
  <c r="S32" i="7" s="1"/>
  <c r="O33" i="7"/>
  <c r="R33" i="7" s="1"/>
  <c r="P33" i="7"/>
  <c r="S33" i="7" s="1"/>
  <c r="O34" i="7"/>
  <c r="P34" i="7"/>
  <c r="S34" i="7" s="1"/>
  <c r="O35" i="7"/>
  <c r="P35" i="7"/>
  <c r="S35" i="7" s="1"/>
  <c r="O36" i="7"/>
  <c r="P36" i="7"/>
  <c r="S36" i="7" s="1"/>
  <c r="O38" i="7"/>
  <c r="P38" i="7"/>
  <c r="S38" i="7" s="1"/>
  <c r="O39" i="7"/>
  <c r="R39" i="7" s="1"/>
  <c r="P39" i="7"/>
  <c r="S39" i="7" s="1"/>
  <c r="O40" i="7"/>
  <c r="P40" i="7"/>
  <c r="S40" i="7" s="1"/>
  <c r="O41" i="7"/>
  <c r="P41" i="7"/>
  <c r="S41" i="7" s="1"/>
  <c r="O42" i="7"/>
  <c r="R42" i="7" s="1"/>
  <c r="P42" i="7"/>
  <c r="S42" i="7" s="1"/>
  <c r="O43" i="7"/>
  <c r="P43" i="7"/>
  <c r="S43" i="7" s="1"/>
  <c r="O44" i="7"/>
  <c r="P44" i="7"/>
  <c r="S44" i="7" s="1"/>
  <c r="O45" i="7"/>
  <c r="P45" i="7"/>
  <c r="S45" i="7" s="1"/>
  <c r="O46" i="7"/>
  <c r="P46" i="7"/>
  <c r="S46" i="7" s="1"/>
  <c r="O47" i="7"/>
  <c r="R47" i="7" s="1"/>
  <c r="P47" i="7"/>
  <c r="S47" i="7" s="1"/>
  <c r="O48" i="7"/>
  <c r="R48" i="7" s="1"/>
  <c r="P48" i="7"/>
  <c r="S48" i="7" s="1"/>
  <c r="O49" i="7"/>
  <c r="P49" i="7"/>
  <c r="S49" i="7" s="1"/>
  <c r="O50" i="7"/>
  <c r="P50" i="7"/>
  <c r="S50" i="7" s="1"/>
  <c r="O51" i="7"/>
  <c r="P51" i="7"/>
  <c r="S51" i="7" s="1"/>
  <c r="O52" i="7"/>
  <c r="P52" i="7"/>
  <c r="S52" i="7" s="1"/>
  <c r="O53" i="7"/>
  <c r="P53" i="7"/>
  <c r="S53" i="7" s="1"/>
  <c r="O54" i="7"/>
  <c r="P54" i="7"/>
  <c r="S54" i="7" s="1"/>
  <c r="O55" i="7"/>
  <c r="R55" i="7" s="1"/>
  <c r="P55" i="7"/>
  <c r="S55" i="7" s="1"/>
  <c r="O56" i="7"/>
  <c r="R56" i="7" s="1"/>
  <c r="P56" i="7"/>
  <c r="S56" i="7" s="1"/>
  <c r="O57" i="7"/>
  <c r="P57" i="7"/>
  <c r="S57" i="7" s="1"/>
  <c r="O58" i="7"/>
  <c r="P58" i="7"/>
  <c r="S58" i="7" s="1"/>
  <c r="O59" i="7"/>
  <c r="P59" i="7"/>
  <c r="S59" i="7" s="1"/>
  <c r="O60" i="7"/>
  <c r="P60" i="7"/>
  <c r="S60" i="7" s="1"/>
  <c r="O61" i="7"/>
  <c r="P61" i="7"/>
  <c r="S61" i="7" s="1"/>
  <c r="O62" i="7"/>
  <c r="P62" i="7"/>
  <c r="S62" i="7" s="1"/>
  <c r="O63" i="7"/>
  <c r="R63" i="7" s="1"/>
  <c r="P63" i="7"/>
  <c r="S63" i="7" s="1"/>
  <c r="O64" i="7"/>
  <c r="R64" i="7" s="1"/>
  <c r="P64" i="7"/>
  <c r="S64" i="7" s="1"/>
  <c r="O65" i="7"/>
  <c r="P65" i="7"/>
  <c r="S65" i="7" s="1"/>
  <c r="O66" i="7"/>
  <c r="P66" i="7"/>
  <c r="S66" i="7" s="1"/>
  <c r="O67" i="7"/>
  <c r="P67" i="7"/>
  <c r="S67" i="7" s="1"/>
  <c r="O68" i="7"/>
  <c r="P68" i="7"/>
  <c r="S68" i="7" s="1"/>
  <c r="O70" i="7"/>
  <c r="P70" i="7"/>
  <c r="S70" i="7" s="1"/>
  <c r="O71" i="7"/>
  <c r="P71" i="7"/>
  <c r="S71" i="7" s="1"/>
  <c r="O72" i="7"/>
  <c r="R72" i="7" s="1"/>
  <c r="P72" i="7"/>
  <c r="S72" i="7" s="1"/>
  <c r="O73" i="7"/>
  <c r="R73" i="7" s="1"/>
  <c r="P73" i="7"/>
  <c r="S73" i="7" s="1"/>
  <c r="O74" i="7"/>
  <c r="P74" i="7"/>
  <c r="S74" i="7" s="1"/>
  <c r="O75" i="7"/>
  <c r="R75" i="7" s="1"/>
  <c r="P75" i="7"/>
  <c r="S75" i="7" s="1"/>
  <c r="O76" i="7"/>
  <c r="P76" i="7"/>
  <c r="S76" i="7" s="1"/>
  <c r="O77" i="7"/>
  <c r="P77" i="7"/>
  <c r="S77" i="7" s="1"/>
  <c r="O78" i="7"/>
  <c r="P78" i="7"/>
  <c r="S78" i="7" s="1"/>
  <c r="O79" i="7"/>
  <c r="P79" i="7"/>
  <c r="S79" i="7" s="1"/>
  <c r="O80" i="7"/>
  <c r="R80" i="7" s="1"/>
  <c r="P80" i="7"/>
  <c r="S80" i="7" s="1"/>
  <c r="O81" i="7"/>
  <c r="R81" i="7" s="1"/>
  <c r="P81" i="7"/>
  <c r="S81" i="7" s="1"/>
  <c r="O82" i="7"/>
  <c r="P82" i="7"/>
  <c r="S82" i="7" s="1"/>
  <c r="O83" i="7"/>
  <c r="R83" i="7" s="1"/>
  <c r="P83" i="7"/>
  <c r="S83" i="7" s="1"/>
  <c r="O84" i="7"/>
  <c r="P84" i="7"/>
  <c r="S84" i="7" s="1"/>
  <c r="O85" i="7"/>
  <c r="P85" i="7"/>
  <c r="S85" i="7" s="1"/>
  <c r="O86" i="7"/>
  <c r="P86" i="7"/>
  <c r="S86" i="7" s="1"/>
  <c r="O87" i="7"/>
  <c r="P87" i="7"/>
  <c r="S87" i="7" s="1"/>
  <c r="O88" i="7"/>
  <c r="R88" i="7" s="1"/>
  <c r="P88" i="7"/>
  <c r="S88" i="7" s="1"/>
  <c r="O89" i="7"/>
  <c r="R89" i="7" s="1"/>
  <c r="P89" i="7"/>
  <c r="S89" i="7" s="1"/>
  <c r="O90" i="7"/>
  <c r="P90" i="7"/>
  <c r="S90" i="7" s="1"/>
  <c r="O91" i="7"/>
  <c r="R91" i="7" s="1"/>
  <c r="P91" i="7"/>
  <c r="S91" i="7" s="1"/>
  <c r="O92" i="7"/>
  <c r="P92" i="7"/>
  <c r="S92" i="7" s="1"/>
  <c r="O93" i="7"/>
  <c r="P93" i="7"/>
  <c r="S93" i="7" s="1"/>
  <c r="O94" i="7"/>
  <c r="P94" i="7"/>
  <c r="S94" i="7" s="1"/>
  <c r="O96" i="7"/>
  <c r="P96" i="7"/>
  <c r="S96" i="7" s="1"/>
  <c r="O97" i="7"/>
  <c r="R97" i="7" s="1"/>
  <c r="P97" i="7"/>
  <c r="S97" i="7" s="1"/>
  <c r="O99" i="7"/>
  <c r="R99" i="7" s="1"/>
  <c r="P99" i="7"/>
  <c r="S99" i="7" s="1"/>
  <c r="O100" i="7"/>
  <c r="P100" i="7"/>
  <c r="S100" i="7" s="1"/>
  <c r="O101" i="7"/>
  <c r="R101" i="7" s="1"/>
  <c r="P101" i="7"/>
  <c r="S101" i="7" s="1"/>
  <c r="O102" i="7"/>
  <c r="P102" i="7"/>
  <c r="S102" i="7" s="1"/>
  <c r="O103" i="7"/>
  <c r="P103" i="7"/>
  <c r="S103" i="7" s="1"/>
  <c r="O104" i="7"/>
  <c r="P104" i="7"/>
  <c r="S104" i="7" s="1"/>
  <c r="O105" i="7"/>
  <c r="P105" i="7"/>
  <c r="S105" i="7" s="1"/>
  <c r="O107" i="7"/>
  <c r="R107" i="7" s="1"/>
  <c r="P107" i="7"/>
  <c r="S107" i="7" s="1"/>
  <c r="O109" i="7"/>
  <c r="R109" i="7" s="1"/>
  <c r="P109" i="7"/>
  <c r="S109" i="7" s="1"/>
  <c r="O110" i="7"/>
  <c r="P110" i="7"/>
  <c r="S110" i="7" s="1"/>
  <c r="O111" i="7"/>
  <c r="R111" i="7" s="1"/>
  <c r="P111" i="7"/>
  <c r="S111" i="7" s="1"/>
  <c r="O112" i="7"/>
  <c r="P112" i="7"/>
  <c r="S112" i="7" s="1"/>
  <c r="O113" i="7"/>
  <c r="P113" i="7"/>
  <c r="S113" i="7" s="1"/>
  <c r="O115" i="7"/>
  <c r="P115" i="7"/>
  <c r="S115" i="7" s="1"/>
  <c r="O116" i="7"/>
  <c r="P116" i="7"/>
  <c r="S116" i="7" s="1"/>
  <c r="O117" i="7"/>
  <c r="R117" i="7" s="1"/>
  <c r="P117" i="7"/>
  <c r="S117" i="7" s="1"/>
  <c r="O118" i="7"/>
  <c r="R118" i="7" s="1"/>
  <c r="P118" i="7"/>
  <c r="S118" i="7" s="1"/>
  <c r="O119" i="7"/>
  <c r="P119" i="7"/>
  <c r="S119" i="7" s="1"/>
  <c r="O120" i="7"/>
  <c r="R120" i="7" s="1"/>
  <c r="P120" i="7"/>
  <c r="S120" i="7" s="1"/>
  <c r="O121" i="7"/>
  <c r="P121" i="7"/>
  <c r="S121" i="7" s="1"/>
  <c r="O123" i="7"/>
  <c r="P123" i="7"/>
  <c r="S123" i="7" s="1"/>
  <c r="O124" i="7"/>
  <c r="P124" i="7"/>
  <c r="S124" i="7" s="1"/>
  <c r="O125" i="7"/>
  <c r="P125" i="7"/>
  <c r="S125" i="7" s="1"/>
  <c r="O127" i="7"/>
  <c r="R127" i="7" s="1"/>
  <c r="P127" i="7"/>
  <c r="S127" i="7" s="1"/>
  <c r="O128" i="7"/>
  <c r="P128" i="7"/>
  <c r="S128" i="7" s="1"/>
  <c r="O129" i="7"/>
  <c r="P129" i="7"/>
  <c r="S129" i="7" s="1"/>
  <c r="O130" i="7"/>
  <c r="P130" i="7"/>
  <c r="S130" i="7" s="1"/>
  <c r="O131" i="7"/>
  <c r="P131" i="7"/>
  <c r="S131" i="7" s="1"/>
  <c r="O132" i="7"/>
  <c r="P132" i="7"/>
  <c r="S132" i="7" s="1"/>
  <c r="O133" i="7"/>
  <c r="P133" i="7"/>
  <c r="S133" i="7" s="1"/>
  <c r="O134" i="7"/>
  <c r="P134" i="7"/>
  <c r="S134" i="7" s="1"/>
  <c r="O135" i="7"/>
  <c r="R135" i="7" s="1"/>
  <c r="P135" i="7"/>
  <c r="S135" i="7" s="1"/>
  <c r="O136" i="7"/>
  <c r="R136" i="7" s="1"/>
  <c r="P136" i="7"/>
  <c r="S136" i="7" s="1"/>
  <c r="O137" i="7"/>
  <c r="P137" i="7"/>
  <c r="S137" i="7" s="1"/>
  <c r="O138" i="7"/>
  <c r="P138" i="7"/>
  <c r="S138" i="7" s="1"/>
  <c r="O139" i="7"/>
  <c r="P139" i="7"/>
  <c r="S139" i="7" s="1"/>
  <c r="O140" i="7"/>
  <c r="P140" i="7"/>
  <c r="S140" i="7" s="1"/>
  <c r="O141" i="7"/>
  <c r="P141" i="7"/>
  <c r="S141" i="7" s="1"/>
  <c r="O142" i="7"/>
  <c r="P142" i="7"/>
  <c r="S142" i="7" s="1"/>
  <c r="O143" i="7"/>
  <c r="R143" i="7" s="1"/>
  <c r="P143" i="7"/>
  <c r="S143" i="7" s="1"/>
  <c r="O144" i="7"/>
  <c r="R144" i="7" s="1"/>
  <c r="P144" i="7"/>
  <c r="S144" i="7" s="1"/>
  <c r="O145" i="7"/>
  <c r="P145" i="7"/>
  <c r="S145" i="7" s="1"/>
  <c r="O146" i="7"/>
  <c r="P146" i="7"/>
  <c r="S146" i="7" s="1"/>
  <c r="O147" i="7"/>
  <c r="P147" i="7"/>
  <c r="S147" i="7" s="1"/>
  <c r="O148" i="7"/>
  <c r="P148" i="7"/>
  <c r="S148" i="7" s="1"/>
  <c r="O149" i="7"/>
  <c r="P149" i="7"/>
  <c r="S149" i="7" s="1"/>
  <c r="O150" i="7"/>
  <c r="P150" i="7"/>
  <c r="S150" i="7" s="1"/>
  <c r="O151" i="7"/>
  <c r="R151" i="7" s="1"/>
  <c r="P151" i="7"/>
  <c r="S151" i="7" s="1"/>
  <c r="O152" i="7"/>
  <c r="R152" i="7" s="1"/>
  <c r="P152" i="7"/>
  <c r="S152" i="7" s="1"/>
  <c r="O153" i="7"/>
  <c r="P153" i="7"/>
  <c r="S153" i="7" s="1"/>
  <c r="O154" i="7"/>
  <c r="P154" i="7"/>
  <c r="S154" i="7" s="1"/>
  <c r="O155" i="7"/>
  <c r="P155" i="7"/>
  <c r="S155" i="7" s="1"/>
  <c r="O156" i="7"/>
  <c r="P156" i="7"/>
  <c r="S156" i="7" s="1"/>
  <c r="O157" i="7"/>
  <c r="P157" i="7"/>
  <c r="S157" i="7" s="1"/>
  <c r="O158" i="7"/>
  <c r="P158" i="7"/>
  <c r="S158" i="7" s="1"/>
  <c r="O159" i="7"/>
  <c r="R159" i="7" s="1"/>
  <c r="P159" i="7"/>
  <c r="S159" i="7" s="1"/>
  <c r="O160" i="7"/>
  <c r="R160" i="7" s="1"/>
  <c r="P160" i="7"/>
  <c r="S160" i="7" s="1"/>
  <c r="O161" i="7"/>
  <c r="P161" i="7"/>
  <c r="S161" i="7" s="1"/>
  <c r="O162" i="7"/>
  <c r="R162" i="7" s="1"/>
  <c r="P162" i="7"/>
  <c r="S162" i="7" s="1"/>
  <c r="O163" i="7"/>
  <c r="P163" i="7"/>
  <c r="S163" i="7" s="1"/>
  <c r="O164" i="7"/>
  <c r="P164" i="7"/>
  <c r="S164" i="7" s="1"/>
  <c r="O165" i="7"/>
  <c r="P165" i="7"/>
  <c r="S165" i="7" s="1"/>
  <c r="O166" i="7"/>
  <c r="P166" i="7"/>
  <c r="S166" i="7" s="1"/>
  <c r="O167" i="7"/>
  <c r="R167" i="7" s="1"/>
  <c r="P167" i="7"/>
  <c r="S167" i="7" s="1"/>
  <c r="O168" i="7"/>
  <c r="R168" i="7" s="1"/>
  <c r="P168" i="7"/>
  <c r="S168" i="7" s="1"/>
  <c r="K9" i="7"/>
  <c r="L9" i="7"/>
  <c r="K10" i="7"/>
  <c r="L10" i="7"/>
  <c r="K11" i="7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K28" i="7"/>
  <c r="L28" i="7"/>
  <c r="K29" i="7"/>
  <c r="L29" i="7"/>
  <c r="K30" i="7"/>
  <c r="L30" i="7"/>
  <c r="K31" i="7"/>
  <c r="L31" i="7"/>
  <c r="K32" i="7"/>
  <c r="L32" i="7"/>
  <c r="K33" i="7"/>
  <c r="L33" i="7"/>
  <c r="K34" i="7"/>
  <c r="L34" i="7"/>
  <c r="K35" i="7"/>
  <c r="L35" i="7"/>
  <c r="K36" i="7"/>
  <c r="L36" i="7"/>
  <c r="K38" i="7"/>
  <c r="L38" i="7"/>
  <c r="K39" i="7"/>
  <c r="L39" i="7"/>
  <c r="K40" i="7"/>
  <c r="L40" i="7"/>
  <c r="K41" i="7"/>
  <c r="L41" i="7"/>
  <c r="K42" i="7"/>
  <c r="L42" i="7"/>
  <c r="K43" i="7"/>
  <c r="L43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59" i="7"/>
  <c r="L59" i="7"/>
  <c r="K60" i="7"/>
  <c r="L60" i="7"/>
  <c r="K61" i="7"/>
  <c r="L61" i="7"/>
  <c r="K62" i="7"/>
  <c r="L62" i="7"/>
  <c r="K63" i="7"/>
  <c r="L63" i="7"/>
  <c r="K64" i="7"/>
  <c r="L64" i="7"/>
  <c r="K65" i="7"/>
  <c r="L65" i="7"/>
  <c r="K66" i="7"/>
  <c r="L66" i="7"/>
  <c r="K67" i="7"/>
  <c r="L67" i="7"/>
  <c r="K68" i="7"/>
  <c r="L68" i="7"/>
  <c r="K70" i="7"/>
  <c r="L70" i="7"/>
  <c r="K71" i="7"/>
  <c r="L71" i="7"/>
  <c r="K72" i="7"/>
  <c r="L72" i="7"/>
  <c r="K73" i="7"/>
  <c r="L73" i="7"/>
  <c r="K74" i="7"/>
  <c r="L74" i="7"/>
  <c r="K75" i="7"/>
  <c r="L75" i="7"/>
  <c r="K76" i="7"/>
  <c r="L76" i="7"/>
  <c r="K77" i="7"/>
  <c r="L77" i="7"/>
  <c r="K78" i="7"/>
  <c r="L78" i="7"/>
  <c r="K79" i="7"/>
  <c r="L79" i="7"/>
  <c r="K80" i="7"/>
  <c r="L80" i="7"/>
  <c r="K81" i="7"/>
  <c r="L81" i="7"/>
  <c r="K82" i="7"/>
  <c r="L82" i="7"/>
  <c r="K83" i="7"/>
  <c r="L83" i="7"/>
  <c r="K84" i="7"/>
  <c r="L84" i="7"/>
  <c r="K85" i="7"/>
  <c r="L85" i="7"/>
  <c r="K86" i="7"/>
  <c r="L86" i="7"/>
  <c r="K87" i="7"/>
  <c r="L87" i="7"/>
  <c r="K88" i="7"/>
  <c r="L88" i="7"/>
  <c r="K89" i="7"/>
  <c r="L89" i="7"/>
  <c r="K90" i="7"/>
  <c r="L90" i="7"/>
  <c r="K91" i="7"/>
  <c r="L91" i="7"/>
  <c r="K92" i="7"/>
  <c r="L92" i="7"/>
  <c r="K93" i="7"/>
  <c r="L93" i="7"/>
  <c r="K94" i="7"/>
  <c r="L94" i="7"/>
  <c r="K96" i="7"/>
  <c r="L96" i="7"/>
  <c r="K97" i="7"/>
  <c r="L97" i="7"/>
  <c r="K99" i="7"/>
  <c r="L99" i="7"/>
  <c r="K100" i="7"/>
  <c r="L100" i="7"/>
  <c r="K101" i="7"/>
  <c r="L101" i="7"/>
  <c r="K102" i="7"/>
  <c r="L102" i="7"/>
  <c r="K103" i="7"/>
  <c r="L103" i="7"/>
  <c r="K104" i="7"/>
  <c r="L104" i="7"/>
  <c r="K105" i="7"/>
  <c r="L105" i="7"/>
  <c r="K107" i="7"/>
  <c r="L107" i="7"/>
  <c r="K109" i="7"/>
  <c r="L109" i="7"/>
  <c r="K110" i="7"/>
  <c r="L110" i="7"/>
  <c r="K111" i="7"/>
  <c r="L111" i="7"/>
  <c r="K112" i="7"/>
  <c r="L112" i="7"/>
  <c r="K113" i="7"/>
  <c r="L113" i="7"/>
  <c r="K115" i="7"/>
  <c r="L115" i="7"/>
  <c r="K116" i="7"/>
  <c r="L116" i="7"/>
  <c r="K117" i="7"/>
  <c r="L117" i="7"/>
  <c r="K118" i="7"/>
  <c r="L118" i="7"/>
  <c r="K119" i="7"/>
  <c r="L119" i="7"/>
  <c r="K120" i="7"/>
  <c r="L120" i="7"/>
  <c r="K121" i="7"/>
  <c r="L121" i="7"/>
  <c r="K123" i="7"/>
  <c r="L123" i="7"/>
  <c r="K124" i="7"/>
  <c r="L124" i="7"/>
  <c r="K125" i="7"/>
  <c r="L125" i="7"/>
  <c r="K127" i="7"/>
  <c r="L127" i="7"/>
  <c r="K128" i="7"/>
  <c r="L128" i="7"/>
  <c r="K129" i="7"/>
  <c r="L129" i="7"/>
  <c r="K130" i="7"/>
  <c r="L130" i="7"/>
  <c r="K131" i="7"/>
  <c r="L131" i="7"/>
  <c r="K132" i="7"/>
  <c r="L132" i="7"/>
  <c r="K133" i="7"/>
  <c r="L133" i="7"/>
  <c r="K134" i="7"/>
  <c r="L134" i="7"/>
  <c r="K135" i="7"/>
  <c r="L135" i="7"/>
  <c r="K136" i="7"/>
  <c r="L136" i="7"/>
  <c r="K137" i="7"/>
  <c r="L137" i="7"/>
  <c r="K138" i="7"/>
  <c r="L138" i="7"/>
  <c r="K139" i="7"/>
  <c r="L139" i="7"/>
  <c r="K140" i="7"/>
  <c r="L140" i="7"/>
  <c r="K141" i="7"/>
  <c r="L141" i="7"/>
  <c r="K142" i="7"/>
  <c r="L142" i="7"/>
  <c r="K143" i="7"/>
  <c r="L143" i="7"/>
  <c r="K144" i="7"/>
  <c r="L144" i="7"/>
  <c r="K145" i="7"/>
  <c r="L145" i="7"/>
  <c r="K146" i="7"/>
  <c r="L146" i="7"/>
  <c r="K147" i="7"/>
  <c r="L147" i="7"/>
  <c r="K148" i="7"/>
  <c r="L148" i="7"/>
  <c r="K149" i="7"/>
  <c r="L149" i="7"/>
  <c r="K150" i="7"/>
  <c r="L150" i="7"/>
  <c r="K151" i="7"/>
  <c r="L151" i="7"/>
  <c r="K152" i="7"/>
  <c r="L152" i="7"/>
  <c r="K153" i="7"/>
  <c r="L153" i="7"/>
  <c r="K154" i="7"/>
  <c r="L154" i="7"/>
  <c r="K155" i="7"/>
  <c r="L155" i="7"/>
  <c r="K156" i="7"/>
  <c r="L156" i="7"/>
  <c r="K157" i="7"/>
  <c r="L157" i="7"/>
  <c r="K158" i="7"/>
  <c r="L158" i="7"/>
  <c r="K159" i="7"/>
  <c r="L159" i="7"/>
  <c r="K160" i="7"/>
  <c r="L160" i="7"/>
  <c r="K161" i="7"/>
  <c r="L161" i="7"/>
  <c r="K162" i="7"/>
  <c r="L162" i="7"/>
  <c r="K163" i="7"/>
  <c r="L163" i="7"/>
  <c r="K164" i="7"/>
  <c r="L164" i="7"/>
  <c r="K165" i="7"/>
  <c r="L165" i="7"/>
  <c r="K166" i="7"/>
  <c r="L166" i="7"/>
  <c r="K167" i="7"/>
  <c r="L167" i="7"/>
  <c r="K168" i="7"/>
  <c r="L168" i="7"/>
  <c r="E9" i="7"/>
  <c r="H9" i="7" s="1"/>
  <c r="E10" i="7"/>
  <c r="H10" i="7" s="1"/>
  <c r="E11" i="7"/>
  <c r="H11" i="7" s="1"/>
  <c r="E12" i="7"/>
  <c r="H12" i="7" s="1"/>
  <c r="E13" i="7"/>
  <c r="H13" i="7" s="1"/>
  <c r="E14" i="7"/>
  <c r="H14" i="7" s="1"/>
  <c r="E15" i="7"/>
  <c r="H15" i="7" s="1"/>
  <c r="E16" i="7"/>
  <c r="H16" i="7" s="1"/>
  <c r="E17" i="7"/>
  <c r="H17" i="7" s="1"/>
  <c r="E18" i="7"/>
  <c r="H18" i="7" s="1"/>
  <c r="E19" i="7"/>
  <c r="H19" i="7" s="1"/>
  <c r="E20" i="7"/>
  <c r="H20" i="7" s="1"/>
  <c r="E21" i="7"/>
  <c r="H21" i="7" s="1"/>
  <c r="E22" i="7"/>
  <c r="H22" i="7" s="1"/>
  <c r="E23" i="7"/>
  <c r="H23" i="7" s="1"/>
  <c r="E24" i="7"/>
  <c r="H24" i="7" s="1"/>
  <c r="E25" i="7"/>
  <c r="H25" i="7" s="1"/>
  <c r="E26" i="7"/>
  <c r="H26" i="7" s="1"/>
  <c r="E27" i="7"/>
  <c r="H27" i="7" s="1"/>
  <c r="E28" i="7"/>
  <c r="H28" i="7" s="1"/>
  <c r="E29" i="7"/>
  <c r="H29" i="7" s="1"/>
  <c r="E30" i="7"/>
  <c r="H30" i="7" s="1"/>
  <c r="E31" i="7"/>
  <c r="H31" i="7" s="1"/>
  <c r="E32" i="7"/>
  <c r="H32" i="7" s="1"/>
  <c r="E33" i="7"/>
  <c r="H33" i="7" s="1"/>
  <c r="E34" i="7"/>
  <c r="H34" i="7" s="1"/>
  <c r="E35" i="7"/>
  <c r="H35" i="7" s="1"/>
  <c r="E36" i="7"/>
  <c r="H36" i="7" s="1"/>
  <c r="E38" i="7"/>
  <c r="H38" i="7" s="1"/>
  <c r="E39" i="7"/>
  <c r="H39" i="7" s="1"/>
  <c r="E40" i="7"/>
  <c r="H40" i="7" s="1"/>
  <c r="E41" i="7"/>
  <c r="H41" i="7" s="1"/>
  <c r="E42" i="7"/>
  <c r="H42" i="7" s="1"/>
  <c r="E43" i="7"/>
  <c r="H43" i="7" s="1"/>
  <c r="E44" i="7"/>
  <c r="H44" i="7" s="1"/>
  <c r="E45" i="7"/>
  <c r="H45" i="7" s="1"/>
  <c r="E46" i="7"/>
  <c r="H46" i="7" s="1"/>
  <c r="E47" i="7"/>
  <c r="H47" i="7" s="1"/>
  <c r="E48" i="7"/>
  <c r="H48" i="7" s="1"/>
  <c r="E49" i="7"/>
  <c r="H49" i="7" s="1"/>
  <c r="E50" i="7"/>
  <c r="H50" i="7" s="1"/>
  <c r="E51" i="7"/>
  <c r="H51" i="7" s="1"/>
  <c r="E52" i="7"/>
  <c r="H52" i="7" s="1"/>
  <c r="E53" i="7"/>
  <c r="H53" i="7" s="1"/>
  <c r="E54" i="7"/>
  <c r="H54" i="7" s="1"/>
  <c r="E55" i="7"/>
  <c r="H55" i="7" s="1"/>
  <c r="E56" i="7"/>
  <c r="H56" i="7" s="1"/>
  <c r="E57" i="7"/>
  <c r="H57" i="7" s="1"/>
  <c r="E58" i="7"/>
  <c r="H58" i="7" s="1"/>
  <c r="E59" i="7"/>
  <c r="H59" i="7" s="1"/>
  <c r="E60" i="7"/>
  <c r="H60" i="7" s="1"/>
  <c r="E61" i="7"/>
  <c r="H61" i="7" s="1"/>
  <c r="E62" i="7"/>
  <c r="H62" i="7" s="1"/>
  <c r="E63" i="7"/>
  <c r="H63" i="7" s="1"/>
  <c r="E64" i="7"/>
  <c r="H64" i="7" s="1"/>
  <c r="E65" i="7"/>
  <c r="H65" i="7" s="1"/>
  <c r="E66" i="7"/>
  <c r="H66" i="7" s="1"/>
  <c r="E67" i="7"/>
  <c r="H67" i="7" s="1"/>
  <c r="E68" i="7"/>
  <c r="H68" i="7" s="1"/>
  <c r="E70" i="7"/>
  <c r="H70" i="7" s="1"/>
  <c r="E71" i="7"/>
  <c r="H71" i="7" s="1"/>
  <c r="E72" i="7"/>
  <c r="H72" i="7" s="1"/>
  <c r="E73" i="7"/>
  <c r="H73" i="7" s="1"/>
  <c r="E74" i="7"/>
  <c r="H74" i="7" s="1"/>
  <c r="E75" i="7"/>
  <c r="H75" i="7" s="1"/>
  <c r="E76" i="7"/>
  <c r="H76" i="7" s="1"/>
  <c r="E77" i="7"/>
  <c r="H77" i="7" s="1"/>
  <c r="E78" i="7"/>
  <c r="H78" i="7" s="1"/>
  <c r="E79" i="7"/>
  <c r="H79" i="7" s="1"/>
  <c r="E80" i="7"/>
  <c r="H80" i="7" s="1"/>
  <c r="E81" i="7"/>
  <c r="H81" i="7" s="1"/>
  <c r="E82" i="7"/>
  <c r="H82" i="7" s="1"/>
  <c r="E83" i="7"/>
  <c r="H83" i="7" s="1"/>
  <c r="E84" i="7"/>
  <c r="H84" i="7" s="1"/>
  <c r="E85" i="7"/>
  <c r="H85" i="7" s="1"/>
  <c r="E86" i="7"/>
  <c r="H86" i="7" s="1"/>
  <c r="E87" i="7"/>
  <c r="H87" i="7" s="1"/>
  <c r="E88" i="7"/>
  <c r="H88" i="7" s="1"/>
  <c r="E89" i="7"/>
  <c r="H89" i="7" s="1"/>
  <c r="E90" i="7"/>
  <c r="H90" i="7" s="1"/>
  <c r="E91" i="7"/>
  <c r="H91" i="7" s="1"/>
  <c r="E92" i="7"/>
  <c r="H92" i="7" s="1"/>
  <c r="E93" i="7"/>
  <c r="H93" i="7" s="1"/>
  <c r="E94" i="7"/>
  <c r="H94" i="7" s="1"/>
  <c r="E96" i="7"/>
  <c r="H96" i="7" s="1"/>
  <c r="E97" i="7"/>
  <c r="H97" i="7" s="1"/>
  <c r="E99" i="7"/>
  <c r="H99" i="7" s="1"/>
  <c r="E100" i="7"/>
  <c r="H100" i="7" s="1"/>
  <c r="E101" i="7"/>
  <c r="H101" i="7" s="1"/>
  <c r="E102" i="7"/>
  <c r="H102" i="7" s="1"/>
  <c r="E103" i="7"/>
  <c r="H103" i="7" s="1"/>
  <c r="E104" i="7"/>
  <c r="H104" i="7" s="1"/>
  <c r="E105" i="7"/>
  <c r="H105" i="7" s="1"/>
  <c r="E107" i="7"/>
  <c r="H107" i="7" s="1"/>
  <c r="E109" i="7"/>
  <c r="H109" i="7" s="1"/>
  <c r="E110" i="7"/>
  <c r="H110" i="7" s="1"/>
  <c r="E111" i="7"/>
  <c r="H111" i="7" s="1"/>
  <c r="E112" i="7"/>
  <c r="H112" i="7" s="1"/>
  <c r="E113" i="7"/>
  <c r="H113" i="7" s="1"/>
  <c r="E115" i="7"/>
  <c r="H115" i="7" s="1"/>
  <c r="E116" i="7"/>
  <c r="H116" i="7" s="1"/>
  <c r="E117" i="7"/>
  <c r="H117" i="7" s="1"/>
  <c r="E118" i="7"/>
  <c r="H118" i="7" s="1"/>
  <c r="E119" i="7"/>
  <c r="H119" i="7" s="1"/>
  <c r="E120" i="7"/>
  <c r="H120" i="7" s="1"/>
  <c r="E121" i="7"/>
  <c r="H121" i="7" s="1"/>
  <c r="E123" i="7"/>
  <c r="H123" i="7" s="1"/>
  <c r="E124" i="7"/>
  <c r="H124" i="7" s="1"/>
  <c r="E125" i="7"/>
  <c r="H125" i="7" s="1"/>
  <c r="E127" i="7"/>
  <c r="H127" i="7" s="1"/>
  <c r="E128" i="7"/>
  <c r="H128" i="7" s="1"/>
  <c r="E129" i="7"/>
  <c r="H129" i="7" s="1"/>
  <c r="E130" i="7"/>
  <c r="H130" i="7" s="1"/>
  <c r="E131" i="7"/>
  <c r="H131" i="7" s="1"/>
  <c r="E132" i="7"/>
  <c r="H132" i="7" s="1"/>
  <c r="E133" i="7"/>
  <c r="H133" i="7" s="1"/>
  <c r="E134" i="7"/>
  <c r="H134" i="7" s="1"/>
  <c r="E135" i="7"/>
  <c r="H135" i="7" s="1"/>
  <c r="E136" i="7"/>
  <c r="H136" i="7" s="1"/>
  <c r="E137" i="7"/>
  <c r="H137" i="7" s="1"/>
  <c r="E138" i="7"/>
  <c r="H138" i="7" s="1"/>
  <c r="E139" i="7"/>
  <c r="H139" i="7" s="1"/>
  <c r="E140" i="7"/>
  <c r="H140" i="7" s="1"/>
  <c r="E141" i="7"/>
  <c r="H141" i="7" s="1"/>
  <c r="E142" i="7"/>
  <c r="H142" i="7" s="1"/>
  <c r="E143" i="7"/>
  <c r="H143" i="7" s="1"/>
  <c r="E144" i="7"/>
  <c r="H144" i="7" s="1"/>
  <c r="E145" i="7"/>
  <c r="H145" i="7" s="1"/>
  <c r="E146" i="7"/>
  <c r="H146" i="7" s="1"/>
  <c r="E147" i="7"/>
  <c r="H147" i="7" s="1"/>
  <c r="E148" i="7"/>
  <c r="H148" i="7" s="1"/>
  <c r="E149" i="7"/>
  <c r="H149" i="7" s="1"/>
  <c r="E150" i="7"/>
  <c r="H150" i="7" s="1"/>
  <c r="E151" i="7"/>
  <c r="H151" i="7" s="1"/>
  <c r="E152" i="7"/>
  <c r="H152" i="7" s="1"/>
  <c r="E153" i="7"/>
  <c r="H153" i="7" s="1"/>
  <c r="E154" i="7"/>
  <c r="H154" i="7" s="1"/>
  <c r="E155" i="7"/>
  <c r="H155" i="7" s="1"/>
  <c r="E156" i="7"/>
  <c r="H156" i="7" s="1"/>
  <c r="E157" i="7"/>
  <c r="H157" i="7" s="1"/>
  <c r="E158" i="7"/>
  <c r="H158" i="7" s="1"/>
  <c r="E159" i="7"/>
  <c r="H159" i="7" s="1"/>
  <c r="E160" i="7"/>
  <c r="H160" i="7" s="1"/>
  <c r="E161" i="7"/>
  <c r="H161" i="7" s="1"/>
  <c r="E162" i="7"/>
  <c r="H162" i="7" s="1"/>
  <c r="E163" i="7"/>
  <c r="H163" i="7" s="1"/>
  <c r="E164" i="7"/>
  <c r="H164" i="7" s="1"/>
  <c r="E165" i="7"/>
  <c r="H165" i="7" s="1"/>
  <c r="E166" i="7"/>
  <c r="H166" i="7" s="1"/>
  <c r="E167" i="7"/>
  <c r="H167" i="7" s="1"/>
  <c r="E168" i="7"/>
  <c r="H168" i="7" s="1"/>
  <c r="D9" i="7"/>
  <c r="D10" i="7"/>
  <c r="D11" i="7"/>
  <c r="D12" i="7"/>
  <c r="D13" i="7"/>
  <c r="G13" i="7" s="1"/>
  <c r="D14" i="7"/>
  <c r="D15" i="7"/>
  <c r="D16" i="7"/>
  <c r="D17" i="7"/>
  <c r="D18" i="7"/>
  <c r="D19" i="7"/>
  <c r="D20" i="7"/>
  <c r="D21" i="7"/>
  <c r="G21" i="7" s="1"/>
  <c r="D22" i="7"/>
  <c r="D23" i="7"/>
  <c r="D24" i="7"/>
  <c r="D25" i="7"/>
  <c r="D26" i="7"/>
  <c r="D27" i="7"/>
  <c r="D28" i="7"/>
  <c r="D29" i="7"/>
  <c r="G29" i="7" s="1"/>
  <c r="D30" i="7"/>
  <c r="D31" i="7"/>
  <c r="D32" i="7"/>
  <c r="D33" i="7"/>
  <c r="D34" i="7"/>
  <c r="D35" i="7"/>
  <c r="D36" i="7"/>
  <c r="D38" i="7"/>
  <c r="D39" i="7"/>
  <c r="G39" i="7" s="1"/>
  <c r="D40" i="7"/>
  <c r="D41" i="7"/>
  <c r="G41" i="7" s="1"/>
  <c r="D42" i="7"/>
  <c r="D43" i="7"/>
  <c r="D44" i="7"/>
  <c r="D45" i="7"/>
  <c r="D46" i="7"/>
  <c r="D47" i="7"/>
  <c r="G47" i="7" s="1"/>
  <c r="D48" i="7"/>
  <c r="D49" i="7"/>
  <c r="G49" i="7" s="1"/>
  <c r="D50" i="7"/>
  <c r="D51" i="7"/>
  <c r="D52" i="7"/>
  <c r="D53" i="7"/>
  <c r="D54" i="7"/>
  <c r="D55" i="7"/>
  <c r="G55" i="7" s="1"/>
  <c r="D56" i="7"/>
  <c r="D57" i="7"/>
  <c r="G57" i="7" s="1"/>
  <c r="D58" i="7"/>
  <c r="D59" i="7"/>
  <c r="D60" i="7"/>
  <c r="D61" i="7"/>
  <c r="D62" i="7"/>
  <c r="D63" i="7"/>
  <c r="G63" i="7" s="1"/>
  <c r="D64" i="7"/>
  <c r="D65" i="7"/>
  <c r="G65" i="7" s="1"/>
  <c r="D66" i="7"/>
  <c r="D67" i="7"/>
  <c r="D68" i="7"/>
  <c r="D70" i="7"/>
  <c r="D71" i="7"/>
  <c r="G71" i="7" s="1"/>
  <c r="D72" i="7"/>
  <c r="D73" i="7"/>
  <c r="D74" i="7"/>
  <c r="D75" i="7"/>
  <c r="D76" i="7"/>
  <c r="D77" i="7"/>
  <c r="D78" i="7"/>
  <c r="D79" i="7"/>
  <c r="G79" i="7" s="1"/>
  <c r="D80" i="7"/>
  <c r="D81" i="7"/>
  <c r="D82" i="7"/>
  <c r="D83" i="7"/>
  <c r="D84" i="7"/>
  <c r="D85" i="7"/>
  <c r="D86" i="7"/>
  <c r="D87" i="7"/>
  <c r="G87" i="7" s="1"/>
  <c r="D88" i="7"/>
  <c r="D89" i="7"/>
  <c r="D90" i="7"/>
  <c r="D91" i="7"/>
  <c r="D92" i="7"/>
  <c r="D93" i="7"/>
  <c r="D94" i="7"/>
  <c r="D96" i="7"/>
  <c r="D97" i="7"/>
  <c r="G97" i="7" s="1"/>
  <c r="D99" i="7"/>
  <c r="D100" i="7"/>
  <c r="D101" i="7"/>
  <c r="D102" i="7"/>
  <c r="D103" i="7"/>
  <c r="D104" i="7"/>
  <c r="D105" i="7"/>
  <c r="G105" i="7" s="1"/>
  <c r="D107" i="7"/>
  <c r="G107" i="7" s="1"/>
  <c r="D109" i="7"/>
  <c r="D110" i="7"/>
  <c r="D111" i="7"/>
  <c r="D112" i="7"/>
  <c r="D113" i="7"/>
  <c r="D115" i="7"/>
  <c r="D116" i="7"/>
  <c r="D117" i="7"/>
  <c r="G117" i="7" s="1"/>
  <c r="D118" i="7"/>
  <c r="D119" i="7"/>
  <c r="G119" i="7" s="1"/>
  <c r="D120" i="7"/>
  <c r="D121" i="7"/>
  <c r="D123" i="7"/>
  <c r="D124" i="7"/>
  <c r="D125" i="7"/>
  <c r="G125" i="7" s="1"/>
  <c r="D127" i="7"/>
  <c r="G127" i="7" s="1"/>
  <c r="D128" i="7"/>
  <c r="D129" i="7"/>
  <c r="G129" i="7" s="1"/>
  <c r="D130" i="7"/>
  <c r="D131" i="7"/>
  <c r="D132" i="7"/>
  <c r="D133" i="7"/>
  <c r="D134" i="7"/>
  <c r="D135" i="7"/>
  <c r="G135" i="7" s="1"/>
  <c r="D136" i="7"/>
  <c r="D137" i="7"/>
  <c r="G137" i="7" s="1"/>
  <c r="D138" i="7"/>
  <c r="D139" i="7"/>
  <c r="D140" i="7"/>
  <c r="D141" i="7"/>
  <c r="D142" i="7"/>
  <c r="D143" i="7"/>
  <c r="G143" i="7" s="1"/>
  <c r="D144" i="7"/>
  <c r="D145" i="7"/>
  <c r="G145" i="7" s="1"/>
  <c r="D146" i="7"/>
  <c r="D147" i="7"/>
  <c r="D148" i="7"/>
  <c r="D149" i="7"/>
  <c r="D150" i="7"/>
  <c r="D151" i="7"/>
  <c r="G151" i="7" s="1"/>
  <c r="D152" i="7"/>
  <c r="D153" i="7"/>
  <c r="G153" i="7" s="1"/>
  <c r="D154" i="7"/>
  <c r="D155" i="7"/>
  <c r="D156" i="7"/>
  <c r="D157" i="7"/>
  <c r="D158" i="7"/>
  <c r="D159" i="7"/>
  <c r="G159" i="7" s="1"/>
  <c r="D160" i="7"/>
  <c r="D161" i="7"/>
  <c r="G161" i="7" s="1"/>
  <c r="D162" i="7"/>
  <c r="D163" i="7"/>
  <c r="D164" i="7"/>
  <c r="D165" i="7"/>
  <c r="D166" i="7"/>
  <c r="D167" i="7"/>
  <c r="G167" i="7" s="1"/>
  <c r="D16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6" i="7"/>
  <c r="I97" i="7"/>
  <c r="I99" i="7"/>
  <c r="I100" i="7"/>
  <c r="I101" i="7"/>
  <c r="I102" i="7"/>
  <c r="I103" i="7"/>
  <c r="I104" i="7"/>
  <c r="I105" i="7"/>
  <c r="I107" i="7"/>
  <c r="I109" i="7"/>
  <c r="I110" i="7"/>
  <c r="I111" i="7"/>
  <c r="I112" i="7"/>
  <c r="I113" i="7"/>
  <c r="I115" i="7"/>
  <c r="I116" i="7"/>
  <c r="I117" i="7"/>
  <c r="I118" i="7"/>
  <c r="I119" i="7"/>
  <c r="I120" i="7"/>
  <c r="I121" i="7"/>
  <c r="I123" i="7"/>
  <c r="I124" i="7"/>
  <c r="I125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BW8" i="7"/>
  <c r="BL8" i="7"/>
  <c r="BS8" i="7"/>
  <c r="BV8" i="7" s="1"/>
  <c r="BR8" i="7"/>
  <c r="BO8" i="7"/>
  <c r="BN8" i="7"/>
  <c r="BH8" i="7"/>
  <c r="BK8" i="7" s="1"/>
  <c r="BG8" i="7"/>
  <c r="BD8" i="7"/>
  <c r="BC8" i="7"/>
  <c r="BA8" i="7"/>
  <c r="AW8" i="7"/>
  <c r="AZ8" i="7" s="1"/>
  <c r="AV8" i="7"/>
  <c r="AS8" i="7"/>
  <c r="AR8" i="7"/>
  <c r="AP8" i="7"/>
  <c r="AL8" i="7"/>
  <c r="AO8" i="7" s="1"/>
  <c r="AK8" i="7"/>
  <c r="AH8" i="7"/>
  <c r="AG8" i="7"/>
  <c r="AE8" i="7"/>
  <c r="AA8" i="7"/>
  <c r="AD8" i="7" s="1"/>
  <c r="Z8" i="7"/>
  <c r="W8" i="7"/>
  <c r="V8" i="7"/>
  <c r="T8" i="7"/>
  <c r="I8" i="7"/>
  <c r="P8" i="7"/>
  <c r="S8" i="7" s="1"/>
  <c r="O8" i="7"/>
  <c r="BV168" i="7"/>
  <c r="BV164" i="7"/>
  <c r="AZ54" i="7"/>
  <c r="AZ50" i="7"/>
  <c r="AC128" i="7"/>
  <c r="AC15" i="7"/>
  <c r="L8" i="7"/>
  <c r="K8" i="7"/>
  <c r="F8" i="7"/>
  <c r="E8" i="7"/>
  <c r="H8" i="7" s="1"/>
  <c r="D8" i="7"/>
  <c r="BU78" i="7" l="1"/>
  <c r="R38" i="7"/>
  <c r="R29" i="7"/>
  <c r="R21" i="7"/>
  <c r="R13" i="7"/>
  <c r="G165" i="7"/>
  <c r="G157" i="7"/>
  <c r="G141" i="7"/>
  <c r="G133" i="7"/>
  <c r="G115" i="7"/>
  <c r="G61" i="7"/>
  <c r="G53" i="7"/>
  <c r="G45" i="7"/>
  <c r="G149" i="7"/>
  <c r="AN87" i="7"/>
  <c r="BU143" i="7"/>
  <c r="BU167" i="7"/>
  <c r="BJ9" i="7"/>
  <c r="AC149" i="7"/>
  <c r="R150" i="7"/>
  <c r="R142" i="7"/>
  <c r="R134" i="7"/>
  <c r="R125" i="7"/>
  <c r="R105" i="7"/>
  <c r="R96" i="7"/>
  <c r="R87" i="7"/>
  <c r="R79" i="7"/>
  <c r="R62" i="7"/>
  <c r="R54" i="7"/>
  <c r="AC167" i="7"/>
  <c r="AC159" i="7"/>
  <c r="AC151" i="7"/>
  <c r="AC143" i="7"/>
  <c r="AC135" i="7"/>
  <c r="AC127" i="7"/>
  <c r="AC117" i="7"/>
  <c r="AC107" i="7"/>
  <c r="AC47" i="7"/>
  <c r="AC14" i="7"/>
  <c r="AN23" i="7"/>
  <c r="AN15" i="7"/>
  <c r="AC133" i="7"/>
  <c r="AC61" i="7"/>
  <c r="BU119" i="7"/>
  <c r="BU34" i="7"/>
  <c r="AY165" i="7"/>
  <c r="AY149" i="7"/>
  <c r="AY141" i="7"/>
  <c r="AY133" i="7"/>
  <c r="AY124" i="7"/>
  <c r="AY115" i="7"/>
  <c r="BJ38" i="7"/>
  <c r="BJ29" i="7"/>
  <c r="BJ21" i="7"/>
  <c r="BJ13" i="7"/>
  <c r="AY163" i="7"/>
  <c r="AY147" i="7"/>
  <c r="AY139" i="7"/>
  <c r="AY131" i="7"/>
  <c r="AY121" i="7"/>
  <c r="BJ27" i="7"/>
  <c r="BJ11" i="7"/>
  <c r="BU48" i="7"/>
  <c r="BJ96" i="7"/>
  <c r="BJ87" i="7"/>
  <c r="BJ79" i="7"/>
  <c r="BJ46" i="7"/>
  <c r="AN38" i="7"/>
  <c r="AN71" i="7"/>
  <c r="AC165" i="7"/>
  <c r="AN13" i="7"/>
  <c r="AN36" i="7"/>
  <c r="AC60" i="7"/>
  <c r="BU83" i="7"/>
  <c r="BU52" i="7"/>
  <c r="R145" i="7"/>
  <c r="BU35" i="7"/>
  <c r="BU19" i="7"/>
  <c r="BU9" i="7"/>
  <c r="BJ33" i="7"/>
  <c r="BJ165" i="7"/>
  <c r="BJ157" i="7"/>
  <c r="BJ141" i="7"/>
  <c r="BJ133" i="7"/>
  <c r="BJ115" i="7"/>
  <c r="BJ104" i="7"/>
  <c r="AN62" i="7"/>
  <c r="AN79" i="7"/>
  <c r="BU18" i="7"/>
  <c r="AC157" i="7"/>
  <c r="AC141" i="7"/>
  <c r="AN21" i="7"/>
  <c r="G109" i="7"/>
  <c r="G99" i="7"/>
  <c r="G89" i="7"/>
  <c r="G81" i="7"/>
  <c r="G73" i="7"/>
  <c r="G31" i="7"/>
  <c r="G23" i="7"/>
  <c r="G15" i="7"/>
  <c r="BU29" i="7"/>
  <c r="BU13" i="7"/>
  <c r="BJ8" i="7"/>
  <c r="BJ93" i="7"/>
  <c r="BJ85" i="7"/>
  <c r="BJ44" i="7"/>
  <c r="BJ35" i="7"/>
  <c r="R153" i="7"/>
  <c r="R129" i="7"/>
  <c r="R119" i="7"/>
  <c r="R65" i="7"/>
  <c r="R161" i="7"/>
  <c r="R137" i="7"/>
  <c r="R110" i="7"/>
  <c r="R90" i="7"/>
  <c r="R82" i="7"/>
  <c r="R74" i="7"/>
  <c r="R57" i="7"/>
  <c r="R49" i="7"/>
  <c r="R41" i="7"/>
  <c r="AC91" i="7"/>
  <c r="AC83" i="7"/>
  <c r="AC75" i="7"/>
  <c r="AC33" i="7"/>
  <c r="AC25" i="7"/>
  <c r="AC9" i="7"/>
  <c r="AN163" i="7"/>
  <c r="AN155" i="7"/>
  <c r="AN147" i="7"/>
  <c r="AN139" i="7"/>
  <c r="AN131" i="7"/>
  <c r="AN121" i="7"/>
  <c r="AN112" i="7"/>
  <c r="AN102" i="7"/>
  <c r="AN59" i="7"/>
  <c r="AY93" i="7"/>
  <c r="AY77" i="7"/>
  <c r="AY68" i="7"/>
  <c r="AY60" i="7"/>
  <c r="AY44" i="7"/>
  <c r="AY35" i="7"/>
  <c r="AY27" i="7"/>
  <c r="AY11" i="7"/>
  <c r="AY167" i="7"/>
  <c r="AY159" i="7"/>
  <c r="AY151" i="7"/>
  <c r="AY143" i="7"/>
  <c r="AY135" i="7"/>
  <c r="AY127" i="7"/>
  <c r="AY117" i="7"/>
  <c r="AY107" i="7"/>
  <c r="AY8" i="7"/>
  <c r="G163" i="7"/>
  <c r="G147" i="7"/>
  <c r="G121" i="7"/>
  <c r="G67" i="7"/>
  <c r="G51" i="7"/>
  <c r="R123" i="7"/>
  <c r="R113" i="7"/>
  <c r="R68" i="7"/>
  <c r="R35" i="7"/>
  <c r="R27" i="7"/>
  <c r="R19" i="7"/>
  <c r="R11" i="7"/>
  <c r="G155" i="7"/>
  <c r="G139" i="7"/>
  <c r="G131" i="7"/>
  <c r="G59" i="7"/>
  <c r="G43" i="7"/>
  <c r="R132" i="7"/>
  <c r="R103" i="7"/>
  <c r="R93" i="7"/>
  <c r="R85" i="7"/>
  <c r="R77" i="7"/>
  <c r="R44" i="7"/>
  <c r="BJ83" i="7"/>
  <c r="AN89" i="7"/>
  <c r="AN81" i="7"/>
  <c r="AN73" i="7"/>
  <c r="AY161" i="7"/>
  <c r="AY153" i="7"/>
  <c r="AY145" i="7"/>
  <c r="AY137" i="7"/>
  <c r="AY129" i="7"/>
  <c r="AY119" i="7"/>
  <c r="AY110" i="7"/>
  <c r="AY100" i="7"/>
  <c r="AC150" i="7"/>
  <c r="R155" i="7"/>
  <c r="R147" i="7"/>
  <c r="R139" i="7"/>
  <c r="R131" i="7"/>
  <c r="R112" i="7"/>
  <c r="R67" i="7"/>
  <c r="R59" i="7"/>
  <c r="R51" i="7"/>
  <c r="R43" i="7"/>
  <c r="BJ161" i="7"/>
  <c r="BJ145" i="7"/>
  <c r="BJ137" i="7"/>
  <c r="BJ129" i="7"/>
  <c r="BJ119" i="7"/>
  <c r="R165" i="7"/>
  <c r="R157" i="7"/>
  <c r="R149" i="7"/>
  <c r="R141" i="7"/>
  <c r="R133" i="7"/>
  <c r="R115" i="7"/>
  <c r="R61" i="7"/>
  <c r="R53" i="7"/>
  <c r="R45" i="7"/>
  <c r="R36" i="7"/>
  <c r="R28" i="7"/>
  <c r="R20" i="7"/>
  <c r="R12" i="7"/>
  <c r="G123" i="7"/>
  <c r="G113" i="7"/>
  <c r="G103" i="7"/>
  <c r="G93" i="7"/>
  <c r="G85" i="7"/>
  <c r="G77" i="7"/>
  <c r="G35" i="7"/>
  <c r="G27" i="7"/>
  <c r="G19" i="7"/>
  <c r="G11" i="7"/>
  <c r="AC87" i="7"/>
  <c r="AC71" i="7"/>
  <c r="AC46" i="7"/>
  <c r="AC38" i="7"/>
  <c r="AC29" i="7"/>
  <c r="AC21" i="7"/>
  <c r="AC13" i="7"/>
  <c r="AN167" i="7"/>
  <c r="AN159" i="7"/>
  <c r="AN151" i="7"/>
  <c r="AN143" i="7"/>
  <c r="AN135" i="7"/>
  <c r="AN127" i="7"/>
  <c r="AN117" i="7"/>
  <c r="AC93" i="7"/>
  <c r="AC85" i="7"/>
  <c r="AC77" i="7"/>
  <c r="AC68" i="7"/>
  <c r="AC52" i="7"/>
  <c r="AC44" i="7"/>
  <c r="AC35" i="7"/>
  <c r="AC27" i="7"/>
  <c r="AC19" i="7"/>
  <c r="AC11" i="7"/>
  <c r="AN165" i="7"/>
  <c r="AN157" i="7"/>
  <c r="AN149" i="7"/>
  <c r="AN141" i="7"/>
  <c r="AN133" i="7"/>
  <c r="AN124" i="7"/>
  <c r="AN115" i="7"/>
  <c r="BJ89" i="7"/>
  <c r="BJ81" i="7"/>
  <c r="BJ64" i="7"/>
  <c r="BJ56" i="7"/>
  <c r="BJ48" i="7"/>
  <c r="BJ40" i="7"/>
  <c r="BJ31" i="7"/>
  <c r="BJ23" i="7"/>
  <c r="AC8" i="7"/>
  <c r="AY87" i="7"/>
  <c r="AY79" i="7"/>
  <c r="AY71" i="7"/>
  <c r="AY46" i="7"/>
  <c r="AY38" i="7"/>
  <c r="AY29" i="7"/>
  <c r="AY13" i="7"/>
  <c r="BU165" i="7"/>
  <c r="BU161" i="7"/>
  <c r="BU157" i="7"/>
  <c r="BU153" i="7"/>
  <c r="BU149" i="7"/>
  <c r="BU145" i="7"/>
  <c r="BU141" i="7"/>
  <c r="BU123" i="7"/>
  <c r="BU117" i="7"/>
  <c r="BU64" i="7"/>
  <c r="BU60" i="7"/>
  <c r="BU56" i="7"/>
  <c r="BU44" i="7"/>
  <c r="BJ167" i="7"/>
  <c r="BJ163" i="7"/>
  <c r="BJ159" i="7"/>
  <c r="BJ155" i="7"/>
  <c r="BJ143" i="7"/>
  <c r="BJ139" i="7"/>
  <c r="BJ135" i="7"/>
  <c r="BJ131" i="7"/>
  <c r="BJ127" i="7"/>
  <c r="BJ121" i="7"/>
  <c r="BJ117" i="7"/>
  <c r="BJ107" i="7"/>
  <c r="BJ102" i="7"/>
  <c r="G111" i="7"/>
  <c r="G101" i="7"/>
  <c r="G91" i="7"/>
  <c r="G83" i="7"/>
  <c r="G75" i="7"/>
  <c r="G33" i="7"/>
  <c r="G25" i="7"/>
  <c r="G17" i="7"/>
  <c r="G9" i="7"/>
  <c r="BU163" i="7"/>
  <c r="BU155" i="7"/>
  <c r="BU147" i="7"/>
  <c r="BU139" i="7"/>
  <c r="BU128" i="7"/>
  <c r="BU115" i="7"/>
  <c r="BU90" i="7"/>
  <c r="BU74" i="7"/>
  <c r="BU39" i="7"/>
  <c r="BU166" i="7"/>
  <c r="BU85" i="7"/>
  <c r="BU67" i="7"/>
  <c r="BU65" i="7"/>
  <c r="BU51" i="7"/>
  <c r="BU49" i="7"/>
  <c r="BU27" i="7"/>
  <c r="BU21" i="7"/>
  <c r="BU11" i="7"/>
  <c r="BJ146" i="7"/>
  <c r="BJ67" i="7"/>
  <c r="BJ65" i="7"/>
  <c r="BJ45" i="7"/>
  <c r="BJ14" i="7"/>
  <c r="AY154" i="7"/>
  <c r="AY125" i="7"/>
  <c r="AY82" i="7"/>
  <c r="AY51" i="7"/>
  <c r="AY49" i="7"/>
  <c r="AY18" i="7"/>
  <c r="AN109" i="7"/>
  <c r="AN101" i="7"/>
  <c r="AN57" i="7"/>
  <c r="AC118" i="7"/>
  <c r="AC97" i="7"/>
  <c r="AF97" i="7" s="1"/>
  <c r="AI97" i="7" s="1"/>
  <c r="AC63" i="7"/>
  <c r="AC34" i="7"/>
  <c r="BU137" i="7"/>
  <c r="BU135" i="7"/>
  <c r="BU82" i="7"/>
  <c r="BU68" i="7"/>
  <c r="BJ153" i="7"/>
  <c r="BJ151" i="7"/>
  <c r="BJ149" i="7"/>
  <c r="BJ147" i="7"/>
  <c r="BJ77" i="7"/>
  <c r="BJ75" i="7"/>
  <c r="BJ73" i="7"/>
  <c r="BJ71" i="7"/>
  <c r="BJ19" i="7"/>
  <c r="BJ17" i="7"/>
  <c r="BJ15" i="7"/>
  <c r="AY157" i="7"/>
  <c r="AY155" i="7"/>
  <c r="AY85" i="7"/>
  <c r="AY83" i="7"/>
  <c r="AY52" i="7"/>
  <c r="AY21" i="7"/>
  <c r="AY19" i="7"/>
  <c r="AN107" i="7"/>
  <c r="AN100" i="7"/>
  <c r="AN93" i="7"/>
  <c r="AN35" i="7"/>
  <c r="AN33" i="7"/>
  <c r="AN31" i="7"/>
  <c r="AN29" i="7"/>
  <c r="AC131" i="7"/>
  <c r="AC129" i="7"/>
  <c r="AC115" i="7"/>
  <c r="AC81" i="7"/>
  <c r="AC31" i="7"/>
  <c r="AC17" i="7"/>
  <c r="R163" i="7"/>
  <c r="R121" i="7"/>
  <c r="R71" i="7"/>
  <c r="R46" i="7"/>
  <c r="R25" i="7"/>
  <c r="BU8" i="7"/>
  <c r="AC166" i="7"/>
  <c r="AC162" i="7"/>
  <c r="AC158" i="7"/>
  <c r="AC154" i="7"/>
  <c r="AC146" i="7"/>
  <c r="AC142" i="7"/>
  <c r="AC138" i="7"/>
  <c r="AC132" i="7"/>
  <c r="AC125" i="7"/>
  <c r="AC123" i="7"/>
  <c r="AC113" i="7"/>
  <c r="AC111" i="7"/>
  <c r="AC109" i="7"/>
  <c r="AC105" i="7"/>
  <c r="AC103" i="7"/>
  <c r="AC101" i="7"/>
  <c r="AC99" i="7"/>
  <c r="AC94" i="7"/>
  <c r="AC90" i="7"/>
  <c r="AC86" i="7"/>
  <c r="AC78" i="7"/>
  <c r="AC74" i="7"/>
  <c r="AC67" i="7"/>
  <c r="AC65" i="7"/>
  <c r="AC59" i="7"/>
  <c r="AC57" i="7"/>
  <c r="AC55" i="7"/>
  <c r="AC53" i="7"/>
  <c r="AC51" i="7"/>
  <c r="AC49" i="7"/>
  <c r="AC45" i="7"/>
  <c r="AC43" i="7"/>
  <c r="AC41" i="7"/>
  <c r="AC39" i="7"/>
  <c r="AC30" i="7"/>
  <c r="AC26" i="7"/>
  <c r="AC22" i="7"/>
  <c r="G8" i="7"/>
  <c r="AN28" i="7"/>
  <c r="AN22" i="7"/>
  <c r="AN20" i="7"/>
  <c r="AN14" i="7"/>
  <c r="AN12" i="7"/>
  <c r="R8" i="7"/>
  <c r="AN168" i="7"/>
  <c r="AN166" i="7"/>
  <c r="AN160" i="7"/>
  <c r="AN158" i="7"/>
  <c r="AN152" i="7"/>
  <c r="AN150" i="7"/>
  <c r="AN144" i="7"/>
  <c r="AN142" i="7"/>
  <c r="AN136" i="7"/>
  <c r="AN130" i="7"/>
  <c r="AN128" i="7"/>
  <c r="AN125" i="7"/>
  <c r="AN123" i="7"/>
  <c r="AN120" i="7"/>
  <c r="AN118" i="7"/>
  <c r="AN113" i="7"/>
  <c r="AN111" i="7"/>
  <c r="AN105" i="7"/>
  <c r="AN103" i="7"/>
  <c r="AN99" i="7"/>
  <c r="AN97" i="7"/>
  <c r="AN94" i="7"/>
  <c r="AN92" i="7"/>
  <c r="AN86" i="7"/>
  <c r="AN84" i="7"/>
  <c r="AN78" i="7"/>
  <c r="AN76" i="7"/>
  <c r="AN70" i="7"/>
  <c r="AN67" i="7"/>
  <c r="AN65" i="7"/>
  <c r="AN63" i="7"/>
  <c r="AN61" i="7"/>
  <c r="AN55" i="7"/>
  <c r="AN53" i="7"/>
  <c r="AN51" i="7"/>
  <c r="AN49" i="7"/>
  <c r="AN47" i="7"/>
  <c r="AN45" i="7"/>
  <c r="AN43" i="7"/>
  <c r="AN41" i="7"/>
  <c r="AN39" i="7"/>
  <c r="AN30" i="7"/>
  <c r="AY166" i="7"/>
  <c r="AY162" i="7"/>
  <c r="AY158" i="7"/>
  <c r="AY150" i="7"/>
  <c r="AY146" i="7"/>
  <c r="AY142" i="7"/>
  <c r="AY138" i="7"/>
  <c r="AY132" i="7"/>
  <c r="AY128" i="7"/>
  <c r="AY123" i="7"/>
  <c r="AY118" i="7"/>
  <c r="AY113" i="7"/>
  <c r="AY111" i="7"/>
  <c r="AY109" i="7"/>
  <c r="AY105" i="7"/>
  <c r="AY103" i="7"/>
  <c r="AY101" i="7"/>
  <c r="AY99" i="7"/>
  <c r="AY97" i="7"/>
  <c r="AY94" i="7"/>
  <c r="AY90" i="7"/>
  <c r="AY86" i="7"/>
  <c r="AY78" i="7"/>
  <c r="AY74" i="7"/>
  <c r="AY67" i="7"/>
  <c r="AY65" i="7"/>
  <c r="AY63" i="7"/>
  <c r="AY61" i="7"/>
  <c r="AY59" i="7"/>
  <c r="AY57" i="7"/>
  <c r="AY55" i="7"/>
  <c r="AY53" i="7"/>
  <c r="AY47" i="7"/>
  <c r="AY45" i="7"/>
  <c r="AY43" i="7"/>
  <c r="AY41" i="7"/>
  <c r="AY39" i="7"/>
  <c r="AY34" i="7"/>
  <c r="AY30" i="7"/>
  <c r="AY26" i="7"/>
  <c r="AY22" i="7"/>
  <c r="AY14" i="7"/>
  <c r="BJ164" i="7"/>
  <c r="BJ162" i="7"/>
  <c r="BJ156" i="7"/>
  <c r="BJ154" i="7"/>
  <c r="BJ148" i="7"/>
  <c r="BJ140" i="7"/>
  <c r="BJ138" i="7"/>
  <c r="BJ134" i="7"/>
  <c r="BJ132" i="7"/>
  <c r="BJ125" i="7"/>
  <c r="BJ123" i="7"/>
  <c r="BJ116" i="7"/>
  <c r="BJ113" i="7"/>
  <c r="BJ111" i="7"/>
  <c r="BJ109" i="7"/>
  <c r="BJ105" i="7"/>
  <c r="BJ103" i="7"/>
  <c r="BJ101" i="7"/>
  <c r="BJ99" i="7"/>
  <c r="BJ97" i="7"/>
  <c r="BJ94" i="7"/>
  <c r="BJ88" i="7"/>
  <c r="BJ86" i="7"/>
  <c r="BJ80" i="7"/>
  <c r="BJ78" i="7"/>
  <c r="BJ72" i="7"/>
  <c r="BJ63" i="7"/>
  <c r="BJ61" i="7"/>
  <c r="BJ59" i="7"/>
  <c r="BJ57" i="7"/>
  <c r="BJ55" i="7"/>
  <c r="BJ53" i="7"/>
  <c r="BJ51" i="7"/>
  <c r="BJ49" i="7"/>
  <c r="BJ47" i="7"/>
  <c r="BJ43" i="7"/>
  <c r="BJ41" i="7"/>
  <c r="BJ39" i="7"/>
  <c r="BJ32" i="7"/>
  <c r="BJ30" i="7"/>
  <c r="BJ24" i="7"/>
  <c r="BJ22" i="7"/>
  <c r="BJ16" i="7"/>
  <c r="BJ10" i="7"/>
  <c r="BU162" i="7"/>
  <c r="BU158" i="7"/>
  <c r="BU154" i="7"/>
  <c r="BU150" i="7"/>
  <c r="BU146" i="7"/>
  <c r="BU142" i="7"/>
  <c r="BU138" i="7"/>
  <c r="BU131" i="7"/>
  <c r="BU129" i="7"/>
  <c r="BU124" i="7"/>
  <c r="BU118" i="7"/>
  <c r="BU109" i="7"/>
  <c r="BU103" i="7"/>
  <c r="BU93" i="7"/>
  <c r="BU91" i="7"/>
  <c r="BU89" i="7"/>
  <c r="BU87" i="7"/>
  <c r="BU81" i="7"/>
  <c r="BU79" i="7"/>
  <c r="BU77" i="7"/>
  <c r="BU75" i="7"/>
  <c r="BU63" i="7"/>
  <c r="BU61" i="7"/>
  <c r="BU59" i="7"/>
  <c r="BU57" i="7"/>
  <c r="BU53" i="7"/>
  <c r="BU47" i="7"/>
  <c r="BU33" i="7"/>
  <c r="BU31" i="7"/>
  <c r="BU25" i="7"/>
  <c r="BU23" i="7"/>
  <c r="BU17" i="7"/>
  <c r="BU15" i="7"/>
  <c r="BU36" i="7"/>
  <c r="BU32" i="7"/>
  <c r="BU28" i="7"/>
  <c r="BU24" i="7"/>
  <c r="BU20" i="7"/>
  <c r="BU16" i="7"/>
  <c r="BU12" i="7"/>
  <c r="BU168" i="7"/>
  <c r="BU164" i="7"/>
  <c r="BU160" i="7"/>
  <c r="BU156" i="7"/>
  <c r="BU152" i="7"/>
  <c r="BU148" i="7"/>
  <c r="BU144" i="7"/>
  <c r="BU140" i="7"/>
  <c r="BU136" i="7"/>
  <c r="BU130" i="7"/>
  <c r="BU120" i="7"/>
  <c r="BU116" i="7"/>
  <c r="BU104" i="7"/>
  <c r="BU92" i="7"/>
  <c r="BU88" i="7"/>
  <c r="BU84" i="7"/>
  <c r="BU80" i="7"/>
  <c r="BU76" i="7"/>
  <c r="BU70" i="7"/>
  <c r="BU66" i="7"/>
  <c r="BU62" i="7"/>
  <c r="BU58" i="7"/>
  <c r="BU50" i="7"/>
  <c r="BU40" i="7"/>
  <c r="BJ168" i="7"/>
  <c r="BJ166" i="7"/>
  <c r="BJ160" i="7"/>
  <c r="BJ158" i="7"/>
  <c r="BJ152" i="7"/>
  <c r="BJ150" i="7"/>
  <c r="BJ144" i="7"/>
  <c r="BJ142" i="7"/>
  <c r="BJ136" i="7"/>
  <c r="BJ130" i="7"/>
  <c r="BJ128" i="7"/>
  <c r="BJ124" i="7"/>
  <c r="BJ120" i="7"/>
  <c r="BJ118" i="7"/>
  <c r="BJ112" i="7"/>
  <c r="BJ110" i="7"/>
  <c r="BJ100" i="7"/>
  <c r="BJ92" i="7"/>
  <c r="BJ90" i="7"/>
  <c r="BJ84" i="7"/>
  <c r="BJ82" i="7"/>
  <c r="BJ76" i="7"/>
  <c r="BJ74" i="7"/>
  <c r="BJ70" i="7"/>
  <c r="BJ68" i="7"/>
  <c r="BJ62" i="7"/>
  <c r="BJ60" i="7"/>
  <c r="BJ54" i="7"/>
  <c r="BJ52" i="7"/>
  <c r="BJ42" i="7"/>
  <c r="BJ36" i="7"/>
  <c r="BJ34" i="7"/>
  <c r="BJ28" i="7"/>
  <c r="BJ26" i="7"/>
  <c r="BJ20" i="7"/>
  <c r="BJ18" i="7"/>
  <c r="BJ12" i="7"/>
  <c r="AY168" i="7"/>
  <c r="AY164" i="7"/>
  <c r="AY160" i="7"/>
  <c r="AY156" i="7"/>
  <c r="AY152" i="7"/>
  <c r="AY148" i="7"/>
  <c r="AY144" i="7"/>
  <c r="AY140" i="7"/>
  <c r="AY136" i="7"/>
  <c r="AY134" i="7"/>
  <c r="AY130" i="7"/>
  <c r="AY120" i="7"/>
  <c r="AY116" i="7"/>
  <c r="AY112" i="7"/>
  <c r="AY104" i="7"/>
  <c r="AY102" i="7"/>
  <c r="AY96" i="7"/>
  <c r="AY92" i="7"/>
  <c r="AY88" i="7"/>
  <c r="AY84" i="7"/>
  <c r="AY80" i="7"/>
  <c r="AY76" i="7"/>
  <c r="AY72" i="7"/>
  <c r="AY70" i="7"/>
  <c r="AY66" i="7"/>
  <c r="AY62" i="7"/>
  <c r="AY58" i="7"/>
  <c r="AY54" i="7"/>
  <c r="AY50" i="7"/>
  <c r="AY42" i="7"/>
  <c r="AY40" i="7"/>
  <c r="AY36" i="7"/>
  <c r="AY32" i="7"/>
  <c r="AY28" i="7"/>
  <c r="AY24" i="7"/>
  <c r="AY20" i="7"/>
  <c r="AY16" i="7"/>
  <c r="AY12" i="7"/>
  <c r="AY10" i="7"/>
  <c r="AN164" i="7"/>
  <c r="AN162" i="7"/>
  <c r="AN156" i="7"/>
  <c r="AN154" i="7"/>
  <c r="AN148" i="7"/>
  <c r="AN146" i="7"/>
  <c r="AN140" i="7"/>
  <c r="AN138" i="7"/>
  <c r="AN134" i="7"/>
  <c r="AN132" i="7"/>
  <c r="AN116" i="7"/>
  <c r="AN104" i="7"/>
  <c r="AN96" i="7"/>
  <c r="AN90" i="7"/>
  <c r="AN88" i="7"/>
  <c r="AN82" i="7"/>
  <c r="AN80" i="7"/>
  <c r="AN74" i="7"/>
  <c r="AN72" i="7"/>
  <c r="AN66" i="7"/>
  <c r="AN64" i="7"/>
  <c r="AN58" i="7"/>
  <c r="AN56" i="7"/>
  <c r="BU38" i="7"/>
  <c r="BU30" i="7"/>
  <c r="BU22" i="7"/>
  <c r="BU14" i="7"/>
  <c r="AN50" i="7"/>
  <c r="AN48" i="7"/>
  <c r="AN42" i="7"/>
  <c r="AN40" i="7"/>
  <c r="AN34" i="7"/>
  <c r="AN32" i="7"/>
  <c r="AN26" i="7"/>
  <c r="AN24" i="7"/>
  <c r="AN18" i="7"/>
  <c r="AN16" i="7"/>
  <c r="AN10" i="7"/>
  <c r="AC168" i="7"/>
  <c r="AC164" i="7"/>
  <c r="AC160" i="7"/>
  <c r="AC156" i="7"/>
  <c r="AC152" i="7"/>
  <c r="AC148" i="7"/>
  <c r="AC144" i="7"/>
  <c r="AC140" i="7"/>
  <c r="AC136" i="7"/>
  <c r="AC134" i="7"/>
  <c r="AC130" i="7"/>
  <c r="AC120" i="7"/>
  <c r="AC116" i="7"/>
  <c r="AC112" i="7"/>
  <c r="AC104" i="7"/>
  <c r="AC100" i="7"/>
  <c r="AC96" i="7"/>
  <c r="AC92" i="7"/>
  <c r="AC88" i="7"/>
  <c r="AC84" i="7"/>
  <c r="AC80" i="7"/>
  <c r="AC76" i="7"/>
  <c r="AC72" i="7"/>
  <c r="AC70" i="7"/>
  <c r="AC66" i="7"/>
  <c r="AC62" i="7"/>
  <c r="AC58" i="7"/>
  <c r="AC54" i="7"/>
  <c r="AC50" i="7"/>
  <c r="AC42" i="7"/>
  <c r="AC40" i="7"/>
  <c r="AC36" i="7"/>
  <c r="AC32" i="7"/>
  <c r="AC28" i="7"/>
  <c r="AC24" i="7"/>
  <c r="AC20" i="7"/>
  <c r="AC16" i="7"/>
  <c r="AC12" i="7"/>
  <c r="AC10" i="7"/>
  <c r="R166" i="7"/>
  <c r="R164" i="7"/>
  <c r="R158" i="7"/>
  <c r="R156" i="7"/>
  <c r="R154" i="7"/>
  <c r="R148" i="7"/>
  <c r="R146" i="7"/>
  <c r="R140" i="7"/>
  <c r="R138" i="7"/>
  <c r="R130" i="7"/>
  <c r="R128" i="7"/>
  <c r="R124" i="7"/>
  <c r="R116" i="7"/>
  <c r="R104" i="7"/>
  <c r="R102" i="7"/>
  <c r="R100" i="7"/>
  <c r="R94" i="7"/>
  <c r="R92" i="7"/>
  <c r="R86" i="7"/>
  <c r="R84" i="7"/>
  <c r="R78" i="7"/>
  <c r="R76" i="7"/>
  <c r="R70" i="7"/>
  <c r="R66" i="7"/>
  <c r="R60" i="7"/>
  <c r="R58" i="7"/>
  <c r="R52" i="7"/>
  <c r="R50" i="7"/>
  <c r="R40" i="7"/>
  <c r="R34" i="7"/>
  <c r="R32" i="7"/>
  <c r="R26" i="7"/>
  <c r="R24" i="7"/>
  <c r="R18" i="7"/>
  <c r="R16" i="7"/>
  <c r="R10" i="7"/>
  <c r="AN8" i="7"/>
  <c r="G168" i="7"/>
  <c r="G166" i="7"/>
  <c r="G164" i="7"/>
  <c r="G162" i="7"/>
  <c r="G160" i="7"/>
  <c r="G158" i="7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4" i="7"/>
  <c r="G120" i="7"/>
  <c r="G118" i="7"/>
  <c r="G116" i="7"/>
  <c r="G112" i="7"/>
  <c r="G110" i="7"/>
  <c r="G104" i="7"/>
  <c r="G102" i="7"/>
  <c r="G100" i="7"/>
  <c r="G96" i="7"/>
  <c r="G94" i="7"/>
  <c r="G92" i="7"/>
  <c r="G90" i="7"/>
  <c r="G88" i="7"/>
  <c r="G86" i="7"/>
  <c r="G84" i="7"/>
  <c r="G82" i="7"/>
  <c r="G80" i="7"/>
  <c r="G78" i="7"/>
  <c r="G76" i="7"/>
  <c r="G74" i="7"/>
  <c r="G72" i="7"/>
  <c r="G70" i="7"/>
  <c r="G68" i="7"/>
  <c r="G66" i="7"/>
  <c r="G64" i="7"/>
  <c r="G62" i="7"/>
  <c r="G60" i="7"/>
  <c r="G58" i="7"/>
  <c r="G56" i="7"/>
  <c r="G54" i="7"/>
  <c r="G52" i="7"/>
  <c r="G50" i="7"/>
  <c r="G48" i="7"/>
  <c r="G46" i="7"/>
  <c r="G44" i="7"/>
  <c r="G42" i="7"/>
  <c r="G40" i="7"/>
  <c r="G38" i="7"/>
  <c r="G36" i="7"/>
  <c r="G34" i="7"/>
  <c r="G32" i="7"/>
  <c r="G30" i="7"/>
  <c r="G28" i="7"/>
  <c r="G26" i="7"/>
  <c r="G24" i="7"/>
  <c r="G22" i="7"/>
  <c r="G20" i="7"/>
  <c r="G18" i="7"/>
  <c r="G16" i="7"/>
  <c r="G14" i="7"/>
  <c r="G12" i="7"/>
  <c r="G10" i="7"/>
  <c r="BD16" i="2"/>
  <c r="BD18" i="2"/>
  <c r="BD21" i="2"/>
  <c r="BD28" i="2"/>
  <c r="BD31" i="2"/>
  <c r="BD32" i="2"/>
  <c r="BD33" i="2"/>
  <c r="BD34" i="2"/>
  <c r="BD35" i="2"/>
  <c r="BD36" i="2"/>
  <c r="BD37" i="2"/>
  <c r="BD39" i="2"/>
  <c r="BD40" i="2"/>
  <c r="BD41" i="2"/>
  <c r="BD43" i="2"/>
  <c r="BD44" i="2"/>
  <c r="BD45" i="2"/>
  <c r="BD46" i="2"/>
  <c r="BD47" i="2"/>
  <c r="BD48" i="2"/>
  <c r="BD50" i="2"/>
  <c r="BD51" i="2"/>
  <c r="BD52" i="2"/>
  <c r="BD53" i="2"/>
  <c r="BD54" i="2"/>
  <c r="BD55" i="2"/>
  <c r="BD56" i="2"/>
  <c r="BD57" i="2"/>
  <c r="BD58" i="2"/>
  <c r="BD59" i="2"/>
  <c r="BD60" i="2"/>
  <c r="BD61" i="2"/>
  <c r="BD62" i="2"/>
  <c r="BD63" i="2"/>
  <c r="BD64" i="2"/>
  <c r="BD65" i="2"/>
  <c r="BD66" i="2"/>
  <c r="BD67" i="2"/>
  <c r="BD68" i="2"/>
  <c r="BD69" i="2"/>
  <c r="BD70" i="2"/>
  <c r="BD71" i="2"/>
  <c r="BD72" i="2"/>
  <c r="BD73" i="2"/>
  <c r="BD74" i="2"/>
  <c r="BD75" i="2"/>
  <c r="BD77" i="2"/>
  <c r="BD78" i="2"/>
  <c r="BD79" i="2"/>
  <c r="BD80" i="2"/>
  <c r="BD81" i="2"/>
  <c r="BD82" i="2"/>
  <c r="BD83" i="2"/>
  <c r="BD84" i="2"/>
  <c r="BD85" i="2"/>
  <c r="BD86" i="2"/>
  <c r="BD87" i="2"/>
  <c r="BD88" i="2"/>
  <c r="BD89" i="2"/>
  <c r="BD90" i="2"/>
  <c r="BD91" i="2"/>
  <c r="BD92" i="2"/>
  <c r="BD93" i="2"/>
  <c r="BD94" i="2"/>
  <c r="BD95" i="2"/>
  <c r="BD96" i="2"/>
  <c r="BD97" i="2"/>
  <c r="BD98" i="2"/>
  <c r="BD99" i="2"/>
  <c r="BD100" i="2"/>
  <c r="BD101" i="2"/>
  <c r="BD102" i="2"/>
  <c r="BD103" i="2"/>
  <c r="BD104" i="2"/>
  <c r="BD105" i="2"/>
  <c r="BD106" i="2"/>
  <c r="BD107" i="2"/>
  <c r="BD108" i="2"/>
  <c r="BD109" i="2"/>
  <c r="BD110" i="2"/>
  <c r="BD111" i="2"/>
  <c r="BD112" i="2"/>
  <c r="BD113" i="2"/>
  <c r="BD114" i="2"/>
  <c r="BD115" i="2"/>
  <c r="BD116" i="2"/>
  <c r="BD117" i="2"/>
  <c r="BD118" i="2"/>
  <c r="BD119" i="2"/>
  <c r="BD120" i="2"/>
  <c r="BD121" i="2"/>
  <c r="BD122" i="2"/>
  <c r="BD123" i="2"/>
  <c r="BD124" i="2"/>
  <c r="BD125" i="2"/>
  <c r="BD126" i="2"/>
  <c r="BD127" i="2"/>
  <c r="BD128" i="2"/>
  <c r="BD129" i="2"/>
  <c r="BD130" i="2"/>
  <c r="BD131" i="2"/>
  <c r="BD132" i="2"/>
  <c r="BD133" i="2"/>
  <c r="BD134" i="2"/>
  <c r="BD135" i="2"/>
  <c r="BB16" i="2"/>
  <c r="BB18" i="2"/>
  <c r="BB21" i="2"/>
  <c r="BB28" i="2"/>
  <c r="BB31" i="2"/>
  <c r="BB32" i="2"/>
  <c r="BB33" i="2"/>
  <c r="BB34" i="2"/>
  <c r="BB35" i="2"/>
  <c r="BB36" i="2"/>
  <c r="BB37" i="2"/>
  <c r="BB39" i="2"/>
  <c r="BB40" i="2"/>
  <c r="BB41" i="2"/>
  <c r="BB43" i="2"/>
  <c r="BB44" i="2"/>
  <c r="BB45" i="2"/>
  <c r="BB46" i="2"/>
  <c r="BB47" i="2"/>
  <c r="BB48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B62" i="2"/>
  <c r="BB63" i="2"/>
  <c r="BB64" i="2"/>
  <c r="BB65" i="2"/>
  <c r="BB66" i="2"/>
  <c r="BB67" i="2"/>
  <c r="BB68" i="2"/>
  <c r="BB69" i="2"/>
  <c r="BB70" i="2"/>
  <c r="BB71" i="2"/>
  <c r="BB72" i="2"/>
  <c r="BB73" i="2"/>
  <c r="BB74" i="2"/>
  <c r="BB75" i="2"/>
  <c r="BB77" i="2"/>
  <c r="BB78" i="2"/>
  <c r="BB79" i="2"/>
  <c r="BB80" i="2"/>
  <c r="BB81" i="2"/>
  <c r="BB82" i="2"/>
  <c r="BB83" i="2"/>
  <c r="BB84" i="2"/>
  <c r="BB85" i="2"/>
  <c r="BB86" i="2"/>
  <c r="BB87" i="2"/>
  <c r="BB88" i="2"/>
  <c r="BB89" i="2"/>
  <c r="BB90" i="2"/>
  <c r="BB91" i="2"/>
  <c r="BB92" i="2"/>
  <c r="BB93" i="2"/>
  <c r="BB94" i="2"/>
  <c r="BB95" i="2"/>
  <c r="BB96" i="2"/>
  <c r="BB97" i="2"/>
  <c r="BB98" i="2"/>
  <c r="BB99" i="2"/>
  <c r="BB100" i="2"/>
  <c r="BB101" i="2"/>
  <c r="BB102" i="2"/>
  <c r="BB103" i="2"/>
  <c r="BB104" i="2"/>
  <c r="BB105" i="2"/>
  <c r="BB106" i="2"/>
  <c r="BB107" i="2"/>
  <c r="BB108" i="2"/>
  <c r="BB109" i="2"/>
  <c r="BB110" i="2"/>
  <c r="BB111" i="2"/>
  <c r="BB112" i="2"/>
  <c r="BB113" i="2"/>
  <c r="BB114" i="2"/>
  <c r="BB115" i="2"/>
  <c r="BB116" i="2"/>
  <c r="BB117" i="2"/>
  <c r="BB118" i="2"/>
  <c r="BB119" i="2"/>
  <c r="BB120" i="2"/>
  <c r="BB121" i="2"/>
  <c r="BB122" i="2"/>
  <c r="BB123" i="2"/>
  <c r="BB124" i="2"/>
  <c r="BB125" i="2"/>
  <c r="BB126" i="2"/>
  <c r="BB127" i="2"/>
  <c r="BB128" i="2"/>
  <c r="BB129" i="2"/>
  <c r="BB130" i="2"/>
  <c r="BB131" i="2"/>
  <c r="BB132" i="2"/>
  <c r="BB133" i="2"/>
  <c r="BB134" i="2"/>
  <c r="BB135" i="2"/>
  <c r="AY16" i="2"/>
  <c r="AZ16" i="2"/>
  <c r="AY18" i="2"/>
  <c r="AZ18" i="2"/>
  <c r="AY21" i="2"/>
  <c r="AZ21" i="2"/>
  <c r="AY28" i="2"/>
  <c r="AZ28" i="2"/>
  <c r="AY31" i="2"/>
  <c r="AZ31" i="2"/>
  <c r="AY32" i="2"/>
  <c r="AZ32" i="2"/>
  <c r="AY33" i="2"/>
  <c r="AZ33" i="2"/>
  <c r="AY34" i="2"/>
  <c r="AZ34" i="2"/>
  <c r="AY35" i="2"/>
  <c r="AZ35" i="2"/>
  <c r="AY36" i="2"/>
  <c r="AZ36" i="2"/>
  <c r="AY37" i="2"/>
  <c r="AZ37" i="2"/>
  <c r="AY39" i="2"/>
  <c r="AZ39" i="2"/>
  <c r="AY40" i="2"/>
  <c r="AZ40" i="2"/>
  <c r="AY41" i="2"/>
  <c r="AZ41" i="2"/>
  <c r="AY43" i="2"/>
  <c r="AZ43" i="2"/>
  <c r="AY44" i="2"/>
  <c r="AZ44" i="2"/>
  <c r="AY45" i="2"/>
  <c r="AZ45" i="2"/>
  <c r="AY46" i="2"/>
  <c r="AZ46" i="2"/>
  <c r="AY47" i="2"/>
  <c r="AZ47" i="2"/>
  <c r="AY48" i="2"/>
  <c r="AZ48" i="2"/>
  <c r="AY50" i="2"/>
  <c r="AZ50" i="2"/>
  <c r="AY51" i="2"/>
  <c r="AZ51" i="2"/>
  <c r="AY52" i="2"/>
  <c r="AZ52" i="2"/>
  <c r="AY53" i="2"/>
  <c r="AZ53" i="2"/>
  <c r="AY54" i="2"/>
  <c r="AZ54" i="2"/>
  <c r="AY55" i="2"/>
  <c r="AZ55" i="2"/>
  <c r="AY56" i="2"/>
  <c r="AZ56" i="2"/>
  <c r="AY57" i="2"/>
  <c r="AZ57" i="2"/>
  <c r="AY58" i="2"/>
  <c r="AZ58" i="2"/>
  <c r="AY59" i="2"/>
  <c r="AZ59" i="2"/>
  <c r="AY60" i="2"/>
  <c r="AZ60" i="2"/>
  <c r="AY61" i="2"/>
  <c r="AZ61" i="2"/>
  <c r="AY62" i="2"/>
  <c r="AZ62" i="2"/>
  <c r="AY63" i="2"/>
  <c r="AZ63" i="2"/>
  <c r="AY64" i="2"/>
  <c r="AZ64" i="2"/>
  <c r="AY65" i="2"/>
  <c r="AZ65" i="2"/>
  <c r="AY66" i="2"/>
  <c r="AZ66" i="2"/>
  <c r="AY67" i="2"/>
  <c r="AZ67" i="2"/>
  <c r="AY68" i="2"/>
  <c r="AZ68" i="2"/>
  <c r="AY69" i="2"/>
  <c r="AZ69" i="2"/>
  <c r="AY70" i="2"/>
  <c r="AZ70" i="2"/>
  <c r="AY71" i="2"/>
  <c r="AZ71" i="2"/>
  <c r="AY72" i="2"/>
  <c r="AZ72" i="2"/>
  <c r="AY73" i="2"/>
  <c r="AZ73" i="2"/>
  <c r="AY74" i="2"/>
  <c r="AZ74" i="2"/>
  <c r="AY75" i="2"/>
  <c r="AZ75" i="2"/>
  <c r="AY77" i="2"/>
  <c r="AZ77" i="2"/>
  <c r="AY78" i="2"/>
  <c r="AZ78" i="2"/>
  <c r="AY79" i="2"/>
  <c r="AZ79" i="2"/>
  <c r="AY80" i="2"/>
  <c r="AZ80" i="2"/>
  <c r="AY81" i="2"/>
  <c r="AZ81" i="2"/>
  <c r="AY82" i="2"/>
  <c r="AZ82" i="2"/>
  <c r="AY83" i="2"/>
  <c r="AZ83" i="2"/>
  <c r="AY84" i="2"/>
  <c r="AZ84" i="2"/>
  <c r="AY85" i="2"/>
  <c r="AZ85" i="2"/>
  <c r="AY86" i="2"/>
  <c r="AZ86" i="2"/>
  <c r="AY87" i="2"/>
  <c r="AZ87" i="2"/>
  <c r="AY88" i="2"/>
  <c r="AZ88" i="2"/>
  <c r="AY89" i="2"/>
  <c r="AZ89" i="2"/>
  <c r="AY90" i="2"/>
  <c r="AZ90" i="2"/>
  <c r="AY91" i="2"/>
  <c r="AZ91" i="2"/>
  <c r="AY92" i="2"/>
  <c r="AZ92" i="2"/>
  <c r="AY93" i="2"/>
  <c r="AZ93" i="2"/>
  <c r="AY94" i="2"/>
  <c r="AZ94" i="2"/>
  <c r="AY95" i="2"/>
  <c r="AZ95" i="2"/>
  <c r="AY96" i="2"/>
  <c r="AZ96" i="2"/>
  <c r="AY97" i="2"/>
  <c r="AZ97" i="2"/>
  <c r="AY98" i="2"/>
  <c r="AZ98" i="2"/>
  <c r="AY99" i="2"/>
  <c r="AZ99" i="2"/>
  <c r="AY100" i="2"/>
  <c r="AZ100" i="2"/>
  <c r="AY101" i="2"/>
  <c r="AZ101" i="2"/>
  <c r="AY102" i="2"/>
  <c r="AZ102" i="2"/>
  <c r="AY103" i="2"/>
  <c r="AZ103" i="2"/>
  <c r="AY104" i="2"/>
  <c r="AZ104" i="2"/>
  <c r="AY105" i="2"/>
  <c r="AZ105" i="2"/>
  <c r="AY106" i="2"/>
  <c r="AZ106" i="2"/>
  <c r="AY107" i="2"/>
  <c r="AZ107" i="2"/>
  <c r="AY108" i="2"/>
  <c r="AZ108" i="2"/>
  <c r="AY109" i="2"/>
  <c r="AZ109" i="2"/>
  <c r="AY110" i="2"/>
  <c r="AZ110" i="2"/>
  <c r="AY111" i="2"/>
  <c r="AZ111" i="2"/>
  <c r="AY112" i="2"/>
  <c r="AZ112" i="2"/>
  <c r="AY113" i="2"/>
  <c r="AZ113" i="2"/>
  <c r="AY114" i="2"/>
  <c r="AZ114" i="2"/>
  <c r="AY115" i="2"/>
  <c r="AZ115" i="2"/>
  <c r="AY116" i="2"/>
  <c r="AZ116" i="2"/>
  <c r="AY117" i="2"/>
  <c r="AZ117" i="2"/>
  <c r="AY118" i="2"/>
  <c r="AZ118" i="2"/>
  <c r="AY119" i="2"/>
  <c r="AZ119" i="2"/>
  <c r="AY120" i="2"/>
  <c r="AZ120" i="2"/>
  <c r="AY121" i="2"/>
  <c r="AZ121" i="2"/>
  <c r="AY122" i="2"/>
  <c r="AZ122" i="2"/>
  <c r="AY123" i="2"/>
  <c r="AZ123" i="2"/>
  <c r="AY124" i="2"/>
  <c r="AZ124" i="2"/>
  <c r="AY125" i="2"/>
  <c r="AZ125" i="2"/>
  <c r="AY126" i="2"/>
  <c r="AZ126" i="2"/>
  <c r="AY127" i="2"/>
  <c r="AZ127" i="2"/>
  <c r="AY128" i="2"/>
  <c r="AZ128" i="2"/>
  <c r="AY129" i="2"/>
  <c r="AZ129" i="2"/>
  <c r="AY130" i="2"/>
  <c r="AZ130" i="2"/>
  <c r="AY131" i="2"/>
  <c r="AZ131" i="2"/>
  <c r="AY132" i="2"/>
  <c r="AZ132" i="2"/>
  <c r="AY133" i="2"/>
  <c r="AZ133" i="2"/>
  <c r="AY134" i="2"/>
  <c r="AZ134" i="2"/>
  <c r="AY135" i="2"/>
  <c r="AZ135" i="2"/>
  <c r="AV10" i="2"/>
  <c r="AV11" i="2"/>
  <c r="AV13" i="2"/>
  <c r="AV14" i="2"/>
  <c r="AV15" i="2"/>
  <c r="AV16" i="2"/>
  <c r="AV17" i="2"/>
  <c r="AV18" i="2"/>
  <c r="AV19" i="2"/>
  <c r="AV20" i="2"/>
  <c r="AV21" i="2"/>
  <c r="AV23" i="2"/>
  <c r="AV24" i="2"/>
  <c r="AV25" i="2"/>
  <c r="AV26" i="2"/>
  <c r="AV28" i="2"/>
  <c r="AV29" i="2"/>
  <c r="AV30" i="2"/>
  <c r="AV31" i="2"/>
  <c r="AV32" i="2"/>
  <c r="AV33" i="2"/>
  <c r="AV34" i="2"/>
  <c r="AV35" i="2"/>
  <c r="AV36" i="2"/>
  <c r="AV37" i="2"/>
  <c r="AV39" i="2"/>
  <c r="AV40" i="2"/>
  <c r="AV41" i="2"/>
  <c r="AV43" i="2"/>
  <c r="AV44" i="2"/>
  <c r="AV45" i="2"/>
  <c r="AV46" i="2"/>
  <c r="AV47" i="2"/>
  <c r="AV48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T10" i="2"/>
  <c r="AT11" i="2"/>
  <c r="AT13" i="2"/>
  <c r="AT14" i="2"/>
  <c r="AT15" i="2"/>
  <c r="AT16" i="2"/>
  <c r="AT17" i="2"/>
  <c r="AT18" i="2"/>
  <c r="AT19" i="2"/>
  <c r="AT20" i="2"/>
  <c r="AT21" i="2"/>
  <c r="AT23" i="2"/>
  <c r="AT24" i="2"/>
  <c r="AT25" i="2"/>
  <c r="AT26" i="2"/>
  <c r="AT28" i="2"/>
  <c r="AT29" i="2"/>
  <c r="AT30" i="2"/>
  <c r="AT31" i="2"/>
  <c r="AT32" i="2"/>
  <c r="AT33" i="2"/>
  <c r="AT34" i="2"/>
  <c r="AT35" i="2"/>
  <c r="AT36" i="2"/>
  <c r="AT37" i="2"/>
  <c r="AT39" i="2"/>
  <c r="AT40" i="2"/>
  <c r="AT41" i="2"/>
  <c r="AT43" i="2"/>
  <c r="AT44" i="2"/>
  <c r="AT45" i="2"/>
  <c r="AT46" i="2"/>
  <c r="AT47" i="2"/>
  <c r="AT48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Q10" i="2"/>
  <c r="AR10" i="2"/>
  <c r="AQ11" i="2"/>
  <c r="AR11" i="2"/>
  <c r="AQ13" i="2"/>
  <c r="AR13" i="2"/>
  <c r="AQ14" i="2"/>
  <c r="AR14" i="2"/>
  <c r="AQ15" i="2"/>
  <c r="AR15" i="2"/>
  <c r="AQ16" i="2"/>
  <c r="AR16" i="2"/>
  <c r="AQ17" i="2"/>
  <c r="AR17" i="2"/>
  <c r="AQ18" i="2"/>
  <c r="AR18" i="2"/>
  <c r="AQ19" i="2"/>
  <c r="AR19" i="2"/>
  <c r="AQ20" i="2"/>
  <c r="AR20" i="2"/>
  <c r="AQ21" i="2"/>
  <c r="AR21" i="2"/>
  <c r="AQ23" i="2"/>
  <c r="AR23" i="2"/>
  <c r="AQ24" i="2"/>
  <c r="AR24" i="2"/>
  <c r="AQ25" i="2"/>
  <c r="AR25" i="2"/>
  <c r="AQ26" i="2"/>
  <c r="AR26" i="2"/>
  <c r="AQ28" i="2"/>
  <c r="AR28" i="2"/>
  <c r="AQ29" i="2"/>
  <c r="AR29" i="2"/>
  <c r="AQ30" i="2"/>
  <c r="AR30" i="2"/>
  <c r="AQ31" i="2"/>
  <c r="AR31" i="2"/>
  <c r="AQ32" i="2"/>
  <c r="AR32" i="2"/>
  <c r="AQ33" i="2"/>
  <c r="AR33" i="2"/>
  <c r="AQ34" i="2"/>
  <c r="AR34" i="2"/>
  <c r="AQ35" i="2"/>
  <c r="AR35" i="2"/>
  <c r="AQ36" i="2"/>
  <c r="AR36" i="2"/>
  <c r="AQ37" i="2"/>
  <c r="AR37" i="2"/>
  <c r="AQ39" i="2"/>
  <c r="AR39" i="2"/>
  <c r="AQ40" i="2"/>
  <c r="AR40" i="2"/>
  <c r="AQ41" i="2"/>
  <c r="AR41" i="2"/>
  <c r="AQ43" i="2"/>
  <c r="AR43" i="2"/>
  <c r="AQ44" i="2"/>
  <c r="AR44" i="2"/>
  <c r="AQ45" i="2"/>
  <c r="AR45" i="2"/>
  <c r="AQ46" i="2"/>
  <c r="AR46" i="2"/>
  <c r="AQ47" i="2"/>
  <c r="AR47" i="2"/>
  <c r="AQ48" i="2"/>
  <c r="AR48" i="2"/>
  <c r="AQ50" i="2"/>
  <c r="AR50" i="2"/>
  <c r="AQ51" i="2"/>
  <c r="AR51" i="2"/>
  <c r="AQ52" i="2"/>
  <c r="AR52" i="2"/>
  <c r="AQ53" i="2"/>
  <c r="AR53" i="2"/>
  <c r="AQ54" i="2"/>
  <c r="AR54" i="2"/>
  <c r="AQ55" i="2"/>
  <c r="AR55" i="2"/>
  <c r="AQ56" i="2"/>
  <c r="AR56" i="2"/>
  <c r="AQ57" i="2"/>
  <c r="AR57" i="2"/>
  <c r="AQ58" i="2"/>
  <c r="AR58" i="2"/>
  <c r="AQ59" i="2"/>
  <c r="AR59" i="2"/>
  <c r="AQ60" i="2"/>
  <c r="AR60" i="2"/>
  <c r="AQ61" i="2"/>
  <c r="AR61" i="2"/>
  <c r="AQ62" i="2"/>
  <c r="AR62" i="2"/>
  <c r="AQ63" i="2"/>
  <c r="AR63" i="2"/>
  <c r="AQ64" i="2"/>
  <c r="AR64" i="2"/>
  <c r="AQ65" i="2"/>
  <c r="AR65" i="2"/>
  <c r="AQ66" i="2"/>
  <c r="AR66" i="2"/>
  <c r="AQ67" i="2"/>
  <c r="AR67" i="2"/>
  <c r="AQ68" i="2"/>
  <c r="AR68" i="2"/>
  <c r="AQ69" i="2"/>
  <c r="AR69" i="2"/>
  <c r="AQ70" i="2"/>
  <c r="AR70" i="2"/>
  <c r="AQ71" i="2"/>
  <c r="AR71" i="2"/>
  <c r="AQ72" i="2"/>
  <c r="AR72" i="2"/>
  <c r="AQ73" i="2"/>
  <c r="AR73" i="2"/>
  <c r="AQ74" i="2"/>
  <c r="AR74" i="2"/>
  <c r="AQ75" i="2"/>
  <c r="AR75" i="2"/>
  <c r="AQ76" i="2"/>
  <c r="AR76" i="2"/>
  <c r="AQ77" i="2"/>
  <c r="AR77" i="2"/>
  <c r="AQ78" i="2"/>
  <c r="AR78" i="2"/>
  <c r="AQ79" i="2"/>
  <c r="AR79" i="2"/>
  <c r="AQ80" i="2"/>
  <c r="AR80" i="2"/>
  <c r="AQ81" i="2"/>
  <c r="AR81" i="2"/>
  <c r="AQ82" i="2"/>
  <c r="AR82" i="2"/>
  <c r="AQ83" i="2"/>
  <c r="AR83" i="2"/>
  <c r="AQ84" i="2"/>
  <c r="AR84" i="2"/>
  <c r="AQ85" i="2"/>
  <c r="AR85" i="2"/>
  <c r="AQ86" i="2"/>
  <c r="AR86" i="2"/>
  <c r="AQ87" i="2"/>
  <c r="AR87" i="2"/>
  <c r="AQ88" i="2"/>
  <c r="AR88" i="2"/>
  <c r="AQ89" i="2"/>
  <c r="AR89" i="2"/>
  <c r="AQ90" i="2"/>
  <c r="AR90" i="2"/>
  <c r="AQ91" i="2"/>
  <c r="AR91" i="2"/>
  <c r="AQ92" i="2"/>
  <c r="AR92" i="2"/>
  <c r="AQ93" i="2"/>
  <c r="AR93" i="2"/>
  <c r="AQ94" i="2"/>
  <c r="AR94" i="2"/>
  <c r="AQ95" i="2"/>
  <c r="AR95" i="2"/>
  <c r="AQ96" i="2"/>
  <c r="AR96" i="2"/>
  <c r="AQ97" i="2"/>
  <c r="AR97" i="2"/>
  <c r="AQ98" i="2"/>
  <c r="AR98" i="2"/>
  <c r="AQ99" i="2"/>
  <c r="AR99" i="2"/>
  <c r="AQ100" i="2"/>
  <c r="AR100" i="2"/>
  <c r="AQ101" i="2"/>
  <c r="AR101" i="2"/>
  <c r="AQ102" i="2"/>
  <c r="AR102" i="2"/>
  <c r="AQ103" i="2"/>
  <c r="AR103" i="2"/>
  <c r="AQ104" i="2"/>
  <c r="AR104" i="2"/>
  <c r="AQ105" i="2"/>
  <c r="AR105" i="2"/>
  <c r="AQ106" i="2"/>
  <c r="AR106" i="2"/>
  <c r="AQ107" i="2"/>
  <c r="AR107" i="2"/>
  <c r="AQ108" i="2"/>
  <c r="AR108" i="2"/>
  <c r="AQ109" i="2"/>
  <c r="AR109" i="2"/>
  <c r="AQ110" i="2"/>
  <c r="AR110" i="2"/>
  <c r="AQ111" i="2"/>
  <c r="AR111" i="2"/>
  <c r="AQ112" i="2"/>
  <c r="AR112" i="2"/>
  <c r="AQ113" i="2"/>
  <c r="AR113" i="2"/>
  <c r="AQ114" i="2"/>
  <c r="AR114" i="2"/>
  <c r="AQ115" i="2"/>
  <c r="AR115" i="2"/>
  <c r="AQ116" i="2"/>
  <c r="AR116" i="2"/>
  <c r="AQ117" i="2"/>
  <c r="AR117" i="2"/>
  <c r="AQ118" i="2"/>
  <c r="AR118" i="2"/>
  <c r="AQ119" i="2"/>
  <c r="AR119" i="2"/>
  <c r="AQ120" i="2"/>
  <c r="AR120" i="2"/>
  <c r="AQ121" i="2"/>
  <c r="AR121" i="2"/>
  <c r="AQ122" i="2"/>
  <c r="AR122" i="2"/>
  <c r="AQ123" i="2"/>
  <c r="AR123" i="2"/>
  <c r="AQ124" i="2"/>
  <c r="AR124" i="2"/>
  <c r="AQ125" i="2"/>
  <c r="AR125" i="2"/>
  <c r="AQ126" i="2"/>
  <c r="AR126" i="2"/>
  <c r="AQ127" i="2"/>
  <c r="AR127" i="2"/>
  <c r="AQ128" i="2"/>
  <c r="AR128" i="2"/>
  <c r="AQ129" i="2"/>
  <c r="AR129" i="2"/>
  <c r="AQ130" i="2"/>
  <c r="AR130" i="2"/>
  <c r="AQ131" i="2"/>
  <c r="AR131" i="2"/>
  <c r="AQ132" i="2"/>
  <c r="AR132" i="2"/>
  <c r="AQ133" i="2"/>
  <c r="AR133" i="2"/>
  <c r="AQ134" i="2"/>
  <c r="AR134" i="2"/>
  <c r="AQ135" i="2"/>
  <c r="AR135" i="2"/>
  <c r="AN10" i="2"/>
  <c r="AN11" i="2"/>
  <c r="AN13" i="2"/>
  <c r="AN14" i="2"/>
  <c r="AN15" i="2"/>
  <c r="AN16" i="2"/>
  <c r="AN17" i="2"/>
  <c r="AN18" i="2"/>
  <c r="AN19" i="2"/>
  <c r="AN20" i="2"/>
  <c r="AN21" i="2"/>
  <c r="AN23" i="2"/>
  <c r="AN24" i="2"/>
  <c r="AN25" i="2"/>
  <c r="AN26" i="2"/>
  <c r="AN28" i="2"/>
  <c r="AN29" i="2"/>
  <c r="AN30" i="2"/>
  <c r="AN31" i="2"/>
  <c r="AN32" i="2"/>
  <c r="AN33" i="2"/>
  <c r="AN34" i="2"/>
  <c r="AN35" i="2"/>
  <c r="AN36" i="2"/>
  <c r="AN37" i="2"/>
  <c r="AN39" i="2"/>
  <c r="AN40" i="2"/>
  <c r="AN41" i="2"/>
  <c r="AN43" i="2"/>
  <c r="AN44" i="2"/>
  <c r="AN45" i="2"/>
  <c r="AN46" i="2"/>
  <c r="AN47" i="2"/>
  <c r="AN48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L10" i="2"/>
  <c r="AL11" i="2"/>
  <c r="AL13" i="2"/>
  <c r="AL14" i="2"/>
  <c r="AL15" i="2"/>
  <c r="AL16" i="2"/>
  <c r="AL17" i="2"/>
  <c r="AL18" i="2"/>
  <c r="AL19" i="2"/>
  <c r="AL20" i="2"/>
  <c r="AL21" i="2"/>
  <c r="AL23" i="2"/>
  <c r="AL24" i="2"/>
  <c r="AL25" i="2"/>
  <c r="AL26" i="2"/>
  <c r="AL28" i="2"/>
  <c r="AL29" i="2"/>
  <c r="AL30" i="2"/>
  <c r="AL31" i="2"/>
  <c r="AL32" i="2"/>
  <c r="AL33" i="2"/>
  <c r="AL34" i="2"/>
  <c r="AL35" i="2"/>
  <c r="AL36" i="2"/>
  <c r="AL37" i="2"/>
  <c r="AL39" i="2"/>
  <c r="AL40" i="2"/>
  <c r="AL41" i="2"/>
  <c r="AL43" i="2"/>
  <c r="AL44" i="2"/>
  <c r="AL45" i="2"/>
  <c r="AL46" i="2"/>
  <c r="AL47" i="2"/>
  <c r="AL48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I10" i="2"/>
  <c r="AJ10" i="2"/>
  <c r="AI11" i="2"/>
  <c r="AJ11" i="2"/>
  <c r="AI13" i="2"/>
  <c r="AJ13" i="2"/>
  <c r="AI14" i="2"/>
  <c r="AJ14" i="2"/>
  <c r="AI15" i="2"/>
  <c r="AJ15" i="2"/>
  <c r="AI16" i="2"/>
  <c r="AJ16" i="2"/>
  <c r="AI17" i="2"/>
  <c r="AJ17" i="2"/>
  <c r="AI18" i="2"/>
  <c r="AJ18" i="2"/>
  <c r="AI19" i="2"/>
  <c r="AJ19" i="2"/>
  <c r="AI20" i="2"/>
  <c r="AJ20" i="2"/>
  <c r="AI21" i="2"/>
  <c r="AJ21" i="2"/>
  <c r="AI23" i="2"/>
  <c r="AJ23" i="2"/>
  <c r="AI24" i="2"/>
  <c r="AJ24" i="2"/>
  <c r="AI25" i="2"/>
  <c r="AJ25" i="2"/>
  <c r="AI26" i="2"/>
  <c r="AJ26" i="2"/>
  <c r="AI28" i="2"/>
  <c r="AJ28" i="2"/>
  <c r="AI29" i="2"/>
  <c r="AJ29" i="2"/>
  <c r="AI30" i="2"/>
  <c r="AJ30" i="2"/>
  <c r="AI31" i="2"/>
  <c r="AJ31" i="2"/>
  <c r="AI32" i="2"/>
  <c r="AJ32" i="2"/>
  <c r="AI33" i="2"/>
  <c r="AJ33" i="2"/>
  <c r="AI34" i="2"/>
  <c r="AJ34" i="2"/>
  <c r="AI35" i="2"/>
  <c r="AJ35" i="2"/>
  <c r="AI36" i="2"/>
  <c r="AJ36" i="2"/>
  <c r="AI37" i="2"/>
  <c r="AJ37" i="2"/>
  <c r="AI39" i="2"/>
  <c r="AJ39" i="2"/>
  <c r="AI40" i="2"/>
  <c r="AJ40" i="2"/>
  <c r="AI41" i="2"/>
  <c r="AJ41" i="2"/>
  <c r="AI43" i="2"/>
  <c r="AJ43" i="2"/>
  <c r="AI44" i="2"/>
  <c r="AJ44" i="2"/>
  <c r="AI45" i="2"/>
  <c r="AJ45" i="2"/>
  <c r="AI46" i="2"/>
  <c r="AJ46" i="2"/>
  <c r="AI47" i="2"/>
  <c r="AJ47" i="2"/>
  <c r="AI48" i="2"/>
  <c r="AJ48" i="2"/>
  <c r="AI50" i="2"/>
  <c r="AJ50" i="2"/>
  <c r="AI51" i="2"/>
  <c r="AJ51" i="2"/>
  <c r="AI52" i="2"/>
  <c r="AJ52" i="2"/>
  <c r="AI53" i="2"/>
  <c r="AJ53" i="2"/>
  <c r="AI54" i="2"/>
  <c r="AJ54" i="2"/>
  <c r="AI55" i="2"/>
  <c r="AJ55" i="2"/>
  <c r="AI56" i="2"/>
  <c r="AJ56" i="2"/>
  <c r="AI57" i="2"/>
  <c r="AJ57" i="2"/>
  <c r="AI58" i="2"/>
  <c r="AJ58" i="2"/>
  <c r="AI59" i="2"/>
  <c r="AJ59" i="2"/>
  <c r="AI60" i="2"/>
  <c r="AJ60" i="2"/>
  <c r="AI61" i="2"/>
  <c r="AJ61" i="2"/>
  <c r="AI62" i="2"/>
  <c r="AJ62" i="2"/>
  <c r="AI63" i="2"/>
  <c r="AJ63" i="2"/>
  <c r="AI64" i="2"/>
  <c r="AJ64" i="2"/>
  <c r="AI65" i="2"/>
  <c r="AJ65" i="2"/>
  <c r="AI66" i="2"/>
  <c r="AJ66" i="2"/>
  <c r="AI67" i="2"/>
  <c r="AJ67" i="2"/>
  <c r="AI68" i="2"/>
  <c r="AJ68" i="2"/>
  <c r="AI69" i="2"/>
  <c r="AJ69" i="2"/>
  <c r="AI70" i="2"/>
  <c r="AJ70" i="2"/>
  <c r="AI71" i="2"/>
  <c r="AJ71" i="2"/>
  <c r="AI72" i="2"/>
  <c r="AJ72" i="2"/>
  <c r="AI73" i="2"/>
  <c r="AJ73" i="2"/>
  <c r="AI74" i="2"/>
  <c r="AJ74" i="2"/>
  <c r="AI75" i="2"/>
  <c r="AJ75" i="2"/>
  <c r="AI76" i="2"/>
  <c r="AJ76" i="2"/>
  <c r="AI77" i="2"/>
  <c r="AJ77" i="2"/>
  <c r="AI78" i="2"/>
  <c r="AJ78" i="2"/>
  <c r="AI79" i="2"/>
  <c r="AJ79" i="2"/>
  <c r="AI80" i="2"/>
  <c r="AJ80" i="2"/>
  <c r="AI81" i="2"/>
  <c r="AJ81" i="2"/>
  <c r="AI82" i="2"/>
  <c r="AJ82" i="2"/>
  <c r="AI83" i="2"/>
  <c r="AJ83" i="2"/>
  <c r="AI84" i="2"/>
  <c r="AJ84" i="2"/>
  <c r="AI85" i="2"/>
  <c r="AJ85" i="2"/>
  <c r="AI86" i="2"/>
  <c r="AJ86" i="2"/>
  <c r="AI87" i="2"/>
  <c r="AJ87" i="2"/>
  <c r="AI88" i="2"/>
  <c r="AJ88" i="2"/>
  <c r="AI89" i="2"/>
  <c r="AJ89" i="2"/>
  <c r="AI90" i="2"/>
  <c r="AJ90" i="2"/>
  <c r="AI91" i="2"/>
  <c r="AJ91" i="2"/>
  <c r="AI92" i="2"/>
  <c r="AJ92" i="2"/>
  <c r="AI93" i="2"/>
  <c r="AJ93" i="2"/>
  <c r="AI94" i="2"/>
  <c r="AJ94" i="2"/>
  <c r="AI95" i="2"/>
  <c r="AJ95" i="2"/>
  <c r="AI96" i="2"/>
  <c r="AJ96" i="2"/>
  <c r="AI97" i="2"/>
  <c r="AJ97" i="2"/>
  <c r="AI98" i="2"/>
  <c r="AJ98" i="2"/>
  <c r="AI99" i="2"/>
  <c r="AJ99" i="2"/>
  <c r="AI100" i="2"/>
  <c r="AJ100" i="2"/>
  <c r="AI101" i="2"/>
  <c r="AJ101" i="2"/>
  <c r="AI102" i="2"/>
  <c r="AJ102" i="2"/>
  <c r="AI103" i="2"/>
  <c r="AJ103" i="2"/>
  <c r="AI104" i="2"/>
  <c r="AJ104" i="2"/>
  <c r="AI105" i="2"/>
  <c r="AJ105" i="2"/>
  <c r="AI106" i="2"/>
  <c r="AJ106" i="2"/>
  <c r="AI107" i="2"/>
  <c r="AJ107" i="2"/>
  <c r="AI108" i="2"/>
  <c r="AJ108" i="2"/>
  <c r="AI109" i="2"/>
  <c r="AJ109" i="2"/>
  <c r="AI110" i="2"/>
  <c r="AJ110" i="2"/>
  <c r="AI111" i="2"/>
  <c r="AJ111" i="2"/>
  <c r="AI112" i="2"/>
  <c r="AJ112" i="2"/>
  <c r="AI113" i="2"/>
  <c r="AJ113" i="2"/>
  <c r="AI114" i="2"/>
  <c r="AJ114" i="2"/>
  <c r="AI115" i="2"/>
  <c r="AJ115" i="2"/>
  <c r="AI116" i="2"/>
  <c r="AJ116" i="2"/>
  <c r="AI117" i="2"/>
  <c r="AJ117" i="2"/>
  <c r="AI118" i="2"/>
  <c r="AJ118" i="2"/>
  <c r="AI119" i="2"/>
  <c r="AJ119" i="2"/>
  <c r="AI120" i="2"/>
  <c r="AJ120" i="2"/>
  <c r="AI121" i="2"/>
  <c r="AJ121" i="2"/>
  <c r="AI122" i="2"/>
  <c r="AJ122" i="2"/>
  <c r="AI123" i="2"/>
  <c r="AJ123" i="2"/>
  <c r="AI124" i="2"/>
  <c r="AJ124" i="2"/>
  <c r="AI125" i="2"/>
  <c r="AJ125" i="2"/>
  <c r="AI126" i="2"/>
  <c r="AJ126" i="2"/>
  <c r="AI127" i="2"/>
  <c r="AJ127" i="2"/>
  <c r="AI128" i="2"/>
  <c r="AJ128" i="2"/>
  <c r="AI129" i="2"/>
  <c r="AJ129" i="2"/>
  <c r="AI130" i="2"/>
  <c r="AJ130" i="2"/>
  <c r="AI131" i="2"/>
  <c r="AJ131" i="2"/>
  <c r="AI132" i="2"/>
  <c r="AJ132" i="2"/>
  <c r="AI133" i="2"/>
  <c r="AJ133" i="2"/>
  <c r="AI134" i="2"/>
  <c r="AJ134" i="2"/>
  <c r="AI135" i="2"/>
  <c r="AJ135" i="2"/>
  <c r="AF10" i="2"/>
  <c r="AF11" i="2"/>
  <c r="AF13" i="2"/>
  <c r="AF14" i="2"/>
  <c r="AF15" i="2"/>
  <c r="AF16" i="2"/>
  <c r="AF17" i="2"/>
  <c r="AF18" i="2"/>
  <c r="AF19" i="2"/>
  <c r="AF20" i="2"/>
  <c r="AF21" i="2"/>
  <c r="AF23" i="2"/>
  <c r="AF24" i="2"/>
  <c r="AF25" i="2"/>
  <c r="AF26" i="2"/>
  <c r="AF28" i="2"/>
  <c r="AF29" i="2"/>
  <c r="AF30" i="2"/>
  <c r="AF31" i="2"/>
  <c r="AF32" i="2"/>
  <c r="AF33" i="2"/>
  <c r="AF34" i="2"/>
  <c r="AF35" i="2"/>
  <c r="AF36" i="2"/>
  <c r="AF37" i="2"/>
  <c r="AF39" i="2"/>
  <c r="AF40" i="2"/>
  <c r="AF41" i="2"/>
  <c r="AF43" i="2"/>
  <c r="AF44" i="2"/>
  <c r="AF45" i="2"/>
  <c r="AF46" i="2"/>
  <c r="AF47" i="2"/>
  <c r="AF48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D10" i="2"/>
  <c r="AD11" i="2"/>
  <c r="AD13" i="2"/>
  <c r="AD14" i="2"/>
  <c r="AD15" i="2"/>
  <c r="AD16" i="2"/>
  <c r="AD17" i="2"/>
  <c r="AD18" i="2"/>
  <c r="AD19" i="2"/>
  <c r="AD20" i="2"/>
  <c r="AD21" i="2"/>
  <c r="AD23" i="2"/>
  <c r="AD24" i="2"/>
  <c r="AD25" i="2"/>
  <c r="AD26" i="2"/>
  <c r="AD28" i="2"/>
  <c r="AD29" i="2"/>
  <c r="AD30" i="2"/>
  <c r="AD31" i="2"/>
  <c r="AD32" i="2"/>
  <c r="AD33" i="2"/>
  <c r="AD34" i="2"/>
  <c r="AD35" i="2"/>
  <c r="AD36" i="2"/>
  <c r="AD37" i="2"/>
  <c r="AD39" i="2"/>
  <c r="AD40" i="2"/>
  <c r="AD41" i="2"/>
  <c r="AD43" i="2"/>
  <c r="AD44" i="2"/>
  <c r="AD45" i="2"/>
  <c r="AD46" i="2"/>
  <c r="AD47" i="2"/>
  <c r="AD48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B10" i="2"/>
  <c r="AB11" i="2"/>
  <c r="AB13" i="2"/>
  <c r="AB14" i="2"/>
  <c r="AB15" i="2"/>
  <c r="AB16" i="2"/>
  <c r="AB17" i="2"/>
  <c r="AB18" i="2"/>
  <c r="AB19" i="2"/>
  <c r="AB20" i="2"/>
  <c r="AB21" i="2"/>
  <c r="AB23" i="2"/>
  <c r="AB24" i="2"/>
  <c r="AB25" i="2"/>
  <c r="AB26" i="2"/>
  <c r="AB28" i="2"/>
  <c r="AB29" i="2"/>
  <c r="AB30" i="2"/>
  <c r="AB31" i="2"/>
  <c r="AB32" i="2"/>
  <c r="AB33" i="2"/>
  <c r="AB34" i="2"/>
  <c r="AB35" i="2"/>
  <c r="AB36" i="2"/>
  <c r="AB37" i="2"/>
  <c r="AB39" i="2"/>
  <c r="AB40" i="2"/>
  <c r="AB41" i="2"/>
  <c r="AB43" i="2"/>
  <c r="AB44" i="2"/>
  <c r="AB45" i="2"/>
  <c r="AB46" i="2"/>
  <c r="AB47" i="2"/>
  <c r="AB48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A10" i="2"/>
  <c r="AA11" i="2"/>
  <c r="AC11" i="2" s="1"/>
  <c r="AA13" i="2"/>
  <c r="AA14" i="2"/>
  <c r="AC14" i="2" s="1"/>
  <c r="AE14" i="2" s="1"/>
  <c r="AA15" i="2"/>
  <c r="AA16" i="2"/>
  <c r="AA17" i="2"/>
  <c r="AA18" i="2"/>
  <c r="AA19" i="2"/>
  <c r="AA20" i="2"/>
  <c r="AA21" i="2"/>
  <c r="AA23" i="2"/>
  <c r="AA24" i="2"/>
  <c r="AA25" i="2"/>
  <c r="AA26" i="2"/>
  <c r="AA28" i="2"/>
  <c r="AA29" i="2"/>
  <c r="AA30" i="2"/>
  <c r="AA31" i="2"/>
  <c r="AA32" i="2"/>
  <c r="AA33" i="2"/>
  <c r="AA34" i="2"/>
  <c r="AC34" i="2" s="1"/>
  <c r="AE34" i="2" s="1"/>
  <c r="AA35" i="2"/>
  <c r="AA36" i="2"/>
  <c r="AC36" i="2" s="1"/>
  <c r="AE36" i="2" s="1"/>
  <c r="AA37" i="2"/>
  <c r="AA39" i="2"/>
  <c r="AA40" i="2"/>
  <c r="AA41" i="2"/>
  <c r="AC41" i="2" s="1"/>
  <c r="AA43" i="2"/>
  <c r="AA44" i="2"/>
  <c r="AC44" i="2" s="1"/>
  <c r="AE44" i="2" s="1"/>
  <c r="AA45" i="2"/>
  <c r="AA46" i="2"/>
  <c r="AC46" i="2" s="1"/>
  <c r="AE46" i="2" s="1"/>
  <c r="AA47" i="2"/>
  <c r="AA48" i="2"/>
  <c r="AA50" i="2"/>
  <c r="AA51" i="2"/>
  <c r="AA52" i="2"/>
  <c r="AA53" i="2"/>
  <c r="AA54" i="2"/>
  <c r="AA55" i="2"/>
  <c r="AA56" i="2"/>
  <c r="AC56" i="2" s="1"/>
  <c r="AE56" i="2" s="1"/>
  <c r="AA57" i="2"/>
  <c r="AA58" i="2"/>
  <c r="AC58" i="2" s="1"/>
  <c r="AE58" i="2" s="1"/>
  <c r="AA59" i="2"/>
  <c r="AA60" i="2"/>
  <c r="AC60" i="2" s="1"/>
  <c r="AE60" i="2" s="1"/>
  <c r="AA61" i="2"/>
  <c r="AA62" i="2"/>
  <c r="AA63" i="2"/>
  <c r="AA64" i="2"/>
  <c r="AC64" i="2" s="1"/>
  <c r="AE64" i="2" s="1"/>
  <c r="AA65" i="2"/>
  <c r="AA66" i="2"/>
  <c r="AA67" i="2"/>
  <c r="AA68" i="2"/>
  <c r="AA69" i="2"/>
  <c r="AA70" i="2"/>
  <c r="AA71" i="2"/>
  <c r="AA72" i="2"/>
  <c r="AC72" i="2" s="1"/>
  <c r="AE72" i="2" s="1"/>
  <c r="AA73" i="2"/>
  <c r="AA74" i="2"/>
  <c r="AA75" i="2"/>
  <c r="AA76" i="2"/>
  <c r="AC76" i="2" s="1"/>
  <c r="AE76" i="2" s="1"/>
  <c r="AG76" i="2" s="1"/>
  <c r="AA77" i="2"/>
  <c r="AA78" i="2"/>
  <c r="AA79" i="2"/>
  <c r="AA80" i="2"/>
  <c r="AC80" i="2" s="1"/>
  <c r="AA81" i="2"/>
  <c r="AA82" i="2"/>
  <c r="AA83" i="2"/>
  <c r="AA84" i="2"/>
  <c r="AA85" i="2"/>
  <c r="AA86" i="2"/>
  <c r="AA87" i="2"/>
  <c r="AA88" i="2"/>
  <c r="AC88" i="2" s="1"/>
  <c r="AE88" i="2" s="1"/>
  <c r="AA89" i="2"/>
  <c r="AA90" i="2"/>
  <c r="AA91" i="2"/>
  <c r="AA92" i="2"/>
  <c r="AA93" i="2"/>
  <c r="AA94" i="2"/>
  <c r="AA95" i="2"/>
  <c r="AA96" i="2"/>
  <c r="AC96" i="2" s="1"/>
  <c r="AE96" i="2" s="1"/>
  <c r="AA97" i="2"/>
  <c r="AA98" i="2"/>
  <c r="AA99" i="2"/>
  <c r="AA100" i="2"/>
  <c r="AA101" i="2"/>
  <c r="AA102" i="2"/>
  <c r="AA103" i="2"/>
  <c r="AA104" i="2"/>
  <c r="AC104" i="2" s="1"/>
  <c r="AA105" i="2"/>
  <c r="AA106" i="2"/>
  <c r="AA107" i="2"/>
  <c r="AA108" i="2"/>
  <c r="AA109" i="2"/>
  <c r="AA110" i="2"/>
  <c r="AA111" i="2"/>
  <c r="AA112" i="2"/>
  <c r="AC112" i="2" s="1"/>
  <c r="AA113" i="2"/>
  <c r="AA114" i="2"/>
  <c r="AC114" i="2" s="1"/>
  <c r="AE114" i="2" s="1"/>
  <c r="AA115" i="2"/>
  <c r="AA116" i="2"/>
  <c r="AA117" i="2"/>
  <c r="AA118" i="2"/>
  <c r="AA119" i="2"/>
  <c r="AA120" i="2"/>
  <c r="AC120" i="2" s="1"/>
  <c r="AE120" i="2" s="1"/>
  <c r="AA121" i="2"/>
  <c r="AA122" i="2"/>
  <c r="AA123" i="2"/>
  <c r="AA124" i="2"/>
  <c r="AA125" i="2"/>
  <c r="AA126" i="2"/>
  <c r="AA127" i="2"/>
  <c r="AA128" i="2"/>
  <c r="AC128" i="2" s="1"/>
  <c r="AA129" i="2"/>
  <c r="AA130" i="2"/>
  <c r="AA131" i="2"/>
  <c r="AA132" i="2"/>
  <c r="AA133" i="2"/>
  <c r="AA134" i="2"/>
  <c r="AA135" i="2"/>
  <c r="AV9" i="2"/>
  <c r="AT9" i="2"/>
  <c r="AR9" i="2"/>
  <c r="AQ9" i="2"/>
  <c r="AN9" i="2"/>
  <c r="AL9" i="2"/>
  <c r="AJ9" i="2"/>
  <c r="AI9" i="2"/>
  <c r="AF9" i="2"/>
  <c r="AD9" i="2"/>
  <c r="AB9" i="2"/>
  <c r="AA9" i="2"/>
  <c r="X10" i="2"/>
  <c r="X11" i="2"/>
  <c r="X13" i="2"/>
  <c r="X14" i="2"/>
  <c r="X15" i="2"/>
  <c r="X16" i="2"/>
  <c r="X17" i="2"/>
  <c r="X18" i="2"/>
  <c r="X19" i="2"/>
  <c r="X20" i="2"/>
  <c r="X21" i="2"/>
  <c r="X23" i="2"/>
  <c r="X24" i="2"/>
  <c r="X25" i="2"/>
  <c r="X26" i="2"/>
  <c r="X28" i="2"/>
  <c r="X29" i="2"/>
  <c r="X30" i="2"/>
  <c r="X31" i="2"/>
  <c r="X32" i="2"/>
  <c r="X33" i="2"/>
  <c r="X34" i="2"/>
  <c r="X35" i="2"/>
  <c r="X36" i="2"/>
  <c r="X37" i="2"/>
  <c r="X39" i="2"/>
  <c r="X40" i="2"/>
  <c r="X41" i="2"/>
  <c r="X43" i="2"/>
  <c r="X44" i="2"/>
  <c r="X45" i="2"/>
  <c r="X46" i="2"/>
  <c r="X47" i="2"/>
  <c r="X48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V10" i="2"/>
  <c r="V11" i="2"/>
  <c r="V13" i="2"/>
  <c r="V14" i="2"/>
  <c r="V15" i="2"/>
  <c r="V16" i="2"/>
  <c r="V17" i="2"/>
  <c r="V18" i="2"/>
  <c r="V19" i="2"/>
  <c r="V20" i="2"/>
  <c r="V21" i="2"/>
  <c r="V23" i="2"/>
  <c r="V24" i="2"/>
  <c r="V25" i="2"/>
  <c r="V26" i="2"/>
  <c r="V28" i="2"/>
  <c r="V29" i="2"/>
  <c r="V30" i="2"/>
  <c r="V31" i="2"/>
  <c r="V32" i="2"/>
  <c r="V33" i="2"/>
  <c r="V34" i="2"/>
  <c r="V35" i="2"/>
  <c r="V36" i="2"/>
  <c r="V37" i="2"/>
  <c r="V39" i="2"/>
  <c r="V40" i="2"/>
  <c r="V41" i="2"/>
  <c r="V43" i="2"/>
  <c r="V44" i="2"/>
  <c r="V45" i="2"/>
  <c r="V46" i="2"/>
  <c r="V47" i="2"/>
  <c r="V48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S10" i="2"/>
  <c r="T10" i="2"/>
  <c r="S11" i="2"/>
  <c r="T11" i="2"/>
  <c r="S13" i="2"/>
  <c r="T13" i="2"/>
  <c r="S14" i="2"/>
  <c r="T14" i="2"/>
  <c r="S15" i="2"/>
  <c r="T15" i="2"/>
  <c r="S16" i="2"/>
  <c r="T16" i="2"/>
  <c r="S17" i="2"/>
  <c r="T17" i="2"/>
  <c r="S18" i="2"/>
  <c r="T18" i="2"/>
  <c r="S19" i="2"/>
  <c r="T19" i="2"/>
  <c r="S20" i="2"/>
  <c r="T20" i="2"/>
  <c r="S21" i="2"/>
  <c r="T21" i="2"/>
  <c r="S23" i="2"/>
  <c r="T23" i="2"/>
  <c r="S24" i="2"/>
  <c r="T24" i="2"/>
  <c r="S25" i="2"/>
  <c r="T25" i="2"/>
  <c r="S26" i="2"/>
  <c r="T26" i="2"/>
  <c r="S28" i="2"/>
  <c r="T28" i="2"/>
  <c r="S29" i="2"/>
  <c r="T29" i="2"/>
  <c r="S30" i="2"/>
  <c r="T30" i="2"/>
  <c r="S31" i="2"/>
  <c r="T31" i="2"/>
  <c r="S32" i="2"/>
  <c r="T32" i="2"/>
  <c r="S33" i="2"/>
  <c r="T33" i="2"/>
  <c r="S34" i="2"/>
  <c r="T34" i="2"/>
  <c r="S35" i="2"/>
  <c r="T35" i="2"/>
  <c r="S36" i="2"/>
  <c r="T36" i="2"/>
  <c r="S37" i="2"/>
  <c r="T37" i="2"/>
  <c r="S39" i="2"/>
  <c r="T39" i="2"/>
  <c r="S40" i="2"/>
  <c r="T40" i="2"/>
  <c r="S41" i="2"/>
  <c r="T41" i="2"/>
  <c r="S43" i="2"/>
  <c r="T43" i="2"/>
  <c r="S44" i="2"/>
  <c r="T44" i="2"/>
  <c r="S45" i="2"/>
  <c r="T45" i="2"/>
  <c r="S46" i="2"/>
  <c r="T46" i="2"/>
  <c r="S47" i="2"/>
  <c r="T47" i="2"/>
  <c r="S48" i="2"/>
  <c r="T48" i="2"/>
  <c r="S50" i="2"/>
  <c r="T50" i="2"/>
  <c r="S51" i="2"/>
  <c r="T51" i="2"/>
  <c r="S52" i="2"/>
  <c r="T52" i="2"/>
  <c r="S53" i="2"/>
  <c r="T53" i="2"/>
  <c r="S54" i="2"/>
  <c r="T54" i="2"/>
  <c r="S55" i="2"/>
  <c r="T55" i="2"/>
  <c r="S56" i="2"/>
  <c r="T56" i="2"/>
  <c r="S57" i="2"/>
  <c r="T57" i="2"/>
  <c r="S58" i="2"/>
  <c r="T58" i="2"/>
  <c r="S59" i="2"/>
  <c r="T59" i="2"/>
  <c r="S60" i="2"/>
  <c r="T60" i="2"/>
  <c r="S61" i="2"/>
  <c r="T61" i="2"/>
  <c r="S62" i="2"/>
  <c r="T62" i="2"/>
  <c r="S63" i="2"/>
  <c r="T63" i="2"/>
  <c r="S64" i="2"/>
  <c r="T64" i="2"/>
  <c r="S65" i="2"/>
  <c r="T65" i="2"/>
  <c r="S66" i="2"/>
  <c r="T66" i="2"/>
  <c r="S67" i="2"/>
  <c r="T67" i="2"/>
  <c r="S68" i="2"/>
  <c r="T68" i="2"/>
  <c r="S69" i="2"/>
  <c r="T69" i="2"/>
  <c r="S70" i="2"/>
  <c r="T70" i="2"/>
  <c r="S71" i="2"/>
  <c r="T71" i="2"/>
  <c r="S72" i="2"/>
  <c r="T72" i="2"/>
  <c r="S73" i="2"/>
  <c r="T73" i="2"/>
  <c r="S74" i="2"/>
  <c r="T74" i="2"/>
  <c r="S75" i="2"/>
  <c r="T75" i="2"/>
  <c r="S76" i="2"/>
  <c r="T76" i="2"/>
  <c r="S77" i="2"/>
  <c r="T77" i="2"/>
  <c r="S78" i="2"/>
  <c r="T78" i="2"/>
  <c r="S79" i="2"/>
  <c r="T79" i="2"/>
  <c r="S80" i="2"/>
  <c r="T80" i="2"/>
  <c r="S81" i="2"/>
  <c r="T81" i="2"/>
  <c r="S82" i="2"/>
  <c r="T82" i="2"/>
  <c r="S83" i="2"/>
  <c r="T83" i="2"/>
  <c r="S84" i="2"/>
  <c r="T84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X9" i="2"/>
  <c r="V9" i="2"/>
  <c r="T9" i="2"/>
  <c r="S9" i="2"/>
  <c r="H10" i="2"/>
  <c r="H11" i="2"/>
  <c r="H13" i="2"/>
  <c r="H14" i="2"/>
  <c r="H15" i="2"/>
  <c r="H16" i="2"/>
  <c r="H17" i="2"/>
  <c r="H18" i="2"/>
  <c r="H19" i="2"/>
  <c r="H20" i="2"/>
  <c r="H21" i="2"/>
  <c r="H23" i="2"/>
  <c r="H24" i="2"/>
  <c r="H25" i="2"/>
  <c r="H26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3" i="2"/>
  <c r="H44" i="2"/>
  <c r="H45" i="2"/>
  <c r="H46" i="2"/>
  <c r="H47" i="2"/>
  <c r="H48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P10" i="2"/>
  <c r="P11" i="2"/>
  <c r="P13" i="2"/>
  <c r="P14" i="2"/>
  <c r="P15" i="2"/>
  <c r="P16" i="2"/>
  <c r="P17" i="2"/>
  <c r="P18" i="2"/>
  <c r="P19" i="2"/>
  <c r="P20" i="2"/>
  <c r="P21" i="2"/>
  <c r="P23" i="2"/>
  <c r="P24" i="2"/>
  <c r="P25" i="2"/>
  <c r="P26" i="2"/>
  <c r="P28" i="2"/>
  <c r="P29" i="2"/>
  <c r="P30" i="2"/>
  <c r="P31" i="2"/>
  <c r="P32" i="2"/>
  <c r="P33" i="2"/>
  <c r="P34" i="2"/>
  <c r="P35" i="2"/>
  <c r="P36" i="2"/>
  <c r="P37" i="2"/>
  <c r="P39" i="2"/>
  <c r="P40" i="2"/>
  <c r="P41" i="2"/>
  <c r="P43" i="2"/>
  <c r="P44" i="2"/>
  <c r="P45" i="2"/>
  <c r="P46" i="2"/>
  <c r="P47" i="2"/>
  <c r="P48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N10" i="2"/>
  <c r="N11" i="2"/>
  <c r="N13" i="2"/>
  <c r="N14" i="2"/>
  <c r="N15" i="2"/>
  <c r="N16" i="2"/>
  <c r="N17" i="2"/>
  <c r="N18" i="2"/>
  <c r="N19" i="2"/>
  <c r="N20" i="2"/>
  <c r="N21" i="2"/>
  <c r="N23" i="2"/>
  <c r="N24" i="2"/>
  <c r="N25" i="2"/>
  <c r="N26" i="2"/>
  <c r="N28" i="2"/>
  <c r="N29" i="2"/>
  <c r="N30" i="2"/>
  <c r="N31" i="2"/>
  <c r="N32" i="2"/>
  <c r="N33" i="2"/>
  <c r="N34" i="2"/>
  <c r="N35" i="2"/>
  <c r="N36" i="2"/>
  <c r="N37" i="2"/>
  <c r="N39" i="2"/>
  <c r="N40" i="2"/>
  <c r="N41" i="2"/>
  <c r="N43" i="2"/>
  <c r="N44" i="2"/>
  <c r="N45" i="2"/>
  <c r="N46" i="2"/>
  <c r="N47" i="2"/>
  <c r="N48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L10" i="2"/>
  <c r="L11" i="2"/>
  <c r="L13" i="2"/>
  <c r="L14" i="2"/>
  <c r="L15" i="2"/>
  <c r="L16" i="2"/>
  <c r="L17" i="2"/>
  <c r="L18" i="2"/>
  <c r="L19" i="2"/>
  <c r="L20" i="2"/>
  <c r="L21" i="2"/>
  <c r="L23" i="2"/>
  <c r="L24" i="2"/>
  <c r="L25" i="2"/>
  <c r="L26" i="2"/>
  <c r="L28" i="2"/>
  <c r="L29" i="2"/>
  <c r="L30" i="2"/>
  <c r="L31" i="2"/>
  <c r="L32" i="2"/>
  <c r="L33" i="2"/>
  <c r="L34" i="2"/>
  <c r="L35" i="2"/>
  <c r="L36" i="2"/>
  <c r="L37" i="2"/>
  <c r="L39" i="2"/>
  <c r="L40" i="2"/>
  <c r="L41" i="2"/>
  <c r="L43" i="2"/>
  <c r="L44" i="2"/>
  <c r="L45" i="2"/>
  <c r="L46" i="2"/>
  <c r="L47" i="2"/>
  <c r="L48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K10" i="2"/>
  <c r="K11" i="2"/>
  <c r="K13" i="2"/>
  <c r="K14" i="2"/>
  <c r="K15" i="2"/>
  <c r="K16" i="2"/>
  <c r="K17" i="2"/>
  <c r="K18" i="2"/>
  <c r="K19" i="2"/>
  <c r="K20" i="2"/>
  <c r="K21" i="2"/>
  <c r="K23" i="2"/>
  <c r="K24" i="2"/>
  <c r="K25" i="2"/>
  <c r="K26" i="2"/>
  <c r="K28" i="2"/>
  <c r="K29" i="2"/>
  <c r="K30" i="2"/>
  <c r="K31" i="2"/>
  <c r="K32" i="2"/>
  <c r="K33" i="2"/>
  <c r="K34" i="2"/>
  <c r="K35" i="2"/>
  <c r="K36" i="2"/>
  <c r="K37" i="2"/>
  <c r="K39" i="2"/>
  <c r="K40" i="2"/>
  <c r="K41" i="2"/>
  <c r="K43" i="2"/>
  <c r="K44" i="2"/>
  <c r="K45" i="2"/>
  <c r="K46" i="2"/>
  <c r="K47" i="2"/>
  <c r="K48" i="2"/>
  <c r="K50" i="2"/>
  <c r="K51" i="2"/>
  <c r="K52" i="2"/>
  <c r="M52" i="2" s="1"/>
  <c r="O52" i="2" s="1"/>
  <c r="K53" i="2"/>
  <c r="K54" i="2"/>
  <c r="K55" i="2"/>
  <c r="K56" i="2"/>
  <c r="M56" i="2" s="1"/>
  <c r="K57" i="2"/>
  <c r="K58" i="2"/>
  <c r="K59" i="2"/>
  <c r="K60" i="2"/>
  <c r="K61" i="2"/>
  <c r="K62" i="2"/>
  <c r="K63" i="2"/>
  <c r="K64" i="2"/>
  <c r="M64" i="2" s="1"/>
  <c r="O64" i="2" s="1"/>
  <c r="K65" i="2"/>
  <c r="K66" i="2"/>
  <c r="K67" i="2"/>
  <c r="K68" i="2"/>
  <c r="K69" i="2"/>
  <c r="K70" i="2"/>
  <c r="K71" i="2"/>
  <c r="K72" i="2"/>
  <c r="M72" i="2" s="1"/>
  <c r="O72" i="2" s="1"/>
  <c r="K73" i="2"/>
  <c r="K74" i="2"/>
  <c r="M74" i="2" s="1"/>
  <c r="O74" i="2" s="1"/>
  <c r="K75" i="2"/>
  <c r="K76" i="2"/>
  <c r="K77" i="2"/>
  <c r="K78" i="2"/>
  <c r="K79" i="2"/>
  <c r="K80" i="2"/>
  <c r="M80" i="2" s="1"/>
  <c r="O80" i="2" s="1"/>
  <c r="K81" i="2"/>
  <c r="K82" i="2"/>
  <c r="M82" i="2" s="1"/>
  <c r="O82" i="2" s="1"/>
  <c r="K83" i="2"/>
  <c r="K84" i="2"/>
  <c r="K85" i="2"/>
  <c r="K86" i="2"/>
  <c r="K87" i="2"/>
  <c r="K88" i="2"/>
  <c r="M88" i="2" s="1"/>
  <c r="O88" i="2" s="1"/>
  <c r="K89" i="2"/>
  <c r="K90" i="2"/>
  <c r="M90" i="2" s="1"/>
  <c r="K91" i="2"/>
  <c r="K92" i="2"/>
  <c r="K93" i="2"/>
  <c r="K94" i="2"/>
  <c r="K95" i="2"/>
  <c r="K96" i="2"/>
  <c r="M96" i="2" s="1"/>
  <c r="O96" i="2" s="1"/>
  <c r="K97" i="2"/>
  <c r="K98" i="2"/>
  <c r="M98" i="2" s="1"/>
  <c r="K99" i="2"/>
  <c r="K100" i="2"/>
  <c r="K101" i="2"/>
  <c r="K102" i="2"/>
  <c r="K103" i="2"/>
  <c r="K104" i="2"/>
  <c r="M104" i="2" s="1"/>
  <c r="O104" i="2" s="1"/>
  <c r="K105" i="2"/>
  <c r="K106" i="2"/>
  <c r="K107" i="2"/>
  <c r="K108" i="2"/>
  <c r="K109" i="2"/>
  <c r="K110" i="2"/>
  <c r="M110" i="2" s="1"/>
  <c r="O110" i="2" s="1"/>
  <c r="K111" i="2"/>
  <c r="K112" i="2"/>
  <c r="M112" i="2" s="1"/>
  <c r="O112" i="2" s="1"/>
  <c r="K113" i="2"/>
  <c r="K114" i="2"/>
  <c r="M114" i="2" s="1"/>
  <c r="K115" i="2"/>
  <c r="K116" i="2"/>
  <c r="M116" i="2" s="1"/>
  <c r="O116" i="2" s="1"/>
  <c r="K117" i="2"/>
  <c r="K118" i="2"/>
  <c r="K119" i="2"/>
  <c r="K120" i="2"/>
  <c r="M120" i="2" s="1"/>
  <c r="O120" i="2" s="1"/>
  <c r="K121" i="2"/>
  <c r="K122" i="2"/>
  <c r="K123" i="2"/>
  <c r="K124" i="2"/>
  <c r="M124" i="2" s="1"/>
  <c r="O124" i="2" s="1"/>
  <c r="K125" i="2"/>
  <c r="K126" i="2"/>
  <c r="K127" i="2"/>
  <c r="K128" i="2"/>
  <c r="M128" i="2" s="1"/>
  <c r="K129" i="2"/>
  <c r="K130" i="2"/>
  <c r="M130" i="2" s="1"/>
  <c r="K131" i="2"/>
  <c r="K132" i="2"/>
  <c r="M132" i="2" s="1"/>
  <c r="O132" i="2" s="1"/>
  <c r="K133" i="2"/>
  <c r="K134" i="2"/>
  <c r="K135" i="2"/>
  <c r="P9" i="2"/>
  <c r="N9" i="2"/>
  <c r="L9" i="2"/>
  <c r="K9" i="2"/>
  <c r="BF135" i="2"/>
  <c r="BF134" i="2"/>
  <c r="BF133" i="2"/>
  <c r="BF132" i="2"/>
  <c r="BF131" i="2"/>
  <c r="BF130" i="2"/>
  <c r="BF129" i="2"/>
  <c r="BF128" i="2"/>
  <c r="BF127" i="2"/>
  <c r="BF126" i="2"/>
  <c r="BF125" i="2"/>
  <c r="BF124" i="2"/>
  <c r="BF123" i="2"/>
  <c r="BF122" i="2"/>
  <c r="BF121" i="2"/>
  <c r="BF120" i="2"/>
  <c r="BF119" i="2"/>
  <c r="BF118" i="2"/>
  <c r="BF117" i="2"/>
  <c r="BF116" i="2"/>
  <c r="BF115" i="2"/>
  <c r="BF114" i="2"/>
  <c r="BF113" i="2"/>
  <c r="BF112" i="2"/>
  <c r="BF111" i="2"/>
  <c r="BF110" i="2"/>
  <c r="BF109" i="2"/>
  <c r="BF108" i="2"/>
  <c r="BF107" i="2"/>
  <c r="BF106" i="2"/>
  <c r="BF105" i="2"/>
  <c r="BF104" i="2"/>
  <c r="BF103" i="2"/>
  <c r="BF102" i="2"/>
  <c r="BF101" i="2"/>
  <c r="BF100" i="2"/>
  <c r="BF99" i="2"/>
  <c r="BF98" i="2"/>
  <c r="BF97" i="2"/>
  <c r="BF96" i="2"/>
  <c r="BF95" i="2"/>
  <c r="BF94" i="2"/>
  <c r="BF93" i="2"/>
  <c r="BF92" i="2"/>
  <c r="BF91" i="2"/>
  <c r="BF90" i="2"/>
  <c r="BF89" i="2"/>
  <c r="BF88" i="2"/>
  <c r="BF87" i="2"/>
  <c r="BF86" i="2"/>
  <c r="BF85" i="2"/>
  <c r="BF84" i="2"/>
  <c r="BF83" i="2"/>
  <c r="BF82" i="2"/>
  <c r="BF81" i="2"/>
  <c r="BF80" i="2"/>
  <c r="BF79" i="2"/>
  <c r="BF78" i="2"/>
  <c r="BF77" i="2"/>
  <c r="BF75" i="2"/>
  <c r="BF74" i="2"/>
  <c r="BF73" i="2"/>
  <c r="BF72" i="2"/>
  <c r="BF71" i="2"/>
  <c r="BF70" i="2"/>
  <c r="BF69" i="2"/>
  <c r="BF68" i="2"/>
  <c r="BF67" i="2"/>
  <c r="BF66" i="2"/>
  <c r="BF65" i="2"/>
  <c r="BF64" i="2"/>
  <c r="BF63" i="2"/>
  <c r="BF62" i="2"/>
  <c r="BF61" i="2"/>
  <c r="BF60" i="2"/>
  <c r="BF59" i="2"/>
  <c r="BF58" i="2"/>
  <c r="BF57" i="2"/>
  <c r="BF56" i="2"/>
  <c r="BF55" i="2"/>
  <c r="BF54" i="2"/>
  <c r="BF53" i="2"/>
  <c r="BF52" i="2"/>
  <c r="BF51" i="2"/>
  <c r="BF50" i="2"/>
  <c r="BF48" i="2"/>
  <c r="BF47" i="2"/>
  <c r="BF46" i="2"/>
  <c r="BF45" i="2"/>
  <c r="BF44" i="2"/>
  <c r="BF43" i="2"/>
  <c r="BF41" i="2"/>
  <c r="BF40" i="2"/>
  <c r="BF39" i="2"/>
  <c r="BF37" i="2"/>
  <c r="BF36" i="2"/>
  <c r="BF35" i="2"/>
  <c r="BF34" i="2"/>
  <c r="BF33" i="2"/>
  <c r="BF32" i="2"/>
  <c r="BF31" i="2"/>
  <c r="BF28" i="2"/>
  <c r="BF21" i="2"/>
  <c r="BF18" i="2"/>
  <c r="BF16" i="2"/>
  <c r="AX135" i="2"/>
  <c r="AX134" i="2"/>
  <c r="AX133" i="2"/>
  <c r="AX132" i="2"/>
  <c r="AX131" i="2"/>
  <c r="AX130" i="2"/>
  <c r="AX129" i="2"/>
  <c r="AX128" i="2"/>
  <c r="AX127" i="2"/>
  <c r="AX126" i="2"/>
  <c r="AX125" i="2"/>
  <c r="AX124" i="2"/>
  <c r="AX123" i="2"/>
  <c r="AX122" i="2"/>
  <c r="AX121" i="2"/>
  <c r="AX120" i="2"/>
  <c r="AX119" i="2"/>
  <c r="AX118" i="2"/>
  <c r="AX117" i="2"/>
  <c r="AX116" i="2"/>
  <c r="AX115" i="2"/>
  <c r="AX114" i="2"/>
  <c r="AX113" i="2"/>
  <c r="AX112" i="2"/>
  <c r="AX111" i="2"/>
  <c r="AX110" i="2"/>
  <c r="AX109" i="2"/>
  <c r="AX108" i="2"/>
  <c r="AX107" i="2"/>
  <c r="AX106" i="2"/>
  <c r="AX105" i="2"/>
  <c r="AX104" i="2"/>
  <c r="AX103" i="2"/>
  <c r="AX102" i="2"/>
  <c r="AX101" i="2"/>
  <c r="AX100" i="2"/>
  <c r="AX99" i="2"/>
  <c r="AX98" i="2"/>
  <c r="AX97" i="2"/>
  <c r="AX96" i="2"/>
  <c r="AX95" i="2"/>
  <c r="AX94" i="2"/>
  <c r="AX93" i="2"/>
  <c r="AX92" i="2"/>
  <c r="AX91" i="2"/>
  <c r="AX90" i="2"/>
  <c r="AX89" i="2"/>
  <c r="AX88" i="2"/>
  <c r="AX87" i="2"/>
  <c r="AX86" i="2"/>
  <c r="AX85" i="2"/>
  <c r="AX84" i="2"/>
  <c r="AX83" i="2"/>
  <c r="AX82" i="2"/>
  <c r="AX81" i="2"/>
  <c r="AX80" i="2"/>
  <c r="AX79" i="2"/>
  <c r="AX78" i="2"/>
  <c r="AX77" i="2"/>
  <c r="AX75" i="2"/>
  <c r="AX74" i="2"/>
  <c r="AX73" i="2"/>
  <c r="AX72" i="2"/>
  <c r="AX71" i="2"/>
  <c r="AX70" i="2"/>
  <c r="AX69" i="2"/>
  <c r="AX68" i="2"/>
  <c r="AX67" i="2"/>
  <c r="AX66" i="2"/>
  <c r="AX65" i="2"/>
  <c r="AX64" i="2"/>
  <c r="AX63" i="2"/>
  <c r="AX62" i="2"/>
  <c r="AX61" i="2"/>
  <c r="AX60" i="2"/>
  <c r="AX59" i="2"/>
  <c r="AX58" i="2"/>
  <c r="AX57" i="2"/>
  <c r="AX56" i="2"/>
  <c r="AX55" i="2"/>
  <c r="AX54" i="2"/>
  <c r="AX53" i="2"/>
  <c r="AX52" i="2"/>
  <c r="AX51" i="2"/>
  <c r="AX50" i="2"/>
  <c r="AX48" i="2"/>
  <c r="AX47" i="2"/>
  <c r="AX46" i="2"/>
  <c r="AX45" i="2"/>
  <c r="AX44" i="2"/>
  <c r="AX43" i="2"/>
  <c r="AX41" i="2"/>
  <c r="AX40" i="2"/>
  <c r="AX39" i="2"/>
  <c r="AX37" i="2"/>
  <c r="AX36" i="2"/>
  <c r="AX35" i="2"/>
  <c r="AX34" i="2"/>
  <c r="AX33" i="2"/>
  <c r="AX32" i="2"/>
  <c r="AX31" i="2"/>
  <c r="AX28" i="2"/>
  <c r="AX21" i="2"/>
  <c r="AX18" i="2"/>
  <c r="AX16" i="2"/>
  <c r="AP135" i="2"/>
  <c r="AP134" i="2"/>
  <c r="AP133" i="2"/>
  <c r="AP132" i="2"/>
  <c r="AP131" i="2"/>
  <c r="AP130" i="2"/>
  <c r="AP129" i="2"/>
  <c r="AP128" i="2"/>
  <c r="AP127" i="2"/>
  <c r="AP126" i="2"/>
  <c r="AP125" i="2"/>
  <c r="AP124" i="2"/>
  <c r="AP123" i="2"/>
  <c r="AP122" i="2"/>
  <c r="AP121" i="2"/>
  <c r="AP120" i="2"/>
  <c r="AP119" i="2"/>
  <c r="AP118" i="2"/>
  <c r="AP117" i="2"/>
  <c r="AP116" i="2"/>
  <c r="AP115" i="2"/>
  <c r="AP114" i="2"/>
  <c r="AP113" i="2"/>
  <c r="AP112" i="2"/>
  <c r="AP111" i="2"/>
  <c r="AP110" i="2"/>
  <c r="AP109" i="2"/>
  <c r="AP108" i="2"/>
  <c r="AP107" i="2"/>
  <c r="AP106" i="2"/>
  <c r="AP105" i="2"/>
  <c r="AP104" i="2"/>
  <c r="AP103" i="2"/>
  <c r="AP102" i="2"/>
  <c r="AP101" i="2"/>
  <c r="AP100" i="2"/>
  <c r="AP99" i="2"/>
  <c r="AP98" i="2"/>
  <c r="AP97" i="2"/>
  <c r="AP96" i="2"/>
  <c r="AP95" i="2"/>
  <c r="AP94" i="2"/>
  <c r="AP93" i="2"/>
  <c r="AP92" i="2"/>
  <c r="AP91" i="2"/>
  <c r="AP90" i="2"/>
  <c r="AP89" i="2"/>
  <c r="AP88" i="2"/>
  <c r="AP87" i="2"/>
  <c r="AP86" i="2"/>
  <c r="AP85" i="2"/>
  <c r="AP84" i="2"/>
  <c r="AP83" i="2"/>
  <c r="AP82" i="2"/>
  <c r="AP81" i="2"/>
  <c r="AP80" i="2"/>
  <c r="AP79" i="2"/>
  <c r="AP78" i="2"/>
  <c r="AP77" i="2"/>
  <c r="AP75" i="2"/>
  <c r="AP74" i="2"/>
  <c r="AP73" i="2"/>
  <c r="AP72" i="2"/>
  <c r="AP71" i="2"/>
  <c r="AP70" i="2"/>
  <c r="AP69" i="2"/>
  <c r="AP68" i="2"/>
  <c r="AP67" i="2"/>
  <c r="AP66" i="2"/>
  <c r="AP65" i="2"/>
  <c r="AP64" i="2"/>
  <c r="AP63" i="2"/>
  <c r="AP62" i="2"/>
  <c r="AP61" i="2"/>
  <c r="AP60" i="2"/>
  <c r="AP59" i="2"/>
  <c r="AP58" i="2"/>
  <c r="AP57" i="2"/>
  <c r="AP56" i="2"/>
  <c r="AP55" i="2"/>
  <c r="AP54" i="2"/>
  <c r="AP53" i="2"/>
  <c r="AP52" i="2"/>
  <c r="AP51" i="2"/>
  <c r="AP50" i="2"/>
  <c r="AP48" i="2"/>
  <c r="AP47" i="2"/>
  <c r="AP46" i="2"/>
  <c r="AP45" i="2"/>
  <c r="AP44" i="2"/>
  <c r="AP43" i="2"/>
  <c r="AP41" i="2"/>
  <c r="AP40" i="2"/>
  <c r="AP39" i="2"/>
  <c r="AP37" i="2"/>
  <c r="AP36" i="2"/>
  <c r="AP35" i="2"/>
  <c r="AP34" i="2"/>
  <c r="AP33" i="2"/>
  <c r="AP32" i="2"/>
  <c r="AP31" i="2"/>
  <c r="AP28" i="2"/>
  <c r="AP21" i="2"/>
  <c r="AP18" i="2"/>
  <c r="AP16" i="2"/>
  <c r="AH135" i="2"/>
  <c r="AH134" i="2"/>
  <c r="AH133" i="2"/>
  <c r="AH132" i="2"/>
  <c r="AH131" i="2"/>
  <c r="AH130" i="2"/>
  <c r="AH129" i="2"/>
  <c r="AH128" i="2"/>
  <c r="AH127" i="2"/>
  <c r="AH126" i="2"/>
  <c r="AH125" i="2"/>
  <c r="AH124" i="2"/>
  <c r="AH123" i="2"/>
  <c r="AH122" i="2"/>
  <c r="AH121" i="2"/>
  <c r="AH120" i="2"/>
  <c r="AH119" i="2"/>
  <c r="AH118" i="2"/>
  <c r="AH117" i="2"/>
  <c r="AH116" i="2"/>
  <c r="AH115" i="2"/>
  <c r="AH114" i="2"/>
  <c r="AH113" i="2"/>
  <c r="AH112" i="2"/>
  <c r="AH111" i="2"/>
  <c r="AH110" i="2"/>
  <c r="AH109" i="2"/>
  <c r="AH108" i="2"/>
  <c r="AH107" i="2"/>
  <c r="AH106" i="2"/>
  <c r="AH105" i="2"/>
  <c r="AH104" i="2"/>
  <c r="AH103" i="2"/>
  <c r="AH102" i="2"/>
  <c r="AH101" i="2"/>
  <c r="AH100" i="2"/>
  <c r="AH99" i="2"/>
  <c r="AH98" i="2"/>
  <c r="AH97" i="2"/>
  <c r="AH96" i="2"/>
  <c r="AH95" i="2"/>
  <c r="AH94" i="2"/>
  <c r="AH93" i="2"/>
  <c r="AH92" i="2"/>
  <c r="AH91" i="2"/>
  <c r="AH90" i="2"/>
  <c r="AH89" i="2"/>
  <c r="AH88" i="2"/>
  <c r="AH87" i="2"/>
  <c r="AH86" i="2"/>
  <c r="AH85" i="2"/>
  <c r="AH84" i="2"/>
  <c r="AH83" i="2"/>
  <c r="AH82" i="2"/>
  <c r="AH81" i="2"/>
  <c r="AH80" i="2"/>
  <c r="AH79" i="2"/>
  <c r="AH78" i="2"/>
  <c r="AH77" i="2"/>
  <c r="AH75" i="2"/>
  <c r="AH74" i="2"/>
  <c r="AH73" i="2"/>
  <c r="AH72" i="2"/>
  <c r="AH71" i="2"/>
  <c r="AH70" i="2"/>
  <c r="AH69" i="2"/>
  <c r="AH68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H52" i="2"/>
  <c r="AH51" i="2"/>
  <c r="AH50" i="2"/>
  <c r="AH48" i="2"/>
  <c r="AH47" i="2"/>
  <c r="AH46" i="2"/>
  <c r="AH45" i="2"/>
  <c r="AH44" i="2"/>
  <c r="AH43" i="2"/>
  <c r="AH41" i="2"/>
  <c r="AH40" i="2"/>
  <c r="AH39" i="2"/>
  <c r="AH37" i="2"/>
  <c r="AH36" i="2"/>
  <c r="AH35" i="2"/>
  <c r="AH34" i="2"/>
  <c r="AH33" i="2"/>
  <c r="AH32" i="2"/>
  <c r="AH31" i="2"/>
  <c r="AH28" i="2"/>
  <c r="AH21" i="2"/>
  <c r="AH18" i="2"/>
  <c r="AH1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/>
  <c r="Z97" i="2"/>
  <c r="Z96" i="2"/>
  <c r="Z95" i="2"/>
  <c r="Z94" i="2"/>
  <c r="Z93" i="2"/>
  <c r="Z92" i="2"/>
  <c r="Z91" i="2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8" i="2"/>
  <c r="Z47" i="2"/>
  <c r="Z46" i="2"/>
  <c r="Z45" i="2"/>
  <c r="Z44" i="2"/>
  <c r="Z43" i="2"/>
  <c r="Z41" i="2"/>
  <c r="Z40" i="2"/>
  <c r="Z39" i="2"/>
  <c r="Z37" i="2"/>
  <c r="Z36" i="2"/>
  <c r="Z35" i="2"/>
  <c r="Z34" i="2"/>
  <c r="Z33" i="2"/>
  <c r="Z32" i="2"/>
  <c r="Z31" i="2"/>
  <c r="Z28" i="2"/>
  <c r="Z21" i="2"/>
  <c r="Z18" i="2"/>
  <c r="Z1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8" i="2"/>
  <c r="R47" i="2"/>
  <c r="R46" i="2"/>
  <c r="R45" i="2"/>
  <c r="R44" i="2"/>
  <c r="R43" i="2"/>
  <c r="R41" i="2"/>
  <c r="R40" i="2"/>
  <c r="R39" i="2"/>
  <c r="R37" i="2"/>
  <c r="R36" i="2"/>
  <c r="R35" i="2"/>
  <c r="R34" i="2"/>
  <c r="R33" i="2"/>
  <c r="R32" i="2"/>
  <c r="R31" i="2"/>
  <c r="R28" i="2"/>
  <c r="R21" i="2"/>
  <c r="R18" i="2"/>
  <c r="R16" i="2"/>
  <c r="C10" i="2"/>
  <c r="C11" i="2"/>
  <c r="C13" i="2"/>
  <c r="C14" i="2"/>
  <c r="C15" i="2"/>
  <c r="C16" i="2"/>
  <c r="C17" i="2"/>
  <c r="C18" i="2"/>
  <c r="C19" i="2"/>
  <c r="C20" i="2"/>
  <c r="C21" i="2"/>
  <c r="C23" i="2"/>
  <c r="C24" i="2"/>
  <c r="C25" i="2"/>
  <c r="C26" i="2"/>
  <c r="C28" i="2"/>
  <c r="C29" i="2"/>
  <c r="C30" i="2"/>
  <c r="C31" i="2"/>
  <c r="C32" i="2"/>
  <c r="C33" i="2"/>
  <c r="C34" i="2"/>
  <c r="C35" i="2"/>
  <c r="C36" i="2"/>
  <c r="C37" i="2"/>
  <c r="C39" i="2"/>
  <c r="C40" i="2"/>
  <c r="C41" i="2"/>
  <c r="C43" i="2"/>
  <c r="C44" i="2"/>
  <c r="C45" i="2"/>
  <c r="C46" i="2"/>
  <c r="C47" i="2"/>
  <c r="C48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D10" i="2"/>
  <c r="E10" i="2" s="1"/>
  <c r="D11" i="2"/>
  <c r="D13" i="2"/>
  <c r="E13" i="2" s="1"/>
  <c r="D14" i="2"/>
  <c r="D15" i="2"/>
  <c r="E15" i="2" s="1"/>
  <c r="D16" i="2"/>
  <c r="D17" i="2"/>
  <c r="E17" i="2" s="1"/>
  <c r="D18" i="2"/>
  <c r="E18" i="2" s="1"/>
  <c r="D19" i="2"/>
  <c r="D20" i="2"/>
  <c r="D21" i="2"/>
  <c r="E21" i="2" s="1"/>
  <c r="D23" i="2"/>
  <c r="D24" i="2"/>
  <c r="D25" i="2"/>
  <c r="D26" i="2"/>
  <c r="E26" i="2" s="1"/>
  <c r="D28" i="2"/>
  <c r="E28" i="2" s="1"/>
  <c r="D29" i="2"/>
  <c r="E29" i="2" s="1"/>
  <c r="D30" i="2"/>
  <c r="D31" i="2"/>
  <c r="E31" i="2" s="1"/>
  <c r="D32" i="2"/>
  <c r="D33" i="2"/>
  <c r="E33" i="2" s="1"/>
  <c r="D34" i="2"/>
  <c r="D35" i="2"/>
  <c r="E35" i="2" s="1"/>
  <c r="D36" i="2"/>
  <c r="D37" i="2"/>
  <c r="E37" i="2" s="1"/>
  <c r="D39" i="2"/>
  <c r="D40" i="2"/>
  <c r="E40" i="2" s="1"/>
  <c r="D41" i="2"/>
  <c r="D43" i="2"/>
  <c r="E43" i="2" s="1"/>
  <c r="D44" i="2"/>
  <c r="D45" i="2"/>
  <c r="E45" i="2" s="1"/>
  <c r="D46" i="2"/>
  <c r="D47" i="2"/>
  <c r="E47" i="2" s="1"/>
  <c r="D48" i="2"/>
  <c r="E48" i="2" s="1"/>
  <c r="D50" i="2"/>
  <c r="D51" i="2"/>
  <c r="E51" i="2" s="1"/>
  <c r="D52" i="2"/>
  <c r="D53" i="2"/>
  <c r="E53" i="2" s="1"/>
  <c r="D54" i="2"/>
  <c r="D55" i="2"/>
  <c r="E55" i="2" s="1"/>
  <c r="D56" i="2"/>
  <c r="E56" i="2" s="1"/>
  <c r="D57" i="2"/>
  <c r="E57" i="2" s="1"/>
  <c r="D58" i="2"/>
  <c r="D59" i="2"/>
  <c r="E59" i="2" s="1"/>
  <c r="D60" i="2"/>
  <c r="E60" i="2" s="1"/>
  <c r="D61" i="2"/>
  <c r="E61" i="2" s="1"/>
  <c r="D62" i="2"/>
  <c r="D63" i="2"/>
  <c r="E63" i="2" s="1"/>
  <c r="D64" i="2"/>
  <c r="E64" i="2" s="1"/>
  <c r="D65" i="2"/>
  <c r="E65" i="2" s="1"/>
  <c r="D66" i="2"/>
  <c r="D67" i="2"/>
  <c r="E67" i="2" s="1"/>
  <c r="D68" i="2"/>
  <c r="D69" i="2"/>
  <c r="E69" i="2" s="1"/>
  <c r="D70" i="2"/>
  <c r="D71" i="2"/>
  <c r="E71" i="2" s="1"/>
  <c r="D72" i="2"/>
  <c r="E72" i="2" s="1"/>
  <c r="D73" i="2"/>
  <c r="E73" i="2" s="1"/>
  <c r="D74" i="2"/>
  <c r="D75" i="2"/>
  <c r="E75" i="2" s="1"/>
  <c r="D76" i="2"/>
  <c r="D77" i="2"/>
  <c r="E77" i="2" s="1"/>
  <c r="D78" i="2"/>
  <c r="D79" i="2"/>
  <c r="E79" i="2" s="1"/>
  <c r="D80" i="2"/>
  <c r="E80" i="2" s="1"/>
  <c r="D81" i="2"/>
  <c r="E81" i="2" s="1"/>
  <c r="D82" i="2"/>
  <c r="D83" i="2"/>
  <c r="D84" i="2"/>
  <c r="D85" i="2"/>
  <c r="E85" i="2" s="1"/>
  <c r="D86" i="2"/>
  <c r="D87" i="2"/>
  <c r="E87" i="2" s="1"/>
  <c r="D88" i="2"/>
  <c r="E88" i="2" s="1"/>
  <c r="D89" i="2"/>
  <c r="E89" i="2" s="1"/>
  <c r="D90" i="2"/>
  <c r="D91" i="2"/>
  <c r="D92" i="2"/>
  <c r="E92" i="2" s="1"/>
  <c r="D93" i="2"/>
  <c r="E93" i="2" s="1"/>
  <c r="D94" i="2"/>
  <c r="D95" i="2"/>
  <c r="E95" i="2" s="1"/>
  <c r="D96" i="2"/>
  <c r="E96" i="2" s="1"/>
  <c r="D97" i="2"/>
  <c r="E97" i="2" s="1"/>
  <c r="D98" i="2"/>
  <c r="D99" i="2"/>
  <c r="E99" i="2" s="1"/>
  <c r="D100" i="2"/>
  <c r="D101" i="2"/>
  <c r="E101" i="2" s="1"/>
  <c r="D102" i="2"/>
  <c r="D103" i="2"/>
  <c r="E103" i="2" s="1"/>
  <c r="D104" i="2"/>
  <c r="E104" i="2" s="1"/>
  <c r="D105" i="2"/>
  <c r="E105" i="2" s="1"/>
  <c r="D106" i="2"/>
  <c r="D107" i="2"/>
  <c r="E107" i="2" s="1"/>
  <c r="D108" i="2"/>
  <c r="E108" i="2" s="1"/>
  <c r="D109" i="2"/>
  <c r="E109" i="2" s="1"/>
  <c r="D110" i="2"/>
  <c r="D111" i="2"/>
  <c r="E111" i="2" s="1"/>
  <c r="D112" i="2"/>
  <c r="E112" i="2" s="1"/>
  <c r="D113" i="2"/>
  <c r="E113" i="2" s="1"/>
  <c r="D114" i="2"/>
  <c r="D115" i="2"/>
  <c r="E115" i="2" s="1"/>
  <c r="D116" i="2"/>
  <c r="D117" i="2"/>
  <c r="D118" i="2"/>
  <c r="D119" i="2"/>
  <c r="E119" i="2" s="1"/>
  <c r="D120" i="2"/>
  <c r="E120" i="2" s="1"/>
  <c r="D121" i="2"/>
  <c r="E121" i="2" s="1"/>
  <c r="D122" i="2"/>
  <c r="D123" i="2"/>
  <c r="E123" i="2" s="1"/>
  <c r="D124" i="2"/>
  <c r="E124" i="2" s="1"/>
  <c r="D125" i="2"/>
  <c r="E125" i="2" s="1"/>
  <c r="D126" i="2"/>
  <c r="D127" i="2"/>
  <c r="E127" i="2" s="1"/>
  <c r="D128" i="2"/>
  <c r="E128" i="2" s="1"/>
  <c r="D129" i="2"/>
  <c r="E129" i="2" s="1"/>
  <c r="D130" i="2"/>
  <c r="D131" i="2"/>
  <c r="E131" i="2" s="1"/>
  <c r="D132" i="2"/>
  <c r="D133" i="2"/>
  <c r="E133" i="2" s="1"/>
  <c r="D134" i="2"/>
  <c r="D135" i="2"/>
  <c r="E135" i="2" s="1"/>
  <c r="F10" i="2"/>
  <c r="F11" i="2"/>
  <c r="F13" i="2"/>
  <c r="F14" i="2"/>
  <c r="F15" i="2"/>
  <c r="F16" i="2"/>
  <c r="F17" i="2"/>
  <c r="F18" i="2"/>
  <c r="F19" i="2"/>
  <c r="F20" i="2"/>
  <c r="F21" i="2"/>
  <c r="F23" i="2"/>
  <c r="F24" i="2"/>
  <c r="F25" i="2"/>
  <c r="F26" i="2"/>
  <c r="F28" i="2"/>
  <c r="F29" i="2"/>
  <c r="F30" i="2"/>
  <c r="F31" i="2"/>
  <c r="F32" i="2"/>
  <c r="F33" i="2"/>
  <c r="F34" i="2"/>
  <c r="F35" i="2"/>
  <c r="F36" i="2"/>
  <c r="F37" i="2"/>
  <c r="F39" i="2"/>
  <c r="F40" i="2"/>
  <c r="F41" i="2"/>
  <c r="F43" i="2"/>
  <c r="F44" i="2"/>
  <c r="F45" i="2"/>
  <c r="F46" i="2"/>
  <c r="F47" i="2"/>
  <c r="F48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H9" i="2"/>
  <c r="F9" i="2"/>
  <c r="AE112" i="2" l="1"/>
  <c r="AE104" i="2"/>
  <c r="AE80" i="2"/>
  <c r="O128" i="2"/>
  <c r="AE128" i="2"/>
  <c r="O90" i="2"/>
  <c r="O98" i="2"/>
  <c r="O130" i="2"/>
  <c r="O114" i="2"/>
  <c r="M126" i="2"/>
  <c r="O126" i="2" s="1"/>
  <c r="M70" i="2"/>
  <c r="O70" i="2" s="1"/>
  <c r="M134" i="2"/>
  <c r="M86" i="2"/>
  <c r="O86" i="2" s="1"/>
  <c r="M102" i="2"/>
  <c r="M26" i="2"/>
  <c r="O26" i="2" s="1"/>
  <c r="Q26" i="2" s="1"/>
  <c r="AC78" i="2"/>
  <c r="AE78" i="2" s="1"/>
  <c r="AC102" i="2"/>
  <c r="AE102" i="2" s="1"/>
  <c r="M62" i="2"/>
  <c r="O62" i="2" s="1"/>
  <c r="AC98" i="2"/>
  <c r="AE98" i="2" s="1"/>
  <c r="M11" i="2"/>
  <c r="O11" i="2" s="1"/>
  <c r="AC66" i="2"/>
  <c r="AE66" i="2" s="1"/>
  <c r="M40" i="2"/>
  <c r="O40" i="2" s="1"/>
  <c r="AC40" i="2"/>
  <c r="AE40" i="2" s="1"/>
  <c r="M50" i="2"/>
  <c r="O50" i="2" s="1"/>
  <c r="M58" i="2"/>
  <c r="O58" i="2" s="1"/>
  <c r="M66" i="2"/>
  <c r="O66" i="2" s="1"/>
  <c r="AC106" i="2"/>
  <c r="AE106" i="2" s="1"/>
  <c r="AC130" i="2"/>
  <c r="AE130" i="2" s="1"/>
  <c r="AC122" i="2"/>
  <c r="AE122" i="2" s="1"/>
  <c r="AC74" i="2"/>
  <c r="AE74" i="2" s="1"/>
  <c r="M106" i="2"/>
  <c r="O106" i="2" s="1"/>
  <c r="AC50" i="2"/>
  <c r="AE50" i="2" s="1"/>
  <c r="AC90" i="2"/>
  <c r="AE90" i="2" s="1"/>
  <c r="AC82" i="2"/>
  <c r="AE82" i="2" s="1"/>
  <c r="M122" i="2"/>
  <c r="O122" i="2" s="1"/>
  <c r="AC134" i="2"/>
  <c r="AE134" i="2" s="1"/>
  <c r="M94" i="2"/>
  <c r="O94" i="2" s="1"/>
  <c r="AC86" i="2"/>
  <c r="AE86" i="2" s="1"/>
  <c r="M54" i="2"/>
  <c r="O54" i="2" s="1"/>
  <c r="AC118" i="2"/>
  <c r="AE118" i="2" s="1"/>
  <c r="AC54" i="2"/>
  <c r="AE54" i="2" s="1"/>
  <c r="AC62" i="2"/>
  <c r="AE62" i="2" s="1"/>
  <c r="AC126" i="2"/>
  <c r="AE126" i="2" s="1"/>
  <c r="AC26" i="2"/>
  <c r="AE26" i="2" s="1"/>
  <c r="AG26" i="2" s="1"/>
  <c r="M78" i="2"/>
  <c r="O78" i="2" s="1"/>
  <c r="AC94" i="2"/>
  <c r="AE94" i="2" s="1"/>
  <c r="AC110" i="2"/>
  <c r="AE110" i="2" s="1"/>
  <c r="AC70" i="2"/>
  <c r="AE70" i="2" s="1"/>
  <c r="M118" i="2"/>
  <c r="O118" i="2" s="1"/>
  <c r="E83" i="2"/>
  <c r="G83" i="2" s="1"/>
  <c r="E91" i="2"/>
  <c r="G91" i="2" s="1"/>
  <c r="E19" i="2"/>
  <c r="G19" i="2" s="1"/>
  <c r="E76" i="2"/>
  <c r="M84" i="2"/>
  <c r="O84" i="2" s="1"/>
  <c r="M108" i="2"/>
  <c r="O108" i="2" s="1"/>
  <c r="AC124" i="2"/>
  <c r="AE124" i="2" s="1"/>
  <c r="M92" i="2"/>
  <c r="O92" i="2" s="1"/>
  <c r="AC108" i="2"/>
  <c r="AE108" i="2" s="1"/>
  <c r="AC24" i="2"/>
  <c r="AE24" i="2" s="1"/>
  <c r="AG24" i="2" s="1"/>
  <c r="AC84" i="2"/>
  <c r="AE84" i="2" s="1"/>
  <c r="AC68" i="2"/>
  <c r="AE68" i="2" s="1"/>
  <c r="M76" i="2"/>
  <c r="O76" i="2" s="1"/>
  <c r="Q76" i="2" s="1"/>
  <c r="M60" i="2"/>
  <c r="O60" i="2" s="1"/>
  <c r="M100" i="2"/>
  <c r="O100" i="2" s="1"/>
  <c r="AC52" i="2"/>
  <c r="AE52" i="2" s="1"/>
  <c r="AC132" i="2"/>
  <c r="AE132" i="2" s="1"/>
  <c r="AC100" i="2"/>
  <c r="AE100" i="2" s="1"/>
  <c r="AC116" i="2"/>
  <c r="AE116" i="2" s="1"/>
  <c r="AC92" i="2"/>
  <c r="AE92" i="2" s="1"/>
  <c r="M24" i="2"/>
  <c r="O24" i="2" s="1"/>
  <c r="Q24" i="2" s="1"/>
  <c r="M68" i="2"/>
  <c r="O68" i="2" s="1"/>
  <c r="E24" i="2"/>
  <c r="G24" i="2" s="1"/>
  <c r="U9" i="2"/>
  <c r="W9" i="2" s="1"/>
  <c r="Y9" i="2" s="1"/>
  <c r="AS107" i="2"/>
  <c r="AU107" i="2" s="1"/>
  <c r="BA133" i="2"/>
  <c r="BC133" i="2" s="1"/>
  <c r="BA36" i="2"/>
  <c r="BC36" i="2" s="1"/>
  <c r="E132" i="2"/>
  <c r="G132" i="2" s="1"/>
  <c r="E116" i="2"/>
  <c r="G116" i="2" s="1"/>
  <c r="E100" i="2"/>
  <c r="G100" i="2" s="1"/>
  <c r="E84" i="2"/>
  <c r="G84" i="2" s="1"/>
  <c r="E68" i="2"/>
  <c r="G68" i="2" s="1"/>
  <c r="E52" i="2"/>
  <c r="G52" i="2" s="1"/>
  <c r="E36" i="2"/>
  <c r="G36" i="2" s="1"/>
  <c r="E117" i="2"/>
  <c r="G117" i="2" s="1"/>
  <c r="O56" i="2"/>
  <c r="O102" i="2"/>
  <c r="O134" i="2"/>
  <c r="G48" i="2"/>
  <c r="AK128" i="2"/>
  <c r="AM128" i="2" s="1"/>
  <c r="G28" i="2"/>
  <c r="G18" i="2"/>
  <c r="AC9" i="2"/>
  <c r="AE9" i="2" s="1"/>
  <c r="AG9" i="2" s="1"/>
  <c r="AS9" i="2"/>
  <c r="AU9" i="2" s="1"/>
  <c r="AW9" i="2" s="1"/>
  <c r="U86" i="2"/>
  <c r="W86" i="2" s="1"/>
  <c r="U68" i="2"/>
  <c r="W68" i="2" s="1"/>
  <c r="M48" i="2"/>
  <c r="O48" i="2" s="1"/>
  <c r="M46" i="2"/>
  <c r="O46" i="2" s="1"/>
  <c r="M44" i="2"/>
  <c r="O44" i="2" s="1"/>
  <c r="M41" i="2"/>
  <c r="O41" i="2" s="1"/>
  <c r="M39" i="2"/>
  <c r="O39" i="2" s="1"/>
  <c r="M36" i="2"/>
  <c r="O36" i="2" s="1"/>
  <c r="M34" i="2"/>
  <c r="O34" i="2" s="1"/>
  <c r="M32" i="2"/>
  <c r="O32" i="2" s="1"/>
  <c r="M30" i="2"/>
  <c r="O30" i="2" s="1"/>
  <c r="Q30" i="2" s="1"/>
  <c r="R30" i="2" s="1"/>
  <c r="M28" i="2"/>
  <c r="O28" i="2" s="1"/>
  <c r="M20" i="2"/>
  <c r="O20" i="2" s="1"/>
  <c r="Q20" i="2" s="1"/>
  <c r="M18" i="2"/>
  <c r="O18" i="2" s="1"/>
  <c r="M16" i="2"/>
  <c r="O16" i="2" s="1"/>
  <c r="M14" i="2"/>
  <c r="O14" i="2" s="1"/>
  <c r="Q14" i="2" s="1"/>
  <c r="U134" i="2"/>
  <c r="W134" i="2" s="1"/>
  <c r="U132" i="2"/>
  <c r="W132" i="2" s="1"/>
  <c r="U130" i="2"/>
  <c r="W130" i="2" s="1"/>
  <c r="U128" i="2"/>
  <c r="W128" i="2" s="1"/>
  <c r="U126" i="2"/>
  <c r="W126" i="2" s="1"/>
  <c r="U124" i="2"/>
  <c r="W124" i="2" s="1"/>
  <c r="U122" i="2"/>
  <c r="W122" i="2" s="1"/>
  <c r="U120" i="2"/>
  <c r="W120" i="2" s="1"/>
  <c r="U118" i="2"/>
  <c r="W118" i="2" s="1"/>
  <c r="U116" i="2"/>
  <c r="W116" i="2" s="1"/>
  <c r="U114" i="2"/>
  <c r="W114" i="2" s="1"/>
  <c r="U112" i="2"/>
  <c r="W112" i="2" s="1"/>
  <c r="U110" i="2"/>
  <c r="W110" i="2" s="1"/>
  <c r="U108" i="2"/>
  <c r="W108" i="2" s="1"/>
  <c r="U106" i="2"/>
  <c r="W106" i="2" s="1"/>
  <c r="U104" i="2"/>
  <c r="W104" i="2" s="1"/>
  <c r="U102" i="2"/>
  <c r="W102" i="2" s="1"/>
  <c r="U100" i="2"/>
  <c r="W100" i="2" s="1"/>
  <c r="U98" i="2"/>
  <c r="W98" i="2" s="1"/>
  <c r="U96" i="2"/>
  <c r="W96" i="2" s="1"/>
  <c r="U94" i="2"/>
  <c r="W94" i="2" s="1"/>
  <c r="U92" i="2"/>
  <c r="W92" i="2" s="1"/>
  <c r="U90" i="2"/>
  <c r="W90" i="2" s="1"/>
  <c r="U88" i="2"/>
  <c r="W88" i="2" s="1"/>
  <c r="U84" i="2"/>
  <c r="W84" i="2" s="1"/>
  <c r="U82" i="2"/>
  <c r="W82" i="2" s="1"/>
  <c r="U80" i="2"/>
  <c r="W80" i="2" s="1"/>
  <c r="U78" i="2"/>
  <c r="W78" i="2" s="1"/>
  <c r="U76" i="2"/>
  <c r="W76" i="2" s="1"/>
  <c r="Y76" i="2" s="1"/>
  <c r="U74" i="2"/>
  <c r="W74" i="2" s="1"/>
  <c r="U72" i="2"/>
  <c r="W72" i="2" s="1"/>
  <c r="U70" i="2"/>
  <c r="W70" i="2" s="1"/>
  <c r="U66" i="2"/>
  <c r="W66" i="2" s="1"/>
  <c r="U64" i="2"/>
  <c r="W64" i="2" s="1"/>
  <c r="U62" i="2"/>
  <c r="W62" i="2" s="1"/>
  <c r="U60" i="2"/>
  <c r="W60" i="2" s="1"/>
  <c r="U58" i="2"/>
  <c r="W58" i="2" s="1"/>
  <c r="U56" i="2"/>
  <c r="W56" i="2" s="1"/>
  <c r="U54" i="2"/>
  <c r="W54" i="2" s="1"/>
  <c r="U52" i="2"/>
  <c r="W52" i="2" s="1"/>
  <c r="U50" i="2"/>
  <c r="W50" i="2" s="1"/>
  <c r="U48" i="2"/>
  <c r="W48" i="2" s="1"/>
  <c r="U46" i="2"/>
  <c r="W46" i="2" s="1"/>
  <c r="U44" i="2"/>
  <c r="W44" i="2" s="1"/>
  <c r="U41" i="2"/>
  <c r="W41" i="2" s="1"/>
  <c r="U39" i="2"/>
  <c r="W39" i="2" s="1"/>
  <c r="U36" i="2"/>
  <c r="W36" i="2" s="1"/>
  <c r="U34" i="2"/>
  <c r="W34" i="2" s="1"/>
  <c r="U32" i="2"/>
  <c r="W32" i="2" s="1"/>
  <c r="U30" i="2"/>
  <c r="W30" i="2" s="1"/>
  <c r="Y30" i="2" s="1"/>
  <c r="Z30" i="2" s="1"/>
  <c r="U28" i="2"/>
  <c r="W28" i="2" s="1"/>
  <c r="U24" i="2"/>
  <c r="W24" i="2" s="1"/>
  <c r="Y24" i="2" s="1"/>
  <c r="U20" i="2"/>
  <c r="W20" i="2" s="1"/>
  <c r="Y20" i="2" s="1"/>
  <c r="U18" i="2"/>
  <c r="W18" i="2" s="1"/>
  <c r="U16" i="2"/>
  <c r="W16" i="2" s="1"/>
  <c r="U14" i="2"/>
  <c r="W14" i="2" s="1"/>
  <c r="Y14" i="2" s="1"/>
  <c r="U11" i="2"/>
  <c r="W11" i="2" s="1"/>
  <c r="Y11" i="2" s="1"/>
  <c r="AC48" i="2"/>
  <c r="AE48" i="2" s="1"/>
  <c r="AC32" i="2"/>
  <c r="AE32" i="2" s="1"/>
  <c r="AC30" i="2"/>
  <c r="AE30" i="2" s="1"/>
  <c r="AG30" i="2" s="1"/>
  <c r="AH30" i="2" s="1"/>
  <c r="AC28" i="2"/>
  <c r="AE28" i="2" s="1"/>
  <c r="AC20" i="2"/>
  <c r="AE20" i="2" s="1"/>
  <c r="AG20" i="2" s="1"/>
  <c r="AC18" i="2"/>
  <c r="AE18" i="2" s="1"/>
  <c r="AC16" i="2"/>
  <c r="AE16" i="2" s="1"/>
  <c r="AK135" i="2"/>
  <c r="AM135" i="2" s="1"/>
  <c r="AK134" i="2"/>
  <c r="AM134" i="2" s="1"/>
  <c r="AK133" i="2"/>
  <c r="AM133" i="2" s="1"/>
  <c r="AK132" i="2"/>
  <c r="AM132" i="2" s="1"/>
  <c r="AK131" i="2"/>
  <c r="AM131" i="2" s="1"/>
  <c r="AK130" i="2"/>
  <c r="AM130" i="2" s="1"/>
  <c r="AK129" i="2"/>
  <c r="AM129" i="2" s="1"/>
  <c r="AK127" i="2"/>
  <c r="AM127" i="2" s="1"/>
  <c r="AK126" i="2"/>
  <c r="AM126" i="2" s="1"/>
  <c r="AK125" i="2"/>
  <c r="AM125" i="2" s="1"/>
  <c r="AK124" i="2"/>
  <c r="AM124" i="2" s="1"/>
  <c r="AK123" i="2"/>
  <c r="AM123" i="2" s="1"/>
  <c r="AK122" i="2"/>
  <c r="AM122" i="2" s="1"/>
  <c r="AK121" i="2"/>
  <c r="AM121" i="2" s="1"/>
  <c r="AK120" i="2"/>
  <c r="AM120" i="2" s="1"/>
  <c r="AK119" i="2"/>
  <c r="AM119" i="2" s="1"/>
  <c r="AK118" i="2"/>
  <c r="AM118" i="2" s="1"/>
  <c r="AK117" i="2"/>
  <c r="AM117" i="2" s="1"/>
  <c r="AK116" i="2"/>
  <c r="AM116" i="2" s="1"/>
  <c r="AK115" i="2"/>
  <c r="AM115" i="2" s="1"/>
  <c r="AK114" i="2"/>
  <c r="AM114" i="2" s="1"/>
  <c r="AK113" i="2"/>
  <c r="AM113" i="2" s="1"/>
  <c r="AK112" i="2"/>
  <c r="AM112" i="2" s="1"/>
  <c r="AK111" i="2"/>
  <c r="AM111" i="2" s="1"/>
  <c r="AK110" i="2"/>
  <c r="AM110" i="2" s="1"/>
  <c r="AK109" i="2"/>
  <c r="AM109" i="2" s="1"/>
  <c r="AK108" i="2"/>
  <c r="AM108" i="2" s="1"/>
  <c r="AK107" i="2"/>
  <c r="AM107" i="2" s="1"/>
  <c r="AK106" i="2"/>
  <c r="AM106" i="2" s="1"/>
  <c r="AK105" i="2"/>
  <c r="AM105" i="2" s="1"/>
  <c r="AK104" i="2"/>
  <c r="AM104" i="2" s="1"/>
  <c r="AK103" i="2"/>
  <c r="AM103" i="2" s="1"/>
  <c r="AK102" i="2"/>
  <c r="AM102" i="2" s="1"/>
  <c r="AK101" i="2"/>
  <c r="AM101" i="2" s="1"/>
  <c r="AK100" i="2"/>
  <c r="AM100" i="2" s="1"/>
  <c r="AK99" i="2"/>
  <c r="AM99" i="2" s="1"/>
  <c r="AK98" i="2"/>
  <c r="AM98" i="2" s="1"/>
  <c r="AK97" i="2"/>
  <c r="AM97" i="2" s="1"/>
  <c r="AK96" i="2"/>
  <c r="AM96" i="2" s="1"/>
  <c r="AK95" i="2"/>
  <c r="AM95" i="2" s="1"/>
  <c r="AK94" i="2"/>
  <c r="AM94" i="2" s="1"/>
  <c r="AK93" i="2"/>
  <c r="AM93" i="2" s="1"/>
  <c r="AK92" i="2"/>
  <c r="AM92" i="2" s="1"/>
  <c r="AK91" i="2"/>
  <c r="AM91" i="2" s="1"/>
  <c r="AK90" i="2"/>
  <c r="AM90" i="2" s="1"/>
  <c r="AK89" i="2"/>
  <c r="AM89" i="2" s="1"/>
  <c r="AK88" i="2"/>
  <c r="AM88" i="2" s="1"/>
  <c r="AK87" i="2"/>
  <c r="AM87" i="2" s="1"/>
  <c r="AK86" i="2"/>
  <c r="AM86" i="2" s="1"/>
  <c r="AK85" i="2"/>
  <c r="AM85" i="2" s="1"/>
  <c r="AK84" i="2"/>
  <c r="AM84" i="2" s="1"/>
  <c r="AK83" i="2"/>
  <c r="AM83" i="2" s="1"/>
  <c r="AK82" i="2"/>
  <c r="AM82" i="2" s="1"/>
  <c r="AK81" i="2"/>
  <c r="AM81" i="2" s="1"/>
  <c r="AK80" i="2"/>
  <c r="AM80" i="2" s="1"/>
  <c r="AK79" i="2"/>
  <c r="AM79" i="2" s="1"/>
  <c r="AK78" i="2"/>
  <c r="AM78" i="2" s="1"/>
  <c r="AK77" i="2"/>
  <c r="AM77" i="2" s="1"/>
  <c r="AK76" i="2"/>
  <c r="AM76" i="2" s="1"/>
  <c r="AO76" i="2" s="1"/>
  <c r="AK75" i="2"/>
  <c r="AM75" i="2" s="1"/>
  <c r="AK74" i="2"/>
  <c r="AM74" i="2" s="1"/>
  <c r="AK73" i="2"/>
  <c r="AM73" i="2" s="1"/>
  <c r="AK72" i="2"/>
  <c r="AM72" i="2" s="1"/>
  <c r="AK71" i="2"/>
  <c r="AM71" i="2" s="1"/>
  <c r="AK70" i="2"/>
  <c r="AM70" i="2" s="1"/>
  <c r="AK69" i="2"/>
  <c r="AM69" i="2" s="1"/>
  <c r="AK68" i="2"/>
  <c r="AM68" i="2" s="1"/>
  <c r="AK67" i="2"/>
  <c r="AM67" i="2" s="1"/>
  <c r="AK66" i="2"/>
  <c r="AM66" i="2" s="1"/>
  <c r="AK65" i="2"/>
  <c r="AM65" i="2" s="1"/>
  <c r="AK64" i="2"/>
  <c r="AM64" i="2" s="1"/>
  <c r="AK63" i="2"/>
  <c r="AM63" i="2" s="1"/>
  <c r="AK62" i="2"/>
  <c r="AM62" i="2" s="1"/>
  <c r="AK61" i="2"/>
  <c r="AM61" i="2" s="1"/>
  <c r="AK60" i="2"/>
  <c r="AM60" i="2" s="1"/>
  <c r="AK59" i="2"/>
  <c r="AM59" i="2" s="1"/>
  <c r="AK58" i="2"/>
  <c r="AM58" i="2" s="1"/>
  <c r="AK57" i="2"/>
  <c r="AM57" i="2" s="1"/>
  <c r="AK56" i="2"/>
  <c r="AM56" i="2" s="1"/>
  <c r="AK55" i="2"/>
  <c r="AM55" i="2" s="1"/>
  <c r="AK54" i="2"/>
  <c r="AM54" i="2" s="1"/>
  <c r="AK53" i="2"/>
  <c r="AM53" i="2" s="1"/>
  <c r="AK52" i="2"/>
  <c r="AM52" i="2" s="1"/>
  <c r="AK51" i="2"/>
  <c r="AM51" i="2" s="1"/>
  <c r="AK50" i="2"/>
  <c r="AM50" i="2" s="1"/>
  <c r="AK48" i="2"/>
  <c r="AM48" i="2" s="1"/>
  <c r="AK47" i="2"/>
  <c r="AM47" i="2" s="1"/>
  <c r="AK46" i="2"/>
  <c r="AM46" i="2" s="1"/>
  <c r="AK45" i="2"/>
  <c r="AM45" i="2" s="1"/>
  <c r="AK44" i="2"/>
  <c r="AM44" i="2" s="1"/>
  <c r="AK43" i="2"/>
  <c r="AM43" i="2" s="1"/>
  <c r="AK41" i="2"/>
  <c r="AM41" i="2" s="1"/>
  <c r="AK40" i="2"/>
  <c r="AM40" i="2" s="1"/>
  <c r="AK39" i="2"/>
  <c r="AM39" i="2" s="1"/>
  <c r="AK37" i="2"/>
  <c r="AM37" i="2" s="1"/>
  <c r="AK36" i="2"/>
  <c r="AM36" i="2" s="1"/>
  <c r="AK35" i="2"/>
  <c r="AM35" i="2" s="1"/>
  <c r="AK34" i="2"/>
  <c r="AM34" i="2" s="1"/>
  <c r="AK33" i="2"/>
  <c r="AM33" i="2" s="1"/>
  <c r="AK32" i="2"/>
  <c r="AM32" i="2" s="1"/>
  <c r="AK31" i="2"/>
  <c r="AM31" i="2" s="1"/>
  <c r="AK30" i="2"/>
  <c r="AM30" i="2" s="1"/>
  <c r="AO30" i="2" s="1"/>
  <c r="AP30" i="2" s="1"/>
  <c r="AK29" i="2"/>
  <c r="AM29" i="2" s="1"/>
  <c r="AO29" i="2" s="1"/>
  <c r="AK28" i="2"/>
  <c r="AM28" i="2" s="1"/>
  <c r="AK25" i="2"/>
  <c r="AM25" i="2" s="1"/>
  <c r="AO25" i="2" s="1"/>
  <c r="AK23" i="2"/>
  <c r="AM23" i="2" s="1"/>
  <c r="AO23" i="2" s="1"/>
  <c r="AK21" i="2"/>
  <c r="AM21" i="2" s="1"/>
  <c r="AK20" i="2"/>
  <c r="AM20" i="2" s="1"/>
  <c r="AO20" i="2" s="1"/>
  <c r="AK19" i="2"/>
  <c r="AM19" i="2" s="1"/>
  <c r="AO19" i="2" s="1"/>
  <c r="AK18" i="2"/>
  <c r="AM18" i="2" s="1"/>
  <c r="AK17" i="2"/>
  <c r="AM17" i="2" s="1"/>
  <c r="AO17" i="2" s="1"/>
  <c r="AK16" i="2"/>
  <c r="AM16" i="2" s="1"/>
  <c r="AK15" i="2"/>
  <c r="AM15" i="2" s="1"/>
  <c r="AO15" i="2" s="1"/>
  <c r="AK14" i="2"/>
  <c r="AM14" i="2" s="1"/>
  <c r="AO14" i="2" s="1"/>
  <c r="AK13" i="2"/>
  <c r="AM13" i="2" s="1"/>
  <c r="AO13" i="2" s="1"/>
  <c r="AK10" i="2"/>
  <c r="AM10" i="2" s="1"/>
  <c r="AO10" i="2" s="1"/>
  <c r="AS135" i="2"/>
  <c r="AU135" i="2" s="1"/>
  <c r="AS134" i="2"/>
  <c r="AU134" i="2" s="1"/>
  <c r="AS133" i="2"/>
  <c r="AU133" i="2" s="1"/>
  <c r="AS132" i="2"/>
  <c r="AU132" i="2" s="1"/>
  <c r="AS131" i="2"/>
  <c r="AU131" i="2" s="1"/>
  <c r="AS130" i="2"/>
  <c r="AU130" i="2" s="1"/>
  <c r="AS129" i="2"/>
  <c r="AU129" i="2" s="1"/>
  <c r="AS128" i="2"/>
  <c r="AU128" i="2" s="1"/>
  <c r="AS127" i="2"/>
  <c r="AU127" i="2" s="1"/>
  <c r="AS126" i="2"/>
  <c r="AU126" i="2" s="1"/>
  <c r="AS125" i="2"/>
  <c r="AU125" i="2" s="1"/>
  <c r="AS124" i="2"/>
  <c r="AU124" i="2" s="1"/>
  <c r="AS123" i="2"/>
  <c r="AU123" i="2" s="1"/>
  <c r="AS122" i="2"/>
  <c r="AU122" i="2" s="1"/>
  <c r="AS121" i="2"/>
  <c r="AU121" i="2" s="1"/>
  <c r="AS120" i="2"/>
  <c r="AU120" i="2" s="1"/>
  <c r="AS119" i="2"/>
  <c r="AU119" i="2" s="1"/>
  <c r="AS118" i="2"/>
  <c r="AU118" i="2" s="1"/>
  <c r="AS117" i="2"/>
  <c r="AU117" i="2" s="1"/>
  <c r="AS116" i="2"/>
  <c r="AU116" i="2" s="1"/>
  <c r="AS115" i="2"/>
  <c r="AU115" i="2" s="1"/>
  <c r="AS114" i="2"/>
  <c r="AU114" i="2" s="1"/>
  <c r="AS113" i="2"/>
  <c r="AU113" i="2" s="1"/>
  <c r="AS112" i="2"/>
  <c r="AU112" i="2" s="1"/>
  <c r="AS111" i="2"/>
  <c r="AU111" i="2" s="1"/>
  <c r="AS110" i="2"/>
  <c r="AU110" i="2" s="1"/>
  <c r="AS109" i="2"/>
  <c r="AU109" i="2" s="1"/>
  <c r="AS108" i="2"/>
  <c r="AU108" i="2" s="1"/>
  <c r="AS106" i="2"/>
  <c r="AU106" i="2" s="1"/>
  <c r="AS105" i="2"/>
  <c r="AU105" i="2" s="1"/>
  <c r="AS104" i="2"/>
  <c r="AU104" i="2" s="1"/>
  <c r="AS103" i="2"/>
  <c r="AU103" i="2" s="1"/>
  <c r="AS102" i="2"/>
  <c r="AU102" i="2" s="1"/>
  <c r="AS101" i="2"/>
  <c r="AU101" i="2" s="1"/>
  <c r="AS100" i="2"/>
  <c r="AU100" i="2" s="1"/>
  <c r="AS99" i="2"/>
  <c r="AU99" i="2" s="1"/>
  <c r="AS98" i="2"/>
  <c r="AU98" i="2" s="1"/>
  <c r="AS97" i="2"/>
  <c r="AU97" i="2" s="1"/>
  <c r="AS96" i="2"/>
  <c r="AU96" i="2" s="1"/>
  <c r="AS95" i="2"/>
  <c r="AU95" i="2" s="1"/>
  <c r="AS94" i="2"/>
  <c r="AU94" i="2" s="1"/>
  <c r="AS93" i="2"/>
  <c r="AU93" i="2" s="1"/>
  <c r="AS92" i="2"/>
  <c r="AU92" i="2" s="1"/>
  <c r="AS91" i="2"/>
  <c r="AU91" i="2" s="1"/>
  <c r="AS90" i="2"/>
  <c r="AU90" i="2" s="1"/>
  <c r="AS89" i="2"/>
  <c r="AU89" i="2" s="1"/>
  <c r="AS88" i="2"/>
  <c r="AU88" i="2" s="1"/>
  <c r="AS87" i="2"/>
  <c r="AU87" i="2" s="1"/>
  <c r="AS86" i="2"/>
  <c r="AU86" i="2" s="1"/>
  <c r="AS85" i="2"/>
  <c r="AU85" i="2" s="1"/>
  <c r="AS84" i="2"/>
  <c r="AU84" i="2" s="1"/>
  <c r="AS83" i="2"/>
  <c r="AU83" i="2" s="1"/>
  <c r="AS82" i="2"/>
  <c r="AU82" i="2" s="1"/>
  <c r="AS81" i="2"/>
  <c r="AU81" i="2" s="1"/>
  <c r="AS80" i="2"/>
  <c r="AU80" i="2" s="1"/>
  <c r="AS79" i="2"/>
  <c r="AU79" i="2" s="1"/>
  <c r="AS78" i="2"/>
  <c r="AU78" i="2" s="1"/>
  <c r="AS77" i="2"/>
  <c r="AU77" i="2" s="1"/>
  <c r="AS76" i="2"/>
  <c r="AU76" i="2" s="1"/>
  <c r="AW76" i="2" s="1"/>
  <c r="AS75" i="2"/>
  <c r="AU75" i="2" s="1"/>
  <c r="AS74" i="2"/>
  <c r="AU74" i="2" s="1"/>
  <c r="AS73" i="2"/>
  <c r="AU73" i="2" s="1"/>
  <c r="AS72" i="2"/>
  <c r="AU72" i="2" s="1"/>
  <c r="AS71" i="2"/>
  <c r="AU71" i="2" s="1"/>
  <c r="AS70" i="2"/>
  <c r="AU70" i="2" s="1"/>
  <c r="AS69" i="2"/>
  <c r="AU69" i="2" s="1"/>
  <c r="AS68" i="2"/>
  <c r="AU68" i="2" s="1"/>
  <c r="AS67" i="2"/>
  <c r="AU67" i="2" s="1"/>
  <c r="AS66" i="2"/>
  <c r="AU66" i="2" s="1"/>
  <c r="AS65" i="2"/>
  <c r="AU65" i="2" s="1"/>
  <c r="AS64" i="2"/>
  <c r="AU64" i="2" s="1"/>
  <c r="AS63" i="2"/>
  <c r="AU63" i="2" s="1"/>
  <c r="AS62" i="2"/>
  <c r="AU62" i="2" s="1"/>
  <c r="AS61" i="2"/>
  <c r="AU61" i="2" s="1"/>
  <c r="AS60" i="2"/>
  <c r="AU60" i="2" s="1"/>
  <c r="AS59" i="2"/>
  <c r="AU59" i="2" s="1"/>
  <c r="AS58" i="2"/>
  <c r="AU58" i="2" s="1"/>
  <c r="AS57" i="2"/>
  <c r="AU57" i="2" s="1"/>
  <c r="AS56" i="2"/>
  <c r="AU56" i="2" s="1"/>
  <c r="AS55" i="2"/>
  <c r="AU55" i="2" s="1"/>
  <c r="AS54" i="2"/>
  <c r="AU54" i="2" s="1"/>
  <c r="AS53" i="2"/>
  <c r="AU53" i="2" s="1"/>
  <c r="AS52" i="2"/>
  <c r="AU52" i="2" s="1"/>
  <c r="AS51" i="2"/>
  <c r="AU51" i="2" s="1"/>
  <c r="AS50" i="2"/>
  <c r="AU50" i="2" s="1"/>
  <c r="AS48" i="2"/>
  <c r="AU48" i="2" s="1"/>
  <c r="AS47" i="2"/>
  <c r="AU47" i="2" s="1"/>
  <c r="AS46" i="2"/>
  <c r="AU46" i="2" s="1"/>
  <c r="AS45" i="2"/>
  <c r="AU45" i="2" s="1"/>
  <c r="AS44" i="2"/>
  <c r="AU44" i="2" s="1"/>
  <c r="AS43" i="2"/>
  <c r="AU43" i="2" s="1"/>
  <c r="AS41" i="2"/>
  <c r="AU41" i="2" s="1"/>
  <c r="AS40" i="2"/>
  <c r="AU40" i="2" s="1"/>
  <c r="AS39" i="2"/>
  <c r="AU39" i="2" s="1"/>
  <c r="AS37" i="2"/>
  <c r="AU37" i="2" s="1"/>
  <c r="AS36" i="2"/>
  <c r="AU36" i="2" s="1"/>
  <c r="AS35" i="2"/>
  <c r="AU35" i="2" s="1"/>
  <c r="AS34" i="2"/>
  <c r="AU34" i="2" s="1"/>
  <c r="AS33" i="2"/>
  <c r="AU33" i="2" s="1"/>
  <c r="AS32" i="2"/>
  <c r="AU32" i="2" s="1"/>
  <c r="AS31" i="2"/>
  <c r="AU31" i="2" s="1"/>
  <c r="AS30" i="2"/>
  <c r="AU30" i="2" s="1"/>
  <c r="AW30" i="2" s="1"/>
  <c r="AX30" i="2" s="1"/>
  <c r="AS29" i="2"/>
  <c r="AU29" i="2" s="1"/>
  <c r="AW29" i="2" s="1"/>
  <c r="AS28" i="2"/>
  <c r="AU28" i="2" s="1"/>
  <c r="AS26" i="2"/>
  <c r="AU26" i="2" s="1"/>
  <c r="AW26" i="2" s="1"/>
  <c r="AS24" i="2"/>
  <c r="AU24" i="2" s="1"/>
  <c r="AW24" i="2" s="1"/>
  <c r="AS21" i="2"/>
  <c r="AU21" i="2" s="1"/>
  <c r="AS20" i="2"/>
  <c r="AU20" i="2" s="1"/>
  <c r="AW20" i="2" s="1"/>
  <c r="AS19" i="2"/>
  <c r="AU19" i="2" s="1"/>
  <c r="AW19" i="2" s="1"/>
  <c r="AS18" i="2"/>
  <c r="AU18" i="2" s="1"/>
  <c r="AS17" i="2"/>
  <c r="AU17" i="2" s="1"/>
  <c r="AW17" i="2" s="1"/>
  <c r="AS16" i="2"/>
  <c r="AU16" i="2" s="1"/>
  <c r="AS15" i="2"/>
  <c r="AU15" i="2" s="1"/>
  <c r="AW15" i="2" s="1"/>
  <c r="AS14" i="2"/>
  <c r="AU14" i="2" s="1"/>
  <c r="AW14" i="2" s="1"/>
  <c r="AS13" i="2"/>
  <c r="AU13" i="2" s="1"/>
  <c r="AW13" i="2" s="1"/>
  <c r="AS11" i="2"/>
  <c r="AU11" i="2" s="1"/>
  <c r="AW11" i="2" s="1"/>
  <c r="BA135" i="2"/>
  <c r="BC135" i="2" s="1"/>
  <c r="BA134" i="2"/>
  <c r="BC134" i="2" s="1"/>
  <c r="BA132" i="2"/>
  <c r="BC132" i="2" s="1"/>
  <c r="BA93" i="2"/>
  <c r="BC93" i="2" s="1"/>
  <c r="BA92" i="2"/>
  <c r="BC92" i="2" s="1"/>
  <c r="BA91" i="2"/>
  <c r="BC91" i="2" s="1"/>
  <c r="BA90" i="2"/>
  <c r="BC90" i="2" s="1"/>
  <c r="BA89" i="2"/>
  <c r="BC89" i="2" s="1"/>
  <c r="BA88" i="2"/>
  <c r="BC88" i="2" s="1"/>
  <c r="BA87" i="2"/>
  <c r="BC87" i="2" s="1"/>
  <c r="BA86" i="2"/>
  <c r="BC86" i="2" s="1"/>
  <c r="BA85" i="2"/>
  <c r="BC85" i="2" s="1"/>
  <c r="BA84" i="2"/>
  <c r="BC84" i="2" s="1"/>
  <c r="BA83" i="2"/>
  <c r="BC83" i="2" s="1"/>
  <c r="BA82" i="2"/>
  <c r="BC82" i="2" s="1"/>
  <c r="BA81" i="2"/>
  <c r="BC81" i="2" s="1"/>
  <c r="BA80" i="2"/>
  <c r="BC80" i="2" s="1"/>
  <c r="BA79" i="2"/>
  <c r="BC79" i="2" s="1"/>
  <c r="BA78" i="2"/>
  <c r="BC78" i="2" s="1"/>
  <c r="BA77" i="2"/>
  <c r="BC77" i="2" s="1"/>
  <c r="BA75" i="2"/>
  <c r="BC75" i="2" s="1"/>
  <c r="BA74" i="2"/>
  <c r="BC74" i="2" s="1"/>
  <c r="BA73" i="2"/>
  <c r="BC73" i="2" s="1"/>
  <c r="BA72" i="2"/>
  <c r="BC72" i="2" s="1"/>
  <c r="BA71" i="2"/>
  <c r="BC71" i="2" s="1"/>
  <c r="BA51" i="2"/>
  <c r="BC51" i="2" s="1"/>
  <c r="BA50" i="2"/>
  <c r="BC50" i="2" s="1"/>
  <c r="BA48" i="2"/>
  <c r="BC48" i="2" s="1"/>
  <c r="BA47" i="2"/>
  <c r="BC47" i="2" s="1"/>
  <c r="BA46" i="2"/>
  <c r="BC46" i="2" s="1"/>
  <c r="BA45" i="2"/>
  <c r="BC45" i="2" s="1"/>
  <c r="BA44" i="2"/>
  <c r="BC44" i="2" s="1"/>
  <c r="BA43" i="2"/>
  <c r="BC43" i="2" s="1"/>
  <c r="BA41" i="2"/>
  <c r="BC41" i="2" s="1"/>
  <c r="BA40" i="2"/>
  <c r="BC40" i="2" s="1"/>
  <c r="BA39" i="2"/>
  <c r="BC39" i="2" s="1"/>
  <c r="BA37" i="2"/>
  <c r="BC37" i="2" s="1"/>
  <c r="BA35" i="2"/>
  <c r="BC35" i="2" s="1"/>
  <c r="BA34" i="2"/>
  <c r="BC34" i="2" s="1"/>
  <c r="BA33" i="2"/>
  <c r="BC33" i="2" s="1"/>
  <c r="BA32" i="2"/>
  <c r="BC32" i="2" s="1"/>
  <c r="BA31" i="2"/>
  <c r="BC31" i="2" s="1"/>
  <c r="BA28" i="2"/>
  <c r="BC28" i="2" s="1"/>
  <c r="BA21" i="2"/>
  <c r="BC21" i="2" s="1"/>
  <c r="BA18" i="2"/>
  <c r="BC18" i="2" s="1"/>
  <c r="BA16" i="2"/>
  <c r="BC16" i="2" s="1"/>
  <c r="AC39" i="2"/>
  <c r="AE39" i="2" s="1"/>
  <c r="G128" i="2"/>
  <c r="G120" i="2"/>
  <c r="G112" i="2"/>
  <c r="G104" i="2"/>
  <c r="G96" i="2"/>
  <c r="G88" i="2"/>
  <c r="G80" i="2"/>
  <c r="G72" i="2"/>
  <c r="G64" i="2"/>
  <c r="G56" i="2"/>
  <c r="AC135" i="2"/>
  <c r="AE135" i="2" s="1"/>
  <c r="AC133" i="2"/>
  <c r="AE133" i="2" s="1"/>
  <c r="AC131" i="2"/>
  <c r="AE131" i="2" s="1"/>
  <c r="AC129" i="2"/>
  <c r="AE129" i="2" s="1"/>
  <c r="AC127" i="2"/>
  <c r="AE127" i="2" s="1"/>
  <c r="AC125" i="2"/>
  <c r="AE125" i="2" s="1"/>
  <c r="AC123" i="2"/>
  <c r="AE123" i="2" s="1"/>
  <c r="AC121" i="2"/>
  <c r="AE121" i="2" s="1"/>
  <c r="AC119" i="2"/>
  <c r="AE119" i="2" s="1"/>
  <c r="AC117" i="2"/>
  <c r="AE117" i="2" s="1"/>
  <c r="AC115" i="2"/>
  <c r="AE115" i="2" s="1"/>
  <c r="AC113" i="2"/>
  <c r="AE113" i="2" s="1"/>
  <c r="AC111" i="2"/>
  <c r="AE111" i="2" s="1"/>
  <c r="AC109" i="2"/>
  <c r="AE109" i="2" s="1"/>
  <c r="E46" i="2"/>
  <c r="G46" i="2" s="1"/>
  <c r="E44" i="2"/>
  <c r="G44" i="2" s="1"/>
  <c r="E34" i="2"/>
  <c r="G34" i="2" s="1"/>
  <c r="E32" i="2"/>
  <c r="G32" i="2" s="1"/>
  <c r="E30" i="2"/>
  <c r="G30" i="2" s="1"/>
  <c r="E20" i="2"/>
  <c r="G20" i="2" s="1"/>
  <c r="E16" i="2"/>
  <c r="G16" i="2" s="1"/>
  <c r="E14" i="2"/>
  <c r="G14" i="2" s="1"/>
  <c r="AC107" i="2"/>
  <c r="AE107" i="2" s="1"/>
  <c r="AC105" i="2"/>
  <c r="AE105" i="2" s="1"/>
  <c r="AC103" i="2"/>
  <c r="AE103" i="2" s="1"/>
  <c r="AC101" i="2"/>
  <c r="AE101" i="2" s="1"/>
  <c r="AC99" i="2"/>
  <c r="AE99" i="2" s="1"/>
  <c r="AC97" i="2"/>
  <c r="AE97" i="2" s="1"/>
  <c r="AC95" i="2"/>
  <c r="AE95" i="2" s="1"/>
  <c r="AC93" i="2"/>
  <c r="AE93" i="2" s="1"/>
  <c r="AC91" i="2"/>
  <c r="AE91" i="2" s="1"/>
  <c r="AC89" i="2"/>
  <c r="AE89" i="2" s="1"/>
  <c r="AC87" i="2"/>
  <c r="AE87" i="2" s="1"/>
  <c r="AC85" i="2"/>
  <c r="AE85" i="2" s="1"/>
  <c r="AC83" i="2"/>
  <c r="AE83" i="2" s="1"/>
  <c r="AC81" i="2"/>
  <c r="AE81" i="2" s="1"/>
  <c r="AC79" i="2"/>
  <c r="AE79" i="2" s="1"/>
  <c r="AC77" i="2"/>
  <c r="AE77" i="2" s="1"/>
  <c r="AC75" i="2"/>
  <c r="AE75" i="2" s="1"/>
  <c r="AC73" i="2"/>
  <c r="AE73" i="2" s="1"/>
  <c r="AC71" i="2"/>
  <c r="AE71" i="2" s="1"/>
  <c r="AC69" i="2"/>
  <c r="AE69" i="2" s="1"/>
  <c r="AC67" i="2"/>
  <c r="AE67" i="2" s="1"/>
  <c r="AC65" i="2"/>
  <c r="AE65" i="2" s="1"/>
  <c r="AC63" i="2"/>
  <c r="AE63" i="2" s="1"/>
  <c r="AC61" i="2"/>
  <c r="AE61" i="2" s="1"/>
  <c r="AC59" i="2"/>
  <c r="AE59" i="2" s="1"/>
  <c r="AC57" i="2"/>
  <c r="AE57" i="2" s="1"/>
  <c r="AC55" i="2"/>
  <c r="AE55" i="2" s="1"/>
  <c r="AC53" i="2"/>
  <c r="AE53" i="2" s="1"/>
  <c r="AC51" i="2"/>
  <c r="AE51" i="2" s="1"/>
  <c r="G124" i="2"/>
  <c r="G108" i="2"/>
  <c r="G92" i="2"/>
  <c r="G76" i="2"/>
  <c r="G60" i="2"/>
  <c r="E134" i="2"/>
  <c r="G134" i="2" s="1"/>
  <c r="E130" i="2"/>
  <c r="G130" i="2" s="1"/>
  <c r="E126" i="2"/>
  <c r="G126" i="2" s="1"/>
  <c r="E122" i="2"/>
  <c r="G122" i="2" s="1"/>
  <c r="E118" i="2"/>
  <c r="G118" i="2" s="1"/>
  <c r="E114" i="2"/>
  <c r="G114" i="2" s="1"/>
  <c r="E110" i="2"/>
  <c r="G110" i="2" s="1"/>
  <c r="E106" i="2"/>
  <c r="G106" i="2" s="1"/>
  <c r="E102" i="2"/>
  <c r="G102" i="2" s="1"/>
  <c r="E98" i="2"/>
  <c r="G98" i="2" s="1"/>
  <c r="E94" i="2"/>
  <c r="G94" i="2" s="1"/>
  <c r="E90" i="2"/>
  <c r="G90" i="2" s="1"/>
  <c r="E86" i="2"/>
  <c r="G86" i="2" s="1"/>
  <c r="E82" i="2"/>
  <c r="G82" i="2" s="1"/>
  <c r="E78" i="2"/>
  <c r="G78" i="2" s="1"/>
  <c r="E74" i="2"/>
  <c r="G74" i="2" s="1"/>
  <c r="E70" i="2"/>
  <c r="G70" i="2" s="1"/>
  <c r="E66" i="2"/>
  <c r="G66" i="2" s="1"/>
  <c r="E62" i="2"/>
  <c r="G62" i="2" s="1"/>
  <c r="E58" i="2"/>
  <c r="G58" i="2" s="1"/>
  <c r="E54" i="2"/>
  <c r="G54" i="2" s="1"/>
  <c r="E50" i="2"/>
  <c r="G50" i="2" s="1"/>
  <c r="M9" i="2"/>
  <c r="O9" i="2" s="1"/>
  <c r="Q9" i="2" s="1"/>
  <c r="U135" i="2"/>
  <c r="W135" i="2" s="1"/>
  <c r="U133" i="2"/>
  <c r="W133" i="2" s="1"/>
  <c r="U131" i="2"/>
  <c r="W131" i="2" s="1"/>
  <c r="U129" i="2"/>
  <c r="W129" i="2" s="1"/>
  <c r="U127" i="2"/>
  <c r="W127" i="2" s="1"/>
  <c r="U125" i="2"/>
  <c r="W125" i="2" s="1"/>
  <c r="U123" i="2"/>
  <c r="W123" i="2" s="1"/>
  <c r="U121" i="2"/>
  <c r="W121" i="2" s="1"/>
  <c r="U119" i="2"/>
  <c r="W119" i="2" s="1"/>
  <c r="U117" i="2"/>
  <c r="W117" i="2" s="1"/>
  <c r="U115" i="2"/>
  <c r="W115" i="2" s="1"/>
  <c r="U113" i="2"/>
  <c r="W113" i="2" s="1"/>
  <c r="U111" i="2"/>
  <c r="W111" i="2" s="1"/>
  <c r="U109" i="2"/>
  <c r="W109" i="2" s="1"/>
  <c r="U107" i="2"/>
  <c r="W107" i="2" s="1"/>
  <c r="U105" i="2"/>
  <c r="W105" i="2" s="1"/>
  <c r="U103" i="2"/>
  <c r="W103" i="2" s="1"/>
  <c r="U101" i="2"/>
  <c r="W101" i="2" s="1"/>
  <c r="U99" i="2"/>
  <c r="W99" i="2" s="1"/>
  <c r="U97" i="2"/>
  <c r="W97" i="2" s="1"/>
  <c r="U95" i="2"/>
  <c r="W95" i="2" s="1"/>
  <c r="U93" i="2"/>
  <c r="W93" i="2" s="1"/>
  <c r="U91" i="2"/>
  <c r="W91" i="2" s="1"/>
  <c r="U89" i="2"/>
  <c r="W89" i="2" s="1"/>
  <c r="U87" i="2"/>
  <c r="W87" i="2" s="1"/>
  <c r="U85" i="2"/>
  <c r="W85" i="2" s="1"/>
  <c r="U83" i="2"/>
  <c r="W83" i="2" s="1"/>
  <c r="U81" i="2"/>
  <c r="W81" i="2" s="1"/>
  <c r="U79" i="2"/>
  <c r="W79" i="2" s="1"/>
  <c r="U77" i="2"/>
  <c r="W77" i="2" s="1"/>
  <c r="U75" i="2"/>
  <c r="W75" i="2" s="1"/>
  <c r="U73" i="2"/>
  <c r="W73" i="2" s="1"/>
  <c r="U71" i="2"/>
  <c r="W71" i="2" s="1"/>
  <c r="U69" i="2"/>
  <c r="W69" i="2" s="1"/>
  <c r="U67" i="2"/>
  <c r="W67" i="2" s="1"/>
  <c r="U65" i="2"/>
  <c r="W65" i="2" s="1"/>
  <c r="U63" i="2"/>
  <c r="W63" i="2" s="1"/>
  <c r="U61" i="2"/>
  <c r="W61" i="2" s="1"/>
  <c r="U59" i="2"/>
  <c r="W59" i="2" s="1"/>
  <c r="U57" i="2"/>
  <c r="W57" i="2" s="1"/>
  <c r="U55" i="2"/>
  <c r="W55" i="2" s="1"/>
  <c r="U53" i="2"/>
  <c r="W53" i="2" s="1"/>
  <c r="U51" i="2"/>
  <c r="W51" i="2" s="1"/>
  <c r="U47" i="2"/>
  <c r="W47" i="2" s="1"/>
  <c r="U45" i="2"/>
  <c r="W45" i="2" s="1"/>
  <c r="U43" i="2"/>
  <c r="W43" i="2" s="1"/>
  <c r="U40" i="2"/>
  <c r="W40" i="2" s="1"/>
  <c r="U37" i="2"/>
  <c r="W37" i="2" s="1"/>
  <c r="U35" i="2"/>
  <c r="W35" i="2" s="1"/>
  <c r="U33" i="2"/>
  <c r="W33" i="2" s="1"/>
  <c r="U31" i="2"/>
  <c r="W31" i="2" s="1"/>
  <c r="U29" i="2"/>
  <c r="W29" i="2" s="1"/>
  <c r="Y29" i="2" s="1"/>
  <c r="U26" i="2"/>
  <c r="W26" i="2" s="1"/>
  <c r="Y26" i="2" s="1"/>
  <c r="U21" i="2"/>
  <c r="W21" i="2" s="1"/>
  <c r="U19" i="2"/>
  <c r="W19" i="2" s="1"/>
  <c r="Y19" i="2" s="1"/>
  <c r="U17" i="2"/>
  <c r="W17" i="2" s="1"/>
  <c r="Y17" i="2" s="1"/>
  <c r="U15" i="2"/>
  <c r="W15" i="2" s="1"/>
  <c r="Y15" i="2" s="1"/>
  <c r="U13" i="2"/>
  <c r="W13" i="2" s="1"/>
  <c r="Y13" i="2" s="1"/>
  <c r="AC47" i="2"/>
  <c r="AE47" i="2" s="1"/>
  <c r="AC45" i="2"/>
  <c r="AE45" i="2" s="1"/>
  <c r="AC43" i="2"/>
  <c r="AE43" i="2" s="1"/>
  <c r="AC37" i="2"/>
  <c r="AE37" i="2" s="1"/>
  <c r="AC35" i="2"/>
  <c r="AE35" i="2" s="1"/>
  <c r="AC33" i="2"/>
  <c r="AE33" i="2" s="1"/>
  <c r="AC31" i="2"/>
  <c r="AE31" i="2" s="1"/>
  <c r="AC29" i="2"/>
  <c r="AE29" i="2" s="1"/>
  <c r="AG29" i="2" s="1"/>
  <c r="AC21" i="2"/>
  <c r="AE21" i="2" s="1"/>
  <c r="AC19" i="2"/>
  <c r="AE19" i="2" s="1"/>
  <c r="AG19" i="2" s="1"/>
  <c r="AC17" i="2"/>
  <c r="AE17" i="2" s="1"/>
  <c r="AG17" i="2" s="1"/>
  <c r="AC15" i="2"/>
  <c r="AE15" i="2" s="1"/>
  <c r="AG15" i="2" s="1"/>
  <c r="AC13" i="2"/>
  <c r="AE13" i="2" s="1"/>
  <c r="AG13" i="2" s="1"/>
  <c r="AG14" i="2"/>
  <c r="AE11" i="2"/>
  <c r="AG11" i="2" s="1"/>
  <c r="AE41" i="2"/>
  <c r="M135" i="2"/>
  <c r="O135" i="2" s="1"/>
  <c r="G135" i="2"/>
  <c r="G133" i="2"/>
  <c r="G131" i="2"/>
  <c r="G129" i="2"/>
  <c r="G127" i="2"/>
  <c r="G125" i="2"/>
  <c r="G123" i="2"/>
  <c r="G121" i="2"/>
  <c r="G119" i="2"/>
  <c r="G115" i="2"/>
  <c r="G113" i="2"/>
  <c r="G111" i="2"/>
  <c r="G109" i="2"/>
  <c r="G107" i="2"/>
  <c r="G105" i="2"/>
  <c r="G103" i="2"/>
  <c r="G101" i="2"/>
  <c r="G99" i="2"/>
  <c r="G97" i="2"/>
  <c r="G95" i="2"/>
  <c r="G93" i="2"/>
  <c r="G89" i="2"/>
  <c r="G87" i="2"/>
  <c r="G85" i="2"/>
  <c r="G81" i="2"/>
  <c r="G79" i="2"/>
  <c r="G77" i="2"/>
  <c r="G75" i="2"/>
  <c r="G73" i="2"/>
  <c r="G71" i="2"/>
  <c r="G69" i="2"/>
  <c r="G67" i="2"/>
  <c r="G65" i="2"/>
  <c r="G63" i="2"/>
  <c r="G61" i="2"/>
  <c r="G59" i="2"/>
  <c r="G57" i="2"/>
  <c r="G55" i="2"/>
  <c r="G53" i="2"/>
  <c r="G51" i="2"/>
  <c r="G47" i="2"/>
  <c r="G45" i="2"/>
  <c r="G43" i="2"/>
  <c r="G40" i="2"/>
  <c r="G37" i="2"/>
  <c r="G35" i="2"/>
  <c r="G33" i="2"/>
  <c r="G31" i="2"/>
  <c r="G29" i="2"/>
  <c r="G26" i="2"/>
  <c r="G21" i="2"/>
  <c r="G17" i="2"/>
  <c r="G15" i="2"/>
  <c r="G13" i="2"/>
  <c r="G10" i="2"/>
  <c r="M133" i="2"/>
  <c r="O133" i="2" s="1"/>
  <c r="M131" i="2"/>
  <c r="O131" i="2" s="1"/>
  <c r="M129" i="2"/>
  <c r="O129" i="2" s="1"/>
  <c r="M127" i="2"/>
  <c r="O127" i="2" s="1"/>
  <c r="M125" i="2"/>
  <c r="O125" i="2" s="1"/>
  <c r="M123" i="2"/>
  <c r="O123" i="2" s="1"/>
  <c r="M121" i="2"/>
  <c r="O121" i="2" s="1"/>
  <c r="M119" i="2"/>
  <c r="O119" i="2" s="1"/>
  <c r="M117" i="2"/>
  <c r="O117" i="2" s="1"/>
  <c r="M115" i="2"/>
  <c r="O115" i="2" s="1"/>
  <c r="M113" i="2"/>
  <c r="O113" i="2" s="1"/>
  <c r="M111" i="2"/>
  <c r="O111" i="2" s="1"/>
  <c r="M109" i="2"/>
  <c r="O109" i="2" s="1"/>
  <c r="M107" i="2"/>
  <c r="O107" i="2" s="1"/>
  <c r="M105" i="2"/>
  <c r="O105" i="2" s="1"/>
  <c r="M103" i="2"/>
  <c r="O103" i="2" s="1"/>
  <c r="M101" i="2"/>
  <c r="O101" i="2" s="1"/>
  <c r="M99" i="2"/>
  <c r="O99" i="2" s="1"/>
  <c r="M97" i="2"/>
  <c r="O97" i="2" s="1"/>
  <c r="M95" i="2"/>
  <c r="O95" i="2" s="1"/>
  <c r="M93" i="2"/>
  <c r="O93" i="2" s="1"/>
  <c r="M91" i="2"/>
  <c r="O91" i="2" s="1"/>
  <c r="M89" i="2"/>
  <c r="O89" i="2" s="1"/>
  <c r="M87" i="2"/>
  <c r="O87" i="2" s="1"/>
  <c r="M85" i="2"/>
  <c r="O85" i="2" s="1"/>
  <c r="M83" i="2"/>
  <c r="O83" i="2" s="1"/>
  <c r="M81" i="2"/>
  <c r="O81" i="2" s="1"/>
  <c r="M79" i="2"/>
  <c r="O79" i="2" s="1"/>
  <c r="M77" i="2"/>
  <c r="O77" i="2" s="1"/>
  <c r="M75" i="2"/>
  <c r="O75" i="2" s="1"/>
  <c r="M73" i="2"/>
  <c r="O73" i="2" s="1"/>
  <c r="M71" i="2"/>
  <c r="O71" i="2" s="1"/>
  <c r="M69" i="2"/>
  <c r="O69" i="2" s="1"/>
  <c r="M67" i="2"/>
  <c r="O67" i="2" s="1"/>
  <c r="E41" i="2"/>
  <c r="G41" i="2" s="1"/>
  <c r="E39" i="2"/>
  <c r="G39" i="2" s="1"/>
  <c r="E25" i="2"/>
  <c r="G25" i="2" s="1"/>
  <c r="E23" i="2"/>
  <c r="G23" i="2" s="1"/>
  <c r="E11" i="2"/>
  <c r="G11" i="2" s="1"/>
  <c r="M65" i="2"/>
  <c r="O65" i="2" s="1"/>
  <c r="M63" i="2"/>
  <c r="O63" i="2" s="1"/>
  <c r="M61" i="2"/>
  <c r="O61" i="2" s="1"/>
  <c r="M59" i="2"/>
  <c r="O59" i="2" s="1"/>
  <c r="M57" i="2"/>
  <c r="O57" i="2" s="1"/>
  <c r="M55" i="2"/>
  <c r="O55" i="2" s="1"/>
  <c r="M53" i="2"/>
  <c r="O53" i="2" s="1"/>
  <c r="M51" i="2"/>
  <c r="O51" i="2" s="1"/>
  <c r="M47" i="2"/>
  <c r="O47" i="2" s="1"/>
  <c r="M45" i="2"/>
  <c r="O45" i="2" s="1"/>
  <c r="M43" i="2"/>
  <c r="O43" i="2" s="1"/>
  <c r="M37" i="2"/>
  <c r="O37" i="2" s="1"/>
  <c r="M35" i="2"/>
  <c r="O35" i="2" s="1"/>
  <c r="M33" i="2"/>
  <c r="O33" i="2" s="1"/>
  <c r="M31" i="2"/>
  <c r="O31" i="2" s="1"/>
  <c r="M29" i="2"/>
  <c r="M21" i="2"/>
  <c r="O21" i="2" s="1"/>
  <c r="M19" i="2"/>
  <c r="M17" i="2"/>
  <c r="M15" i="2"/>
  <c r="M13" i="2"/>
  <c r="BA52" i="2"/>
  <c r="BC52" i="2" s="1"/>
  <c r="BA53" i="2"/>
  <c r="BC53" i="2" s="1"/>
  <c r="BA54" i="2"/>
  <c r="BC54" i="2" s="1"/>
  <c r="BA55" i="2"/>
  <c r="BC55" i="2" s="1"/>
  <c r="BA56" i="2"/>
  <c r="BC56" i="2" s="1"/>
  <c r="BA57" i="2"/>
  <c r="BC57" i="2" s="1"/>
  <c r="BA58" i="2"/>
  <c r="BC58" i="2" s="1"/>
  <c r="BA59" i="2"/>
  <c r="BC59" i="2" s="1"/>
  <c r="BA60" i="2"/>
  <c r="BC60" i="2" s="1"/>
  <c r="BA61" i="2"/>
  <c r="BC61" i="2" s="1"/>
  <c r="BA62" i="2"/>
  <c r="BC62" i="2" s="1"/>
  <c r="BA63" i="2"/>
  <c r="BC63" i="2" s="1"/>
  <c r="BA64" i="2"/>
  <c r="BC64" i="2" s="1"/>
  <c r="BA65" i="2"/>
  <c r="BC65" i="2" s="1"/>
  <c r="BA66" i="2"/>
  <c r="BC66" i="2" s="1"/>
  <c r="BA67" i="2"/>
  <c r="BC67" i="2" s="1"/>
  <c r="BA68" i="2"/>
  <c r="BC68" i="2" s="1"/>
  <c r="BA69" i="2"/>
  <c r="BC69" i="2" s="1"/>
  <c r="BA70" i="2"/>
  <c r="BC70" i="2" s="1"/>
  <c r="BA94" i="2"/>
  <c r="BC94" i="2" s="1"/>
  <c r="BA95" i="2"/>
  <c r="BC95" i="2" s="1"/>
  <c r="BA96" i="2"/>
  <c r="BC96" i="2" s="1"/>
  <c r="BA97" i="2"/>
  <c r="BC97" i="2" s="1"/>
  <c r="BA98" i="2"/>
  <c r="BC98" i="2" s="1"/>
  <c r="BA99" i="2"/>
  <c r="BC99" i="2" s="1"/>
  <c r="BA100" i="2"/>
  <c r="BC100" i="2" s="1"/>
  <c r="BA101" i="2"/>
  <c r="BC101" i="2" s="1"/>
  <c r="BA102" i="2"/>
  <c r="BC102" i="2" s="1"/>
  <c r="BA103" i="2"/>
  <c r="BC103" i="2" s="1"/>
  <c r="BA104" i="2"/>
  <c r="BC104" i="2" s="1"/>
  <c r="BA105" i="2"/>
  <c r="BC105" i="2" s="1"/>
  <c r="BA106" i="2"/>
  <c r="BC106" i="2" s="1"/>
  <c r="BA107" i="2"/>
  <c r="BC107" i="2" s="1"/>
  <c r="BA108" i="2"/>
  <c r="BC108" i="2" s="1"/>
  <c r="BA109" i="2"/>
  <c r="BC109" i="2" s="1"/>
  <c r="BA110" i="2"/>
  <c r="BC110" i="2" s="1"/>
  <c r="BA111" i="2"/>
  <c r="BC111" i="2" s="1"/>
  <c r="BA112" i="2"/>
  <c r="BC112" i="2" s="1"/>
  <c r="BA113" i="2"/>
  <c r="BC113" i="2" s="1"/>
  <c r="BA114" i="2"/>
  <c r="BC114" i="2" s="1"/>
  <c r="BA115" i="2"/>
  <c r="BC115" i="2" s="1"/>
  <c r="BA116" i="2"/>
  <c r="BC116" i="2" s="1"/>
  <c r="BA117" i="2"/>
  <c r="BC117" i="2" s="1"/>
  <c r="BA118" i="2"/>
  <c r="BC118" i="2" s="1"/>
  <c r="BA119" i="2"/>
  <c r="BC119" i="2" s="1"/>
  <c r="BA120" i="2"/>
  <c r="BC120" i="2" s="1"/>
  <c r="BA121" i="2"/>
  <c r="BC121" i="2" s="1"/>
  <c r="BA122" i="2"/>
  <c r="BC122" i="2" s="1"/>
  <c r="BA123" i="2"/>
  <c r="BC123" i="2" s="1"/>
  <c r="BA124" i="2"/>
  <c r="BC124" i="2" s="1"/>
  <c r="BA125" i="2"/>
  <c r="BC125" i="2" s="1"/>
  <c r="BA126" i="2"/>
  <c r="BC126" i="2" s="1"/>
  <c r="BA127" i="2"/>
  <c r="BC127" i="2" s="1"/>
  <c r="BA128" i="2"/>
  <c r="BC128" i="2" s="1"/>
  <c r="BA129" i="2"/>
  <c r="BC129" i="2" s="1"/>
  <c r="BA130" i="2"/>
  <c r="BC130" i="2" s="1"/>
  <c r="BA131" i="2"/>
  <c r="BC131" i="2" s="1"/>
  <c r="AS10" i="2"/>
  <c r="AU10" i="2" s="1"/>
  <c r="AW10" i="2" s="1"/>
  <c r="AS23" i="2"/>
  <c r="AU23" i="2" s="1"/>
  <c r="AW23" i="2" s="1"/>
  <c r="AS25" i="2"/>
  <c r="AU25" i="2" s="1"/>
  <c r="AW25" i="2" s="1"/>
  <c r="AK9" i="2"/>
  <c r="AM9" i="2" s="1"/>
  <c r="AO9" i="2" s="1"/>
  <c r="AK11" i="2"/>
  <c r="AM11" i="2" s="1"/>
  <c r="AO11" i="2" s="1"/>
  <c r="AK24" i="2"/>
  <c r="AM24" i="2" s="1"/>
  <c r="AO24" i="2" s="1"/>
  <c r="AK26" i="2"/>
  <c r="AM26" i="2" s="1"/>
  <c r="AO26" i="2" s="1"/>
  <c r="AC10" i="2"/>
  <c r="AE10" i="2" s="1"/>
  <c r="AG10" i="2" s="1"/>
  <c r="AC23" i="2"/>
  <c r="AE23" i="2" s="1"/>
  <c r="AG23" i="2" s="1"/>
  <c r="AC25" i="2"/>
  <c r="AE25" i="2" s="1"/>
  <c r="AG25" i="2" s="1"/>
  <c r="U10" i="2"/>
  <c r="W10" i="2" s="1"/>
  <c r="Y10" i="2" s="1"/>
  <c r="U23" i="2"/>
  <c r="W23" i="2" s="1"/>
  <c r="Y23" i="2" s="1"/>
  <c r="U25" i="2"/>
  <c r="W25" i="2" s="1"/>
  <c r="Y25" i="2" s="1"/>
  <c r="M10" i="2"/>
  <c r="Q11" i="2"/>
  <c r="M23" i="2"/>
  <c r="M25" i="2"/>
  <c r="O13" i="2" l="1"/>
  <c r="Q13" i="2" s="1"/>
  <c r="O17" i="2"/>
  <c r="Q17" i="2" s="1"/>
  <c r="O25" i="2"/>
  <c r="Q25" i="2" s="1"/>
  <c r="O23" i="2"/>
  <c r="Q23" i="2" s="1"/>
  <c r="O10" i="2"/>
  <c r="Q10" i="2" s="1"/>
  <c r="O15" i="2"/>
  <c r="Q15" i="2" s="1"/>
  <c r="O19" i="2"/>
  <c r="Q19" i="2" s="1"/>
  <c r="O29" i="2"/>
  <c r="Q29" i="2" s="1"/>
  <c r="D9" i="2" l="1"/>
  <c r="C9" i="2"/>
  <c r="J16" i="2"/>
  <c r="J18" i="2"/>
  <c r="J21" i="2"/>
  <c r="J28" i="2"/>
  <c r="J31" i="2"/>
  <c r="J32" i="2"/>
  <c r="J33" i="2"/>
  <c r="J34" i="2"/>
  <c r="J35" i="2"/>
  <c r="J36" i="2"/>
  <c r="J37" i="2"/>
  <c r="J39" i="2"/>
  <c r="J40" i="2"/>
  <c r="J41" i="2"/>
  <c r="J43" i="2"/>
  <c r="J44" i="2"/>
  <c r="J45" i="2"/>
  <c r="J46" i="2"/>
  <c r="J47" i="2"/>
  <c r="J48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H420" i="6" l="1"/>
  <c r="E420" i="6"/>
  <c r="G420" i="6" s="1"/>
  <c r="H419" i="6"/>
  <c r="I419" i="6" s="1"/>
  <c r="E419" i="6"/>
  <c r="G419" i="6" s="1"/>
  <c r="H418" i="6"/>
  <c r="J418" i="6" s="1"/>
  <c r="F418" i="6"/>
  <c r="E418" i="6"/>
  <c r="G418" i="6" s="1"/>
  <c r="H417" i="6"/>
  <c r="J417" i="6" s="1"/>
  <c r="F417" i="6"/>
  <c r="E417" i="6"/>
  <c r="H416" i="6"/>
  <c r="J416" i="6" s="1"/>
  <c r="F416" i="6"/>
  <c r="E416" i="6"/>
  <c r="G416" i="6" s="1"/>
  <c r="I406" i="6"/>
  <c r="H406" i="6"/>
  <c r="E406" i="6"/>
  <c r="G406" i="6" s="1"/>
  <c r="H405" i="6"/>
  <c r="I405" i="6" s="1"/>
  <c r="E405" i="6"/>
  <c r="G405" i="6" s="1"/>
  <c r="H404" i="6"/>
  <c r="F404" i="6"/>
  <c r="E404" i="6"/>
  <c r="H403" i="6"/>
  <c r="J403" i="6" s="1"/>
  <c r="F403" i="6"/>
  <c r="E403" i="6"/>
  <c r="H402" i="6"/>
  <c r="G402" i="6"/>
  <c r="E402" i="6"/>
  <c r="H401" i="6"/>
  <c r="E401" i="6"/>
  <c r="G401" i="6" s="1"/>
  <c r="H400" i="6"/>
  <c r="I400" i="6" s="1"/>
  <c r="E400" i="6"/>
  <c r="G400" i="6" s="1"/>
  <c r="H399" i="6"/>
  <c r="I399" i="6" s="1"/>
  <c r="E399" i="6"/>
  <c r="G399" i="6" s="1"/>
  <c r="H398" i="6"/>
  <c r="G398" i="6"/>
  <c r="E398" i="6"/>
  <c r="H397" i="6"/>
  <c r="E397" i="6"/>
  <c r="G397" i="6" s="1"/>
  <c r="H396" i="6"/>
  <c r="I396" i="6" s="1"/>
  <c r="E396" i="6"/>
  <c r="G396" i="6" s="1"/>
  <c r="H395" i="6"/>
  <c r="I395" i="6" s="1"/>
  <c r="K395" i="6" s="1"/>
  <c r="E395" i="6"/>
  <c r="G395" i="6" s="1"/>
  <c r="H394" i="6"/>
  <c r="I394" i="6" s="1"/>
  <c r="E394" i="6"/>
  <c r="G394" i="6" s="1"/>
  <c r="H393" i="6"/>
  <c r="E393" i="6"/>
  <c r="G393" i="6" s="1"/>
  <c r="H392" i="6"/>
  <c r="I392" i="6" s="1"/>
  <c r="G392" i="6"/>
  <c r="E392" i="6"/>
  <c r="H391" i="6"/>
  <c r="I391" i="6" s="1"/>
  <c r="E391" i="6"/>
  <c r="G391" i="6" s="1"/>
  <c r="H390" i="6"/>
  <c r="E390" i="6"/>
  <c r="G390" i="6" s="1"/>
  <c r="H389" i="6"/>
  <c r="E389" i="6"/>
  <c r="G389" i="6" s="1"/>
  <c r="H388" i="6"/>
  <c r="I388" i="6" s="1"/>
  <c r="E388" i="6"/>
  <c r="G388" i="6" s="1"/>
  <c r="H387" i="6"/>
  <c r="E387" i="6"/>
  <c r="G387" i="6" s="1"/>
  <c r="H386" i="6"/>
  <c r="E386" i="6"/>
  <c r="G386" i="6" s="1"/>
  <c r="I385" i="6"/>
  <c r="K385" i="6" s="1"/>
  <c r="G385" i="6"/>
  <c r="E385" i="6"/>
  <c r="I384" i="6"/>
  <c r="K384" i="6" s="1"/>
  <c r="E384" i="6"/>
  <c r="G384" i="6" s="1"/>
  <c r="H383" i="6"/>
  <c r="E383" i="6"/>
  <c r="G383" i="6" s="1"/>
  <c r="H382" i="6"/>
  <c r="I382" i="6" s="1"/>
  <c r="E382" i="6"/>
  <c r="G382" i="6" s="1"/>
  <c r="H381" i="6"/>
  <c r="I381" i="6" s="1"/>
  <c r="E381" i="6"/>
  <c r="G381" i="6" s="1"/>
  <c r="H380" i="6"/>
  <c r="E380" i="6"/>
  <c r="G380" i="6" s="1"/>
  <c r="H379" i="6"/>
  <c r="E379" i="6"/>
  <c r="G379" i="6" s="1"/>
  <c r="H378" i="6"/>
  <c r="I378" i="6" s="1"/>
  <c r="E378" i="6"/>
  <c r="G378" i="6" s="1"/>
  <c r="H377" i="6"/>
  <c r="I377" i="6" s="1"/>
  <c r="E377" i="6"/>
  <c r="G377" i="6" s="1"/>
  <c r="H376" i="6"/>
  <c r="I376" i="6" s="1"/>
  <c r="E376" i="6"/>
  <c r="G376" i="6" s="1"/>
  <c r="H375" i="6"/>
  <c r="E375" i="6"/>
  <c r="G375" i="6" s="1"/>
  <c r="H374" i="6"/>
  <c r="I374" i="6" s="1"/>
  <c r="E374" i="6"/>
  <c r="G374" i="6" s="1"/>
  <c r="H373" i="6"/>
  <c r="I373" i="6" s="1"/>
  <c r="E373" i="6"/>
  <c r="G373" i="6" s="1"/>
  <c r="H372" i="6"/>
  <c r="E372" i="6"/>
  <c r="G372" i="6" s="1"/>
  <c r="H371" i="6"/>
  <c r="E371" i="6"/>
  <c r="G371" i="6" s="1"/>
  <c r="I370" i="6"/>
  <c r="K370" i="6" s="1"/>
  <c r="E370" i="6"/>
  <c r="G370" i="6" s="1"/>
  <c r="H369" i="6"/>
  <c r="J369" i="6" s="1"/>
  <c r="F369" i="6"/>
  <c r="E369" i="6"/>
  <c r="H368" i="6"/>
  <c r="J368" i="6" s="1"/>
  <c r="F368" i="6"/>
  <c r="E368" i="6"/>
  <c r="G368" i="6" s="1"/>
  <c r="H367" i="6"/>
  <c r="J367" i="6" s="1"/>
  <c r="F367" i="6"/>
  <c r="E367" i="6"/>
  <c r="H366" i="6"/>
  <c r="J366" i="6" s="1"/>
  <c r="F366" i="6"/>
  <c r="E366" i="6"/>
  <c r="G366" i="6" s="1"/>
  <c r="H365" i="6"/>
  <c r="I365" i="6" s="1"/>
  <c r="F365" i="6"/>
  <c r="E365" i="6"/>
  <c r="G365" i="6" s="1"/>
  <c r="H364" i="6"/>
  <c r="F364" i="6"/>
  <c r="E364" i="6"/>
  <c r="G364" i="6" s="1"/>
  <c r="H363" i="6"/>
  <c r="J363" i="6" s="1"/>
  <c r="F363" i="6"/>
  <c r="E363" i="6"/>
  <c r="H362" i="6"/>
  <c r="J362" i="6" s="1"/>
  <c r="F362" i="6"/>
  <c r="E362" i="6"/>
  <c r="G362" i="6" s="1"/>
  <c r="H361" i="6"/>
  <c r="I361" i="6" s="1"/>
  <c r="E361" i="6"/>
  <c r="G361" i="6" s="1"/>
  <c r="H360" i="6"/>
  <c r="J360" i="6" s="1"/>
  <c r="F360" i="6"/>
  <c r="E360" i="6"/>
  <c r="H359" i="6"/>
  <c r="I359" i="6" s="1"/>
  <c r="E359" i="6"/>
  <c r="G359" i="6" s="1"/>
  <c r="H358" i="6"/>
  <c r="I358" i="6" s="1"/>
  <c r="E358" i="6"/>
  <c r="G358" i="6" s="1"/>
  <c r="H357" i="6"/>
  <c r="F357" i="6"/>
  <c r="E357" i="6"/>
  <c r="G357" i="6" s="1"/>
  <c r="H356" i="6"/>
  <c r="F356" i="6"/>
  <c r="E356" i="6"/>
  <c r="G356" i="6" s="1"/>
  <c r="H355" i="6"/>
  <c r="J355" i="6" s="1"/>
  <c r="F355" i="6"/>
  <c r="E355" i="6"/>
  <c r="H354" i="6"/>
  <c r="E354" i="6"/>
  <c r="G354" i="6" s="1"/>
  <c r="H353" i="6"/>
  <c r="E353" i="6"/>
  <c r="G353" i="6" s="1"/>
  <c r="H352" i="6"/>
  <c r="J352" i="6" s="1"/>
  <c r="F352" i="6"/>
  <c r="E352" i="6"/>
  <c r="H351" i="6"/>
  <c r="F351" i="6"/>
  <c r="E351" i="6"/>
  <c r="G351" i="6" s="1"/>
  <c r="H350" i="6"/>
  <c r="J350" i="6" s="1"/>
  <c r="F350" i="6"/>
  <c r="E350" i="6"/>
  <c r="G350" i="6" s="1"/>
  <c r="H349" i="6"/>
  <c r="F349" i="6"/>
  <c r="E349" i="6"/>
  <c r="G349" i="6" s="1"/>
  <c r="H348" i="6"/>
  <c r="J348" i="6" s="1"/>
  <c r="F348" i="6"/>
  <c r="E348" i="6"/>
  <c r="G348" i="6" s="1"/>
  <c r="H347" i="6"/>
  <c r="F347" i="6"/>
  <c r="E347" i="6"/>
  <c r="H346" i="6"/>
  <c r="F346" i="6"/>
  <c r="E346" i="6"/>
  <c r="G346" i="6" s="1"/>
  <c r="H345" i="6"/>
  <c r="F345" i="6"/>
  <c r="E345" i="6"/>
  <c r="H344" i="6"/>
  <c r="J344" i="6" s="1"/>
  <c r="F344" i="6"/>
  <c r="E344" i="6"/>
  <c r="H343" i="6"/>
  <c r="F343" i="6"/>
  <c r="E343" i="6"/>
  <c r="G343" i="6" s="1"/>
  <c r="H342" i="6"/>
  <c r="J342" i="6" s="1"/>
  <c r="F342" i="6"/>
  <c r="E342" i="6"/>
  <c r="G342" i="6" s="1"/>
  <c r="H341" i="6"/>
  <c r="E341" i="6"/>
  <c r="G341" i="6" s="1"/>
  <c r="H340" i="6"/>
  <c r="E340" i="6"/>
  <c r="G340" i="6" s="1"/>
  <c r="H339" i="6"/>
  <c r="I339" i="6" s="1"/>
  <c r="E339" i="6"/>
  <c r="G339" i="6" s="1"/>
  <c r="H338" i="6"/>
  <c r="E338" i="6"/>
  <c r="G338" i="6" s="1"/>
  <c r="H337" i="6"/>
  <c r="G337" i="6"/>
  <c r="E337" i="6"/>
  <c r="H336" i="6"/>
  <c r="E336" i="6"/>
  <c r="G336" i="6" s="1"/>
  <c r="H335" i="6"/>
  <c r="I335" i="6" s="1"/>
  <c r="E335" i="6"/>
  <c r="G335" i="6" s="1"/>
  <c r="H334" i="6"/>
  <c r="I334" i="6" s="1"/>
  <c r="E334" i="6"/>
  <c r="G334" i="6" s="1"/>
  <c r="H333" i="6"/>
  <c r="E333" i="6"/>
  <c r="G333" i="6" s="1"/>
  <c r="H332" i="6"/>
  <c r="E332" i="6"/>
  <c r="G332" i="6" s="1"/>
  <c r="H331" i="6"/>
  <c r="I331" i="6" s="1"/>
  <c r="E331" i="6"/>
  <c r="G331" i="6" s="1"/>
  <c r="H330" i="6"/>
  <c r="I330" i="6" s="1"/>
  <c r="E330" i="6"/>
  <c r="G330" i="6" s="1"/>
  <c r="H329" i="6"/>
  <c r="I329" i="6" s="1"/>
  <c r="E329" i="6"/>
  <c r="G329" i="6" s="1"/>
  <c r="H328" i="6"/>
  <c r="E328" i="6"/>
  <c r="G328" i="6" s="1"/>
  <c r="H327" i="6"/>
  <c r="I327" i="6" s="1"/>
  <c r="E327" i="6"/>
  <c r="G327" i="6" s="1"/>
  <c r="H326" i="6"/>
  <c r="E326" i="6"/>
  <c r="G326" i="6" s="1"/>
  <c r="H325" i="6"/>
  <c r="E325" i="6"/>
  <c r="G325" i="6" s="1"/>
  <c r="H324" i="6"/>
  <c r="I324" i="6" s="1"/>
  <c r="E324" i="6"/>
  <c r="G324" i="6" s="1"/>
  <c r="H323" i="6"/>
  <c r="E323" i="6"/>
  <c r="G323" i="6" s="1"/>
  <c r="H322" i="6"/>
  <c r="E322" i="6"/>
  <c r="G322" i="6" s="1"/>
  <c r="H321" i="6"/>
  <c r="E321" i="6"/>
  <c r="G321" i="6" s="1"/>
  <c r="I320" i="6"/>
  <c r="H320" i="6"/>
  <c r="E320" i="6"/>
  <c r="G320" i="6" s="1"/>
  <c r="H319" i="6"/>
  <c r="I319" i="6" s="1"/>
  <c r="E319" i="6"/>
  <c r="G319" i="6" s="1"/>
  <c r="H318" i="6"/>
  <c r="E318" i="6"/>
  <c r="G318" i="6" s="1"/>
  <c r="H317" i="6"/>
  <c r="E317" i="6"/>
  <c r="G317" i="6" s="1"/>
  <c r="H316" i="6"/>
  <c r="I316" i="6" s="1"/>
  <c r="E316" i="6"/>
  <c r="G316" i="6" s="1"/>
  <c r="H315" i="6"/>
  <c r="I315" i="6" s="1"/>
  <c r="E315" i="6"/>
  <c r="G315" i="6" s="1"/>
  <c r="H314" i="6"/>
  <c r="I314" i="6" s="1"/>
  <c r="E314" i="6"/>
  <c r="G314" i="6" s="1"/>
  <c r="H313" i="6"/>
  <c r="E313" i="6"/>
  <c r="G313" i="6" s="1"/>
  <c r="H312" i="6"/>
  <c r="I312" i="6" s="1"/>
  <c r="E312" i="6"/>
  <c r="G312" i="6" s="1"/>
  <c r="H311" i="6"/>
  <c r="I311" i="6" s="1"/>
  <c r="E311" i="6"/>
  <c r="G311" i="6" s="1"/>
  <c r="H310" i="6"/>
  <c r="E310" i="6"/>
  <c r="G310" i="6" s="1"/>
  <c r="H309" i="6"/>
  <c r="E309" i="6"/>
  <c r="G309" i="6" s="1"/>
  <c r="H308" i="6"/>
  <c r="I308" i="6" s="1"/>
  <c r="E308" i="6"/>
  <c r="G308" i="6" s="1"/>
  <c r="H307" i="6"/>
  <c r="E307" i="6"/>
  <c r="G307" i="6" s="1"/>
  <c r="H306" i="6"/>
  <c r="E306" i="6"/>
  <c r="G306" i="6" s="1"/>
  <c r="H305" i="6"/>
  <c r="E305" i="6"/>
  <c r="G305" i="6" s="1"/>
  <c r="H304" i="6"/>
  <c r="I304" i="6" s="1"/>
  <c r="E304" i="6"/>
  <c r="G304" i="6" s="1"/>
  <c r="K303" i="6"/>
  <c r="H303" i="6"/>
  <c r="I303" i="6" s="1"/>
  <c r="E303" i="6"/>
  <c r="G303" i="6" s="1"/>
  <c r="H302" i="6"/>
  <c r="E302" i="6"/>
  <c r="G302" i="6" s="1"/>
  <c r="H301" i="6"/>
  <c r="E301" i="6"/>
  <c r="G301" i="6" s="1"/>
  <c r="H300" i="6"/>
  <c r="I300" i="6" s="1"/>
  <c r="E300" i="6"/>
  <c r="G300" i="6" s="1"/>
  <c r="H299" i="6"/>
  <c r="I299" i="6" s="1"/>
  <c r="E299" i="6"/>
  <c r="G299" i="6" s="1"/>
  <c r="H298" i="6"/>
  <c r="I298" i="6" s="1"/>
  <c r="E298" i="6"/>
  <c r="G298" i="6" s="1"/>
  <c r="H297" i="6"/>
  <c r="E297" i="6"/>
  <c r="G297" i="6" s="1"/>
  <c r="H296" i="6"/>
  <c r="I296" i="6" s="1"/>
  <c r="E296" i="6"/>
  <c r="G296" i="6" s="1"/>
  <c r="H295" i="6"/>
  <c r="I295" i="6" s="1"/>
  <c r="E295" i="6"/>
  <c r="G295" i="6" s="1"/>
  <c r="H294" i="6"/>
  <c r="E294" i="6"/>
  <c r="G294" i="6" s="1"/>
  <c r="H293" i="6"/>
  <c r="E293" i="6"/>
  <c r="G293" i="6" s="1"/>
  <c r="H292" i="6"/>
  <c r="I292" i="6" s="1"/>
  <c r="E292" i="6"/>
  <c r="G292" i="6" s="1"/>
  <c r="H291" i="6"/>
  <c r="E291" i="6"/>
  <c r="G291" i="6" s="1"/>
  <c r="H290" i="6"/>
  <c r="E290" i="6"/>
  <c r="G290" i="6" s="1"/>
  <c r="H289" i="6"/>
  <c r="E289" i="6"/>
  <c r="G289" i="6" s="1"/>
  <c r="I288" i="6"/>
  <c r="H288" i="6"/>
  <c r="E288" i="6"/>
  <c r="G288" i="6" s="1"/>
  <c r="H287" i="6"/>
  <c r="I287" i="6" s="1"/>
  <c r="E287" i="6"/>
  <c r="G287" i="6" s="1"/>
  <c r="H286" i="6"/>
  <c r="E286" i="6"/>
  <c r="G286" i="6" s="1"/>
  <c r="H285" i="6"/>
  <c r="E285" i="6"/>
  <c r="G285" i="6" s="1"/>
  <c r="H284" i="6"/>
  <c r="I284" i="6" s="1"/>
  <c r="E284" i="6"/>
  <c r="G284" i="6" s="1"/>
  <c r="H283" i="6"/>
  <c r="I283" i="6" s="1"/>
  <c r="E283" i="6"/>
  <c r="G283" i="6" s="1"/>
  <c r="I282" i="6"/>
  <c r="H282" i="6"/>
  <c r="E282" i="6"/>
  <c r="G282" i="6" s="1"/>
  <c r="H281" i="6"/>
  <c r="E281" i="6"/>
  <c r="G281" i="6" s="1"/>
  <c r="H280" i="6"/>
  <c r="I280" i="6" s="1"/>
  <c r="E280" i="6"/>
  <c r="G280" i="6" s="1"/>
  <c r="H279" i="6"/>
  <c r="I279" i="6" s="1"/>
  <c r="E279" i="6"/>
  <c r="G279" i="6" s="1"/>
  <c r="H278" i="6"/>
  <c r="E278" i="6"/>
  <c r="G278" i="6" s="1"/>
  <c r="H277" i="6"/>
  <c r="E277" i="6"/>
  <c r="G277" i="6" s="1"/>
  <c r="H276" i="6"/>
  <c r="I276" i="6" s="1"/>
  <c r="E276" i="6"/>
  <c r="G276" i="6" s="1"/>
  <c r="H275" i="6"/>
  <c r="E275" i="6"/>
  <c r="G275" i="6" s="1"/>
  <c r="H274" i="6"/>
  <c r="E274" i="6"/>
  <c r="G274" i="6" s="1"/>
  <c r="H273" i="6"/>
  <c r="E273" i="6"/>
  <c r="G273" i="6" s="1"/>
  <c r="H272" i="6"/>
  <c r="I272" i="6" s="1"/>
  <c r="E272" i="6"/>
  <c r="G272" i="6" s="1"/>
  <c r="K271" i="6"/>
  <c r="H271" i="6"/>
  <c r="I271" i="6" s="1"/>
  <c r="E271" i="6"/>
  <c r="G271" i="6" s="1"/>
  <c r="H270" i="6"/>
  <c r="E270" i="6"/>
  <c r="G270" i="6" s="1"/>
  <c r="H269" i="6"/>
  <c r="E269" i="6"/>
  <c r="G269" i="6" s="1"/>
  <c r="H268" i="6"/>
  <c r="I268" i="6" s="1"/>
  <c r="E268" i="6"/>
  <c r="G268" i="6" s="1"/>
  <c r="H267" i="6"/>
  <c r="I267" i="6" s="1"/>
  <c r="E267" i="6"/>
  <c r="G267" i="6" s="1"/>
  <c r="H266" i="6"/>
  <c r="I266" i="6" s="1"/>
  <c r="E266" i="6"/>
  <c r="G266" i="6" s="1"/>
  <c r="H265" i="6"/>
  <c r="E265" i="6"/>
  <c r="G265" i="6" s="1"/>
  <c r="H264" i="6"/>
  <c r="I264" i="6" s="1"/>
  <c r="E264" i="6"/>
  <c r="G264" i="6" s="1"/>
  <c r="H263" i="6"/>
  <c r="I263" i="6" s="1"/>
  <c r="E263" i="6"/>
  <c r="G263" i="6" s="1"/>
  <c r="H262" i="6"/>
  <c r="E262" i="6"/>
  <c r="G262" i="6" s="1"/>
  <c r="H261" i="6"/>
  <c r="E261" i="6"/>
  <c r="G261" i="6" s="1"/>
  <c r="H260" i="6"/>
  <c r="I260" i="6" s="1"/>
  <c r="E260" i="6"/>
  <c r="G260" i="6" s="1"/>
  <c r="H259" i="6"/>
  <c r="E259" i="6"/>
  <c r="G259" i="6" s="1"/>
  <c r="H258" i="6"/>
  <c r="G258" i="6"/>
  <c r="E258" i="6"/>
  <c r="H257" i="6"/>
  <c r="E257" i="6"/>
  <c r="G257" i="6" s="1"/>
  <c r="H256" i="6"/>
  <c r="I256" i="6" s="1"/>
  <c r="E256" i="6"/>
  <c r="G256" i="6" s="1"/>
  <c r="H255" i="6"/>
  <c r="I255" i="6" s="1"/>
  <c r="E255" i="6"/>
  <c r="G255" i="6" s="1"/>
  <c r="H254" i="6"/>
  <c r="E254" i="6"/>
  <c r="G254" i="6" s="1"/>
  <c r="H253" i="6"/>
  <c r="E253" i="6"/>
  <c r="G253" i="6" s="1"/>
  <c r="H252" i="6"/>
  <c r="I252" i="6" s="1"/>
  <c r="E252" i="6"/>
  <c r="G252" i="6" s="1"/>
  <c r="H251" i="6"/>
  <c r="I251" i="6" s="1"/>
  <c r="E251" i="6"/>
  <c r="G251" i="6" s="1"/>
  <c r="I250" i="6"/>
  <c r="H250" i="6"/>
  <c r="E250" i="6"/>
  <c r="G250" i="6" s="1"/>
  <c r="H249" i="6"/>
  <c r="E249" i="6"/>
  <c r="G249" i="6" s="1"/>
  <c r="H248" i="6"/>
  <c r="I248" i="6" s="1"/>
  <c r="G248" i="6"/>
  <c r="E248" i="6"/>
  <c r="H247" i="6"/>
  <c r="I247" i="6" s="1"/>
  <c r="E247" i="6"/>
  <c r="G247" i="6" s="1"/>
  <c r="H246" i="6"/>
  <c r="E246" i="6"/>
  <c r="G246" i="6" s="1"/>
  <c r="H245" i="6"/>
  <c r="E245" i="6"/>
  <c r="G245" i="6" s="1"/>
  <c r="H244" i="6"/>
  <c r="I244" i="6" s="1"/>
  <c r="E244" i="6"/>
  <c r="G244" i="6" s="1"/>
  <c r="H243" i="6"/>
  <c r="E243" i="6"/>
  <c r="G243" i="6" s="1"/>
  <c r="H242" i="6"/>
  <c r="E242" i="6"/>
  <c r="G242" i="6" s="1"/>
  <c r="H241" i="6"/>
  <c r="E241" i="6"/>
  <c r="G241" i="6" s="1"/>
  <c r="I240" i="6"/>
  <c r="H240" i="6"/>
  <c r="E240" i="6"/>
  <c r="G240" i="6" s="1"/>
  <c r="H239" i="6"/>
  <c r="I239" i="6" s="1"/>
  <c r="E239" i="6"/>
  <c r="G239" i="6" s="1"/>
  <c r="H238" i="6"/>
  <c r="F238" i="6"/>
  <c r="E238" i="6"/>
  <c r="H237" i="6"/>
  <c r="J237" i="6" s="1"/>
  <c r="F237" i="6"/>
  <c r="E237" i="6"/>
  <c r="H236" i="6"/>
  <c r="F236" i="6"/>
  <c r="E236" i="6"/>
  <c r="G236" i="6" s="1"/>
  <c r="H235" i="6"/>
  <c r="J235" i="6" s="1"/>
  <c r="F235" i="6"/>
  <c r="E235" i="6"/>
  <c r="G235" i="6" s="1"/>
  <c r="H234" i="6"/>
  <c r="F234" i="6"/>
  <c r="E234" i="6"/>
  <c r="G234" i="6" s="1"/>
  <c r="H233" i="6"/>
  <c r="F233" i="6"/>
  <c r="E233" i="6"/>
  <c r="G233" i="6" s="1"/>
  <c r="H232" i="6"/>
  <c r="F232" i="6"/>
  <c r="E232" i="6"/>
  <c r="G232" i="6" s="1"/>
  <c r="H231" i="6"/>
  <c r="F231" i="6"/>
  <c r="E231" i="6"/>
  <c r="H230" i="6"/>
  <c r="J230" i="6" s="1"/>
  <c r="F230" i="6"/>
  <c r="E230" i="6"/>
  <c r="H229" i="6"/>
  <c r="E229" i="6"/>
  <c r="G229" i="6" s="1"/>
  <c r="H228" i="6"/>
  <c r="J228" i="6" s="1"/>
  <c r="F228" i="6"/>
  <c r="E228" i="6"/>
  <c r="H227" i="6"/>
  <c r="F227" i="6"/>
  <c r="E227" i="6"/>
  <c r="G227" i="6" s="1"/>
  <c r="H226" i="6"/>
  <c r="J226" i="6" s="1"/>
  <c r="F226" i="6"/>
  <c r="E226" i="6"/>
  <c r="G226" i="6" s="1"/>
  <c r="H225" i="6"/>
  <c r="F225" i="6"/>
  <c r="E225" i="6"/>
  <c r="H224" i="6"/>
  <c r="J224" i="6" s="1"/>
  <c r="F224" i="6"/>
  <c r="E224" i="6"/>
  <c r="G224" i="6" s="1"/>
  <c r="H223" i="6"/>
  <c r="F223" i="6"/>
  <c r="E223" i="6"/>
  <c r="H222" i="6"/>
  <c r="F222" i="6"/>
  <c r="E222" i="6"/>
  <c r="G222" i="6" s="1"/>
  <c r="H221" i="6"/>
  <c r="F221" i="6"/>
  <c r="E221" i="6"/>
  <c r="H220" i="6"/>
  <c r="F220" i="6"/>
  <c r="E220" i="6"/>
  <c r="H219" i="6"/>
  <c r="J219" i="6" s="1"/>
  <c r="F219" i="6"/>
  <c r="E219" i="6"/>
  <c r="G219" i="6" s="1"/>
  <c r="H218" i="6"/>
  <c r="F218" i="6"/>
  <c r="E218" i="6"/>
  <c r="I217" i="6"/>
  <c r="K217" i="6" s="1"/>
  <c r="H217" i="6"/>
  <c r="J217" i="6" s="1"/>
  <c r="F217" i="6"/>
  <c r="E217" i="6"/>
  <c r="G217" i="6" s="1"/>
  <c r="H216" i="6"/>
  <c r="F216" i="6"/>
  <c r="E216" i="6"/>
  <c r="G216" i="6" s="1"/>
  <c r="H215" i="6"/>
  <c r="J215" i="6" s="1"/>
  <c r="F215" i="6"/>
  <c r="E215" i="6"/>
  <c r="H214" i="6"/>
  <c r="I214" i="6" s="1"/>
  <c r="E214" i="6"/>
  <c r="G214" i="6" s="1"/>
  <c r="H213" i="6"/>
  <c r="E213" i="6"/>
  <c r="G213" i="6" s="1"/>
  <c r="H212" i="6"/>
  <c r="I212" i="6" s="1"/>
  <c r="E212" i="6"/>
  <c r="G212" i="6" s="1"/>
  <c r="H211" i="6"/>
  <c r="I211" i="6" s="1"/>
  <c r="E211" i="6"/>
  <c r="G211" i="6" s="1"/>
  <c r="H210" i="6"/>
  <c r="I210" i="6" s="1"/>
  <c r="E210" i="6"/>
  <c r="G210" i="6" s="1"/>
  <c r="H209" i="6"/>
  <c r="E209" i="6"/>
  <c r="G209" i="6" s="1"/>
  <c r="H208" i="6"/>
  <c r="I208" i="6" s="1"/>
  <c r="E208" i="6"/>
  <c r="G208" i="6" s="1"/>
  <c r="H207" i="6"/>
  <c r="E207" i="6"/>
  <c r="G207" i="6" s="1"/>
  <c r="H206" i="6"/>
  <c r="F206" i="6"/>
  <c r="E206" i="6"/>
  <c r="G206" i="6" s="1"/>
  <c r="I205" i="6"/>
  <c r="K205" i="6" s="1"/>
  <c r="H205" i="6"/>
  <c r="J205" i="6" s="1"/>
  <c r="F205" i="6"/>
  <c r="E205" i="6"/>
  <c r="G205" i="6" s="1"/>
  <c r="H204" i="6"/>
  <c r="F204" i="6"/>
  <c r="E204" i="6"/>
  <c r="H203" i="6"/>
  <c r="E203" i="6"/>
  <c r="G203" i="6" s="1"/>
  <c r="H202" i="6"/>
  <c r="I202" i="6" s="1"/>
  <c r="E202" i="6"/>
  <c r="G202" i="6" s="1"/>
  <c r="H201" i="6"/>
  <c r="I201" i="6" s="1"/>
  <c r="E201" i="6"/>
  <c r="G201" i="6" s="1"/>
  <c r="I200" i="6"/>
  <c r="H200" i="6"/>
  <c r="E200" i="6"/>
  <c r="G200" i="6" s="1"/>
  <c r="H199" i="6"/>
  <c r="E199" i="6"/>
  <c r="G199" i="6" s="1"/>
  <c r="H198" i="6"/>
  <c r="I198" i="6" s="1"/>
  <c r="E198" i="6"/>
  <c r="G198" i="6" s="1"/>
  <c r="H197" i="6"/>
  <c r="E197" i="6"/>
  <c r="G197" i="6" s="1"/>
  <c r="I196" i="6"/>
  <c r="H196" i="6"/>
  <c r="E196" i="6"/>
  <c r="G196" i="6" s="1"/>
  <c r="H195" i="6"/>
  <c r="E195" i="6"/>
  <c r="G195" i="6" s="1"/>
  <c r="H194" i="6"/>
  <c r="I194" i="6" s="1"/>
  <c r="E194" i="6"/>
  <c r="G194" i="6" s="1"/>
  <c r="H193" i="6"/>
  <c r="I193" i="6" s="1"/>
  <c r="E193" i="6"/>
  <c r="G193" i="6" s="1"/>
  <c r="H192" i="6"/>
  <c r="E192" i="6"/>
  <c r="G192" i="6" s="1"/>
  <c r="H191" i="6"/>
  <c r="E191" i="6"/>
  <c r="G191" i="6" s="1"/>
  <c r="H190" i="6"/>
  <c r="J190" i="6" s="1"/>
  <c r="F190" i="6"/>
  <c r="E190" i="6"/>
  <c r="H189" i="6"/>
  <c r="J189" i="6" s="1"/>
  <c r="F189" i="6"/>
  <c r="E189" i="6"/>
  <c r="G189" i="6" s="1"/>
  <c r="H188" i="6"/>
  <c r="J188" i="6" s="1"/>
  <c r="F188" i="6"/>
  <c r="E188" i="6"/>
  <c r="H187" i="6"/>
  <c r="I187" i="6" s="1"/>
  <c r="E187" i="6"/>
  <c r="G187" i="6" s="1"/>
  <c r="I186" i="6"/>
  <c r="H186" i="6"/>
  <c r="G186" i="6"/>
  <c r="E186" i="6"/>
  <c r="H185" i="6"/>
  <c r="E185" i="6"/>
  <c r="G185" i="6" s="1"/>
  <c r="H184" i="6"/>
  <c r="I184" i="6" s="1"/>
  <c r="G184" i="6"/>
  <c r="E184" i="6"/>
  <c r="K183" i="6"/>
  <c r="H183" i="6"/>
  <c r="I183" i="6" s="1"/>
  <c r="E183" i="6"/>
  <c r="G183" i="6" s="1"/>
  <c r="H182" i="6"/>
  <c r="I182" i="6" s="1"/>
  <c r="E182" i="6"/>
  <c r="G182" i="6" s="1"/>
  <c r="H181" i="6"/>
  <c r="E181" i="6"/>
  <c r="G181" i="6" s="1"/>
  <c r="H180" i="6"/>
  <c r="I180" i="6" s="1"/>
  <c r="E180" i="6"/>
  <c r="G180" i="6" s="1"/>
  <c r="H179" i="6"/>
  <c r="I179" i="6" s="1"/>
  <c r="E179" i="6"/>
  <c r="G179" i="6" s="1"/>
  <c r="H178" i="6"/>
  <c r="I178" i="6" s="1"/>
  <c r="E178" i="6"/>
  <c r="G178" i="6" s="1"/>
  <c r="H177" i="6"/>
  <c r="E177" i="6"/>
  <c r="G177" i="6" s="1"/>
  <c r="H176" i="6"/>
  <c r="I176" i="6" s="1"/>
  <c r="E176" i="6"/>
  <c r="G176" i="6" s="1"/>
  <c r="K175" i="6"/>
  <c r="H175" i="6"/>
  <c r="I175" i="6" s="1"/>
  <c r="E175" i="6"/>
  <c r="G175" i="6" s="1"/>
  <c r="H174" i="6"/>
  <c r="E174" i="6"/>
  <c r="G174" i="6" s="1"/>
  <c r="H173" i="6"/>
  <c r="E173" i="6"/>
  <c r="G173" i="6" s="1"/>
  <c r="I172" i="6"/>
  <c r="H172" i="6"/>
  <c r="E172" i="6"/>
  <c r="G172" i="6" s="1"/>
  <c r="H171" i="6"/>
  <c r="I171" i="6" s="1"/>
  <c r="E171" i="6"/>
  <c r="G171" i="6" s="1"/>
  <c r="H170" i="6"/>
  <c r="I170" i="6" s="1"/>
  <c r="G170" i="6"/>
  <c r="E170" i="6"/>
  <c r="H169" i="6"/>
  <c r="E169" i="6"/>
  <c r="G169" i="6" s="1"/>
  <c r="H168" i="6"/>
  <c r="I168" i="6" s="1"/>
  <c r="E168" i="6"/>
  <c r="G168" i="6" s="1"/>
  <c r="H167" i="6"/>
  <c r="I167" i="6" s="1"/>
  <c r="K167" i="6" s="1"/>
  <c r="E167" i="6"/>
  <c r="G167" i="6" s="1"/>
  <c r="I166" i="6"/>
  <c r="H166" i="6"/>
  <c r="E166" i="6"/>
  <c r="G166" i="6" s="1"/>
  <c r="H165" i="6"/>
  <c r="E165" i="6"/>
  <c r="G165" i="6" s="1"/>
  <c r="H164" i="6"/>
  <c r="I164" i="6" s="1"/>
  <c r="E164" i="6"/>
  <c r="G164" i="6" s="1"/>
  <c r="H163" i="6"/>
  <c r="I163" i="6" s="1"/>
  <c r="E163" i="6"/>
  <c r="G163" i="6" s="1"/>
  <c r="H162" i="6"/>
  <c r="I162" i="6" s="1"/>
  <c r="E162" i="6"/>
  <c r="G162" i="6" s="1"/>
  <c r="H161" i="6"/>
  <c r="I161" i="6" s="1"/>
  <c r="E161" i="6"/>
  <c r="G161" i="6" s="1"/>
  <c r="K160" i="6"/>
  <c r="H160" i="6"/>
  <c r="I160" i="6" s="1"/>
  <c r="E160" i="6"/>
  <c r="G160" i="6" s="1"/>
  <c r="H159" i="6"/>
  <c r="I159" i="6" s="1"/>
  <c r="E159" i="6"/>
  <c r="G159" i="6" s="1"/>
  <c r="H158" i="6"/>
  <c r="I158" i="6" s="1"/>
  <c r="E158" i="6"/>
  <c r="G158" i="6" s="1"/>
  <c r="I157" i="6"/>
  <c r="H157" i="6"/>
  <c r="E157" i="6"/>
  <c r="G157" i="6" s="1"/>
  <c r="H156" i="6"/>
  <c r="I156" i="6" s="1"/>
  <c r="E156" i="6"/>
  <c r="G156" i="6" s="1"/>
  <c r="I155" i="6"/>
  <c r="H155" i="6"/>
  <c r="E155" i="6"/>
  <c r="G155" i="6" s="1"/>
  <c r="H154" i="6"/>
  <c r="I154" i="6" s="1"/>
  <c r="E154" i="6"/>
  <c r="G154" i="6" s="1"/>
  <c r="H153" i="6"/>
  <c r="I153" i="6" s="1"/>
  <c r="E153" i="6"/>
  <c r="G153" i="6" s="1"/>
  <c r="H152" i="6"/>
  <c r="I152" i="6" s="1"/>
  <c r="E152" i="6"/>
  <c r="G152" i="6" s="1"/>
  <c r="I151" i="6"/>
  <c r="H151" i="6"/>
  <c r="E151" i="6"/>
  <c r="G151" i="6" s="1"/>
  <c r="H150" i="6"/>
  <c r="I150" i="6" s="1"/>
  <c r="E150" i="6"/>
  <c r="G150" i="6" s="1"/>
  <c r="H149" i="6"/>
  <c r="I149" i="6" s="1"/>
  <c r="G149" i="6"/>
  <c r="E149" i="6"/>
  <c r="H148" i="6"/>
  <c r="I148" i="6" s="1"/>
  <c r="E148" i="6"/>
  <c r="G148" i="6" s="1"/>
  <c r="H147" i="6"/>
  <c r="I147" i="6" s="1"/>
  <c r="E147" i="6"/>
  <c r="G147" i="6" s="1"/>
  <c r="H146" i="6"/>
  <c r="I146" i="6" s="1"/>
  <c r="E146" i="6"/>
  <c r="G146" i="6" s="1"/>
  <c r="I145" i="6"/>
  <c r="H145" i="6"/>
  <c r="E145" i="6"/>
  <c r="G145" i="6" s="1"/>
  <c r="H144" i="6"/>
  <c r="I144" i="6" s="1"/>
  <c r="E144" i="6"/>
  <c r="G144" i="6" s="1"/>
  <c r="H143" i="6"/>
  <c r="I143" i="6" s="1"/>
  <c r="E143" i="6"/>
  <c r="G143" i="6" s="1"/>
  <c r="H142" i="6"/>
  <c r="I142" i="6" s="1"/>
  <c r="E142" i="6"/>
  <c r="G142" i="6" s="1"/>
  <c r="H141" i="6"/>
  <c r="I141" i="6" s="1"/>
  <c r="E141" i="6"/>
  <c r="G141" i="6" s="1"/>
  <c r="K140" i="6"/>
  <c r="H140" i="6"/>
  <c r="I140" i="6" s="1"/>
  <c r="E140" i="6"/>
  <c r="G140" i="6" s="1"/>
  <c r="H139" i="6"/>
  <c r="I139" i="6" s="1"/>
  <c r="E139" i="6"/>
  <c r="G139" i="6" s="1"/>
  <c r="H138" i="6"/>
  <c r="I138" i="6" s="1"/>
  <c r="E138" i="6"/>
  <c r="G138" i="6" s="1"/>
  <c r="H137" i="6"/>
  <c r="I137" i="6" s="1"/>
  <c r="E137" i="6"/>
  <c r="G137" i="6" s="1"/>
  <c r="H136" i="6"/>
  <c r="I136" i="6" s="1"/>
  <c r="K136" i="6" s="1"/>
  <c r="E136" i="6"/>
  <c r="G136" i="6" s="1"/>
  <c r="H135" i="6"/>
  <c r="I135" i="6" s="1"/>
  <c r="E135" i="6"/>
  <c r="G135" i="6" s="1"/>
  <c r="H134" i="6"/>
  <c r="I134" i="6" s="1"/>
  <c r="E134" i="6"/>
  <c r="G134" i="6" s="1"/>
  <c r="H133" i="6"/>
  <c r="I133" i="6" s="1"/>
  <c r="G133" i="6"/>
  <c r="E133" i="6"/>
  <c r="H132" i="6"/>
  <c r="I132" i="6" s="1"/>
  <c r="E132" i="6"/>
  <c r="G132" i="6" s="1"/>
  <c r="H131" i="6"/>
  <c r="I131" i="6" s="1"/>
  <c r="E131" i="6"/>
  <c r="G131" i="6" s="1"/>
  <c r="H130" i="6"/>
  <c r="I130" i="6" s="1"/>
  <c r="E130" i="6"/>
  <c r="G130" i="6" s="1"/>
  <c r="H129" i="6"/>
  <c r="I129" i="6" s="1"/>
  <c r="E129" i="6"/>
  <c r="G129" i="6" s="1"/>
  <c r="H128" i="6"/>
  <c r="I128" i="6" s="1"/>
  <c r="E128" i="6"/>
  <c r="G128" i="6" s="1"/>
  <c r="H127" i="6"/>
  <c r="E127" i="6"/>
  <c r="G127" i="6" s="1"/>
  <c r="H126" i="6"/>
  <c r="I126" i="6" s="1"/>
  <c r="E126" i="6"/>
  <c r="G126" i="6" s="1"/>
  <c r="H125" i="6"/>
  <c r="I125" i="6" s="1"/>
  <c r="E125" i="6"/>
  <c r="G125" i="6" s="1"/>
  <c r="H124" i="6"/>
  <c r="I124" i="6" s="1"/>
  <c r="E124" i="6"/>
  <c r="G124" i="6" s="1"/>
  <c r="H123" i="6"/>
  <c r="I123" i="6" s="1"/>
  <c r="E123" i="6"/>
  <c r="G123" i="6" s="1"/>
  <c r="H122" i="6"/>
  <c r="I122" i="6" s="1"/>
  <c r="E122" i="6"/>
  <c r="G122" i="6" s="1"/>
  <c r="H121" i="6"/>
  <c r="I121" i="6" s="1"/>
  <c r="E121" i="6"/>
  <c r="G121" i="6" s="1"/>
  <c r="H120" i="6"/>
  <c r="I120" i="6" s="1"/>
  <c r="E120" i="6"/>
  <c r="G120" i="6" s="1"/>
  <c r="H119" i="6"/>
  <c r="I119" i="6" s="1"/>
  <c r="E119" i="6"/>
  <c r="G119" i="6" s="1"/>
  <c r="H118" i="6"/>
  <c r="I118" i="6" s="1"/>
  <c r="E118" i="6"/>
  <c r="G118" i="6" s="1"/>
  <c r="H117" i="6"/>
  <c r="I117" i="6" s="1"/>
  <c r="E117" i="6"/>
  <c r="G117" i="6" s="1"/>
  <c r="H116" i="6"/>
  <c r="I116" i="6" s="1"/>
  <c r="E116" i="6"/>
  <c r="G116" i="6" s="1"/>
  <c r="I115" i="6"/>
  <c r="H115" i="6"/>
  <c r="E115" i="6"/>
  <c r="G115" i="6" s="1"/>
  <c r="H114" i="6"/>
  <c r="I114" i="6" s="1"/>
  <c r="E114" i="6"/>
  <c r="G114" i="6" s="1"/>
  <c r="H113" i="6"/>
  <c r="I113" i="6" s="1"/>
  <c r="E113" i="6"/>
  <c r="G113" i="6" s="1"/>
  <c r="H112" i="6"/>
  <c r="I112" i="6" s="1"/>
  <c r="E112" i="6"/>
  <c r="G112" i="6" s="1"/>
  <c r="H111" i="6"/>
  <c r="I111" i="6" s="1"/>
  <c r="G111" i="6"/>
  <c r="E111" i="6"/>
  <c r="H110" i="6"/>
  <c r="I110" i="6" s="1"/>
  <c r="E110" i="6"/>
  <c r="G110" i="6" s="1"/>
  <c r="H109" i="6"/>
  <c r="I109" i="6" s="1"/>
  <c r="E109" i="6"/>
  <c r="G109" i="6" s="1"/>
  <c r="H108" i="6"/>
  <c r="I108" i="6" s="1"/>
  <c r="E108" i="6"/>
  <c r="G108" i="6" s="1"/>
  <c r="I107" i="6"/>
  <c r="H107" i="6"/>
  <c r="E107" i="6"/>
  <c r="G107" i="6" s="1"/>
  <c r="H106" i="6"/>
  <c r="I106" i="6" s="1"/>
  <c r="E106" i="6"/>
  <c r="G106" i="6" s="1"/>
  <c r="H105" i="6"/>
  <c r="I105" i="6" s="1"/>
  <c r="G105" i="6"/>
  <c r="E105" i="6"/>
  <c r="H104" i="6"/>
  <c r="I104" i="6" s="1"/>
  <c r="E104" i="6"/>
  <c r="G104" i="6" s="1"/>
  <c r="H103" i="6"/>
  <c r="I103" i="6" s="1"/>
  <c r="E103" i="6"/>
  <c r="G103" i="6" s="1"/>
  <c r="H102" i="6"/>
  <c r="I102" i="6" s="1"/>
  <c r="E102" i="6"/>
  <c r="G102" i="6" s="1"/>
  <c r="D101" i="6"/>
  <c r="I100" i="6"/>
  <c r="H100" i="6"/>
  <c r="E100" i="6"/>
  <c r="G100" i="6" s="1"/>
  <c r="H99" i="6"/>
  <c r="I99" i="6" s="1"/>
  <c r="E99" i="6"/>
  <c r="G99" i="6" s="1"/>
  <c r="H98" i="6"/>
  <c r="I98" i="6" s="1"/>
  <c r="G98" i="6"/>
  <c r="E98" i="6"/>
  <c r="H97" i="6"/>
  <c r="I97" i="6" s="1"/>
  <c r="E97" i="6"/>
  <c r="G97" i="6" s="1"/>
  <c r="H96" i="6"/>
  <c r="I96" i="6" s="1"/>
  <c r="E96" i="6"/>
  <c r="G96" i="6" s="1"/>
  <c r="H95" i="6"/>
  <c r="I95" i="6" s="1"/>
  <c r="E95" i="6"/>
  <c r="G95" i="6" s="1"/>
  <c r="H94" i="6"/>
  <c r="I94" i="6" s="1"/>
  <c r="G94" i="6"/>
  <c r="E94" i="6"/>
  <c r="H93" i="6"/>
  <c r="I93" i="6" s="1"/>
  <c r="E93" i="6"/>
  <c r="G93" i="6" s="1"/>
  <c r="H92" i="6"/>
  <c r="I92" i="6" s="1"/>
  <c r="G92" i="6"/>
  <c r="E92" i="6"/>
  <c r="H91" i="6"/>
  <c r="I91" i="6" s="1"/>
  <c r="E91" i="6"/>
  <c r="G91" i="6" s="1"/>
  <c r="H90" i="6"/>
  <c r="I90" i="6" s="1"/>
  <c r="E90" i="6"/>
  <c r="G90" i="6" s="1"/>
  <c r="K89" i="6"/>
  <c r="H89" i="6"/>
  <c r="I89" i="6" s="1"/>
  <c r="E89" i="6"/>
  <c r="G89" i="6" s="1"/>
  <c r="H88" i="6"/>
  <c r="E88" i="6"/>
  <c r="G88" i="6" s="1"/>
  <c r="H87" i="6"/>
  <c r="I87" i="6" s="1"/>
  <c r="E87" i="6"/>
  <c r="G87" i="6" s="1"/>
  <c r="I86" i="6"/>
  <c r="H86" i="6"/>
  <c r="E86" i="6"/>
  <c r="G86" i="6" s="1"/>
  <c r="H85" i="6"/>
  <c r="I85" i="6" s="1"/>
  <c r="E85" i="6"/>
  <c r="G85" i="6" s="1"/>
  <c r="D84" i="6"/>
  <c r="H83" i="6"/>
  <c r="I83" i="6" s="1"/>
  <c r="E83" i="6"/>
  <c r="G83" i="6" s="1"/>
  <c r="K82" i="6"/>
  <c r="H82" i="6"/>
  <c r="I82" i="6" s="1"/>
  <c r="E82" i="6"/>
  <c r="G82" i="6" s="1"/>
  <c r="H81" i="6"/>
  <c r="I81" i="6" s="1"/>
  <c r="F81" i="6"/>
  <c r="E81" i="6"/>
  <c r="G81" i="6" s="1"/>
  <c r="H80" i="6"/>
  <c r="I80" i="6" s="1"/>
  <c r="F80" i="6"/>
  <c r="E80" i="6"/>
  <c r="G80" i="6" s="1"/>
  <c r="H79" i="6"/>
  <c r="I79" i="6" s="1"/>
  <c r="F79" i="6"/>
  <c r="E79" i="6"/>
  <c r="G79" i="6" s="1"/>
  <c r="H78" i="6"/>
  <c r="J78" i="6" s="1"/>
  <c r="F78" i="6"/>
  <c r="E78" i="6"/>
  <c r="H77" i="6"/>
  <c r="J77" i="6" s="1"/>
  <c r="F77" i="6"/>
  <c r="E77" i="6"/>
  <c r="G77" i="6" s="1"/>
  <c r="H76" i="6"/>
  <c r="J76" i="6" s="1"/>
  <c r="F76" i="6"/>
  <c r="E76" i="6"/>
  <c r="H75" i="6"/>
  <c r="J75" i="6" s="1"/>
  <c r="F75" i="6"/>
  <c r="E75" i="6"/>
  <c r="G75" i="6" s="1"/>
  <c r="H74" i="6"/>
  <c r="J74" i="6" s="1"/>
  <c r="F74" i="6"/>
  <c r="E74" i="6"/>
  <c r="H73" i="6"/>
  <c r="J73" i="6" s="1"/>
  <c r="F73" i="6"/>
  <c r="E73" i="6"/>
  <c r="G73" i="6" s="1"/>
  <c r="H72" i="6"/>
  <c r="J72" i="6" s="1"/>
  <c r="F72" i="6"/>
  <c r="E72" i="6"/>
  <c r="H71" i="6"/>
  <c r="J71" i="6" s="1"/>
  <c r="F71" i="6"/>
  <c r="E71" i="6"/>
  <c r="G71" i="6" s="1"/>
  <c r="H70" i="6"/>
  <c r="J70" i="6" s="1"/>
  <c r="F70" i="6"/>
  <c r="E70" i="6"/>
  <c r="H69" i="6"/>
  <c r="J69" i="6" s="1"/>
  <c r="F69" i="6"/>
  <c r="E69" i="6"/>
  <c r="G69" i="6" s="1"/>
  <c r="H68" i="6"/>
  <c r="J68" i="6" s="1"/>
  <c r="F68" i="6"/>
  <c r="E68" i="6"/>
  <c r="H67" i="6"/>
  <c r="J67" i="6" s="1"/>
  <c r="F67" i="6"/>
  <c r="E67" i="6"/>
  <c r="G67" i="6" s="1"/>
  <c r="H66" i="6"/>
  <c r="J66" i="6" s="1"/>
  <c r="F66" i="6"/>
  <c r="E66" i="6"/>
  <c r="H65" i="6"/>
  <c r="J65" i="6" s="1"/>
  <c r="F65" i="6"/>
  <c r="E65" i="6"/>
  <c r="G65" i="6" s="1"/>
  <c r="H64" i="6"/>
  <c r="J64" i="6" s="1"/>
  <c r="F64" i="6"/>
  <c r="E64" i="6"/>
  <c r="H63" i="6"/>
  <c r="J63" i="6" s="1"/>
  <c r="F63" i="6"/>
  <c r="E63" i="6"/>
  <c r="G63" i="6" s="1"/>
  <c r="H62" i="6"/>
  <c r="J62" i="6" s="1"/>
  <c r="F62" i="6"/>
  <c r="E62" i="6"/>
  <c r="H61" i="6"/>
  <c r="J61" i="6" s="1"/>
  <c r="F61" i="6"/>
  <c r="E61" i="6"/>
  <c r="G61" i="6" s="1"/>
  <c r="F60" i="6"/>
  <c r="E60" i="6"/>
  <c r="F59" i="6"/>
  <c r="E59" i="6"/>
  <c r="G59" i="6" s="1"/>
  <c r="H59" i="6" s="1"/>
  <c r="F58" i="6"/>
  <c r="E58" i="6"/>
  <c r="H57" i="6"/>
  <c r="J57" i="6" s="1"/>
  <c r="F57" i="6"/>
  <c r="E57" i="6"/>
  <c r="H56" i="6"/>
  <c r="J56" i="6" s="1"/>
  <c r="F56" i="6"/>
  <c r="E56" i="6"/>
  <c r="H55" i="6"/>
  <c r="J55" i="6" s="1"/>
  <c r="F55" i="6"/>
  <c r="E55" i="6"/>
  <c r="H54" i="6"/>
  <c r="J54" i="6" s="1"/>
  <c r="F54" i="6"/>
  <c r="E54" i="6"/>
  <c r="H53" i="6"/>
  <c r="J53" i="6" s="1"/>
  <c r="F53" i="6"/>
  <c r="E53" i="6"/>
  <c r="H52" i="6"/>
  <c r="J52" i="6" s="1"/>
  <c r="F52" i="6"/>
  <c r="E52" i="6"/>
  <c r="H51" i="6"/>
  <c r="J51" i="6" s="1"/>
  <c r="F51" i="6"/>
  <c r="E51" i="6"/>
  <c r="H50" i="6"/>
  <c r="I50" i="6" s="1"/>
  <c r="E50" i="6"/>
  <c r="G50" i="6" s="1"/>
  <c r="H49" i="6"/>
  <c r="F49" i="6"/>
  <c r="E49" i="6"/>
  <c r="G49" i="6" s="1"/>
  <c r="H48" i="6"/>
  <c r="J48" i="6" s="1"/>
  <c r="F48" i="6"/>
  <c r="E48" i="6"/>
  <c r="G48" i="6" s="1"/>
  <c r="H47" i="6"/>
  <c r="F47" i="6"/>
  <c r="E47" i="6"/>
  <c r="H46" i="6"/>
  <c r="J46" i="6" s="1"/>
  <c r="F46" i="6"/>
  <c r="E46" i="6"/>
  <c r="H45" i="6"/>
  <c r="F45" i="6"/>
  <c r="E45" i="6"/>
  <c r="H44" i="6"/>
  <c r="J44" i="6" s="1"/>
  <c r="F44" i="6"/>
  <c r="E44" i="6"/>
  <c r="H43" i="6"/>
  <c r="F43" i="6"/>
  <c r="E43" i="6"/>
  <c r="H42" i="6"/>
  <c r="J42" i="6" s="1"/>
  <c r="F42" i="6"/>
  <c r="E42" i="6"/>
  <c r="G42" i="6" s="1"/>
  <c r="H41" i="6"/>
  <c r="F41" i="6"/>
  <c r="E41" i="6"/>
  <c r="G41" i="6" s="1"/>
  <c r="I40" i="6"/>
  <c r="K40" i="6" s="1"/>
  <c r="H40" i="6"/>
  <c r="J40" i="6" s="1"/>
  <c r="F40" i="6"/>
  <c r="E40" i="6"/>
  <c r="G40" i="6" s="1"/>
  <c r="H39" i="6"/>
  <c r="F39" i="6"/>
  <c r="E39" i="6"/>
  <c r="H38" i="6"/>
  <c r="J38" i="6" s="1"/>
  <c r="F38" i="6"/>
  <c r="E38" i="6"/>
  <c r="H37" i="6"/>
  <c r="I37" i="6" s="1"/>
  <c r="E37" i="6"/>
  <c r="G37" i="6" s="1"/>
  <c r="H36" i="6"/>
  <c r="J36" i="6" s="1"/>
  <c r="F36" i="6"/>
  <c r="E36" i="6"/>
  <c r="H35" i="6"/>
  <c r="F35" i="6"/>
  <c r="E35" i="6"/>
  <c r="H34" i="6"/>
  <c r="J34" i="6" s="1"/>
  <c r="F34" i="6"/>
  <c r="E34" i="6"/>
  <c r="H33" i="6"/>
  <c r="F33" i="6"/>
  <c r="E33" i="6"/>
  <c r="H32" i="6"/>
  <c r="J32" i="6" s="1"/>
  <c r="F32" i="6"/>
  <c r="E32" i="6"/>
  <c r="G32" i="6" s="1"/>
  <c r="H31" i="6"/>
  <c r="F31" i="6"/>
  <c r="E31" i="6"/>
  <c r="G31" i="6" s="1"/>
  <c r="H30" i="6"/>
  <c r="J30" i="6" s="1"/>
  <c r="F30" i="6"/>
  <c r="E30" i="6"/>
  <c r="G30" i="6" s="1"/>
  <c r="H29" i="6"/>
  <c r="F29" i="6"/>
  <c r="E29" i="6"/>
  <c r="H28" i="6"/>
  <c r="J28" i="6" s="1"/>
  <c r="F28" i="6"/>
  <c r="E28" i="6"/>
  <c r="H27" i="6"/>
  <c r="F27" i="6"/>
  <c r="E27" i="6"/>
  <c r="H26" i="6"/>
  <c r="J26" i="6" s="1"/>
  <c r="F26" i="6"/>
  <c r="E26" i="6"/>
  <c r="H25" i="6"/>
  <c r="F25" i="6"/>
  <c r="E25" i="6"/>
  <c r="G25" i="6" s="1"/>
  <c r="H24" i="6"/>
  <c r="I24" i="6" s="1"/>
  <c r="E24" i="6"/>
  <c r="G24" i="6" s="1"/>
  <c r="H23" i="6"/>
  <c r="I23" i="6" s="1"/>
  <c r="E23" i="6"/>
  <c r="G23" i="6" s="1"/>
  <c r="H22" i="6"/>
  <c r="I22" i="6" s="1"/>
  <c r="E22" i="6"/>
  <c r="G22" i="6" s="1"/>
  <c r="H21" i="6"/>
  <c r="F21" i="6"/>
  <c r="E21" i="6"/>
  <c r="G21" i="6" s="1"/>
  <c r="I20" i="6"/>
  <c r="K20" i="6" s="1"/>
  <c r="H20" i="6"/>
  <c r="J20" i="6" s="1"/>
  <c r="F20" i="6"/>
  <c r="E20" i="6"/>
  <c r="H19" i="6"/>
  <c r="F19" i="6"/>
  <c r="E19" i="6"/>
  <c r="G19" i="6" s="1"/>
  <c r="J18" i="6"/>
  <c r="I18" i="6"/>
  <c r="F18" i="6"/>
  <c r="E18" i="6"/>
  <c r="I17" i="6"/>
  <c r="H17" i="6"/>
  <c r="J17" i="6" s="1"/>
  <c r="F17" i="6"/>
  <c r="E17" i="6"/>
  <c r="G17" i="6" s="1"/>
  <c r="H16" i="6"/>
  <c r="J16" i="6" s="1"/>
  <c r="F16" i="6"/>
  <c r="E16" i="6"/>
  <c r="I15" i="6"/>
  <c r="H15" i="6"/>
  <c r="J15" i="6" s="1"/>
  <c r="F15" i="6"/>
  <c r="E15" i="6"/>
  <c r="G15" i="6" s="1"/>
  <c r="H14" i="6"/>
  <c r="J14" i="6" s="1"/>
  <c r="F14" i="6"/>
  <c r="E14" i="6"/>
  <c r="H13" i="6"/>
  <c r="J13" i="6" s="1"/>
  <c r="F13" i="6"/>
  <c r="E13" i="6"/>
  <c r="G13" i="6" s="1"/>
  <c r="H12" i="6"/>
  <c r="J12" i="6" s="1"/>
  <c r="F12" i="6"/>
  <c r="E12" i="6"/>
  <c r="H11" i="6"/>
  <c r="J11" i="6" s="1"/>
  <c r="F11" i="6"/>
  <c r="E11" i="6"/>
  <c r="G11" i="6" s="1"/>
  <c r="H10" i="6"/>
  <c r="J10" i="6" s="1"/>
  <c r="F10" i="6"/>
  <c r="E10" i="6"/>
  <c r="J9" i="6"/>
  <c r="I9" i="6"/>
  <c r="F9" i="6"/>
  <c r="E9" i="6"/>
  <c r="G9" i="6" s="1"/>
  <c r="H8" i="6"/>
  <c r="J8" i="6" s="1"/>
  <c r="F8" i="6"/>
  <c r="E8" i="6"/>
  <c r="G8" i="6" s="1"/>
  <c r="H7" i="6"/>
  <c r="F7" i="6"/>
  <c r="E7" i="6"/>
  <c r="H6" i="6"/>
  <c r="J6" i="6" s="1"/>
  <c r="F6" i="6"/>
  <c r="E6" i="6"/>
  <c r="I48" i="6" l="1"/>
  <c r="K48" i="6" s="1"/>
  <c r="K128" i="6"/>
  <c r="K193" i="6"/>
  <c r="I215" i="6"/>
  <c r="K215" i="6" s="1"/>
  <c r="G218" i="6"/>
  <c r="I235" i="6"/>
  <c r="K235" i="6" s="1"/>
  <c r="K334" i="6"/>
  <c r="G347" i="6"/>
  <c r="K399" i="6"/>
  <c r="K405" i="6"/>
  <c r="I63" i="6"/>
  <c r="I71" i="6"/>
  <c r="K144" i="6"/>
  <c r="K156" i="6"/>
  <c r="K187" i="6"/>
  <c r="I189" i="6"/>
  <c r="I226" i="6"/>
  <c r="K226" i="6" s="1"/>
  <c r="AJ97" i="7" s="1"/>
  <c r="K239" i="6"/>
  <c r="K287" i="6"/>
  <c r="K108" i="6"/>
  <c r="K255" i="6"/>
  <c r="I416" i="6"/>
  <c r="I61" i="6"/>
  <c r="K61" i="6" s="1"/>
  <c r="I65" i="6"/>
  <c r="I69" i="6"/>
  <c r="K69" i="6" s="1"/>
  <c r="I75" i="6"/>
  <c r="I32" i="6"/>
  <c r="K32" i="6" s="1"/>
  <c r="I42" i="6"/>
  <c r="K42" i="6" s="1"/>
  <c r="K112" i="6"/>
  <c r="K124" i="6"/>
  <c r="G215" i="6"/>
  <c r="I224" i="6"/>
  <c r="K224" i="6" s="1"/>
  <c r="K353" i="6"/>
  <c r="K381" i="6"/>
  <c r="I8" i="6"/>
  <c r="K8" i="6" s="1"/>
  <c r="I418" i="6"/>
  <c r="I67" i="6"/>
  <c r="I73" i="6"/>
  <c r="I77" i="6"/>
  <c r="K77" i="6" s="1"/>
  <c r="I11" i="6"/>
  <c r="I13" i="6"/>
  <c r="G20" i="6"/>
  <c r="I30" i="6"/>
  <c r="K30" i="6" s="1"/>
  <c r="G33" i="6"/>
  <c r="G43" i="6"/>
  <c r="K85" i="6"/>
  <c r="K171" i="6"/>
  <c r="G220" i="6"/>
  <c r="G225" i="6"/>
  <c r="K319" i="6"/>
  <c r="I348" i="6"/>
  <c r="K348" i="6" s="1"/>
  <c r="I353" i="6"/>
  <c r="G360" i="6"/>
  <c r="I192" i="6"/>
  <c r="K192" i="6" s="1"/>
  <c r="I275" i="6"/>
  <c r="K275" i="6"/>
  <c r="K286" i="6"/>
  <c r="I286" i="6"/>
  <c r="I387" i="6"/>
  <c r="K387" i="6"/>
  <c r="I6" i="6"/>
  <c r="K6" i="6" s="1"/>
  <c r="K22" i="6"/>
  <c r="I28" i="6"/>
  <c r="K28" i="6" s="1"/>
  <c r="I36" i="6"/>
  <c r="K36" i="6" s="1"/>
  <c r="I38" i="6"/>
  <c r="K38" i="6" s="1"/>
  <c r="I46" i="6"/>
  <c r="K46" i="6" s="1"/>
  <c r="I88" i="6"/>
  <c r="K88" i="6" s="1"/>
  <c r="K92" i="6"/>
  <c r="K93" i="6"/>
  <c r="K115" i="6"/>
  <c r="K116" i="6"/>
  <c r="I127" i="6"/>
  <c r="K127" i="6" s="1"/>
  <c r="K131" i="6"/>
  <c r="K132" i="6"/>
  <c r="K147" i="6"/>
  <c r="K148" i="6"/>
  <c r="K163" i="6"/>
  <c r="K164" i="6"/>
  <c r="I174" i="6"/>
  <c r="K174" i="6" s="1"/>
  <c r="K178" i="6"/>
  <c r="K179" i="6"/>
  <c r="I207" i="6"/>
  <c r="K207" i="6" s="1"/>
  <c r="J222" i="6"/>
  <c r="I222" i="6"/>
  <c r="J232" i="6"/>
  <c r="I232" i="6"/>
  <c r="I243" i="6"/>
  <c r="K243" i="6" s="1"/>
  <c r="AX10" i="2"/>
  <c r="Z10" i="2"/>
  <c r="AH10" i="2"/>
  <c r="AP10" i="2"/>
  <c r="R10" i="2"/>
  <c r="I291" i="6"/>
  <c r="K291" i="6" s="1"/>
  <c r="K302" i="6"/>
  <c r="I302" i="6"/>
  <c r="I338" i="6"/>
  <c r="K338" i="6" s="1"/>
  <c r="J356" i="6"/>
  <c r="I356" i="6"/>
  <c r="I380" i="6"/>
  <c r="K380" i="6" s="1"/>
  <c r="K111" i="6"/>
  <c r="K143" i="6"/>
  <c r="I333" i="6"/>
  <c r="K333" i="6" s="1"/>
  <c r="G6" i="6"/>
  <c r="G7" i="6"/>
  <c r="I26" i="6"/>
  <c r="K26" i="6" s="1"/>
  <c r="G28" i="6"/>
  <c r="G29" i="6"/>
  <c r="I34" i="6"/>
  <c r="K34" i="6" s="1"/>
  <c r="G36" i="6"/>
  <c r="G38" i="6"/>
  <c r="G39" i="6"/>
  <c r="I44" i="6"/>
  <c r="K44" i="6" s="1"/>
  <c r="G46" i="6"/>
  <c r="G47" i="6"/>
  <c r="K50" i="6"/>
  <c r="I52" i="6"/>
  <c r="K52" i="6" s="1"/>
  <c r="I54" i="6"/>
  <c r="K54" i="6" s="1"/>
  <c r="I56" i="6"/>
  <c r="K56" i="6" s="1"/>
  <c r="K96" i="6"/>
  <c r="K97" i="6"/>
  <c r="K103" i="6"/>
  <c r="K104" i="6"/>
  <c r="K119" i="6"/>
  <c r="K120" i="6"/>
  <c r="K135" i="6"/>
  <c r="K151" i="6"/>
  <c r="K152" i="6"/>
  <c r="K166" i="6"/>
  <c r="K182" i="6"/>
  <c r="I197" i="6"/>
  <c r="K197" i="6" s="1"/>
  <c r="K214" i="6"/>
  <c r="I254" i="6"/>
  <c r="K254" i="6" s="1"/>
  <c r="I307" i="6"/>
  <c r="K307" i="6" s="1"/>
  <c r="K318" i="6"/>
  <c r="I318" i="6"/>
  <c r="J346" i="6"/>
  <c r="I346" i="6"/>
  <c r="K398" i="6"/>
  <c r="I398" i="6"/>
  <c r="K37" i="6"/>
  <c r="K159" i="6"/>
  <c r="K9" i="6"/>
  <c r="K11" i="6"/>
  <c r="K13" i="6"/>
  <c r="K15" i="6"/>
  <c r="K17" i="6"/>
  <c r="K18" i="6"/>
  <c r="G26" i="6"/>
  <c r="G27" i="6"/>
  <c r="G34" i="6"/>
  <c r="G35" i="6"/>
  <c r="G44" i="6"/>
  <c r="G45" i="6"/>
  <c r="G52" i="6"/>
  <c r="G54" i="6"/>
  <c r="G56" i="6"/>
  <c r="G58" i="6"/>
  <c r="H58" i="6" s="1"/>
  <c r="G60" i="6"/>
  <c r="H60" i="6" s="1"/>
  <c r="K63" i="6"/>
  <c r="K65" i="6"/>
  <c r="K67" i="6"/>
  <c r="K71" i="6"/>
  <c r="K73" i="6"/>
  <c r="K75" i="6"/>
  <c r="K79" i="6"/>
  <c r="K81" i="6"/>
  <c r="Z29" i="2"/>
  <c r="AX29" i="2"/>
  <c r="AH29" i="2"/>
  <c r="AP29" i="2"/>
  <c r="R29" i="2"/>
  <c r="K100" i="6"/>
  <c r="K107" i="6"/>
  <c r="K123" i="6"/>
  <c r="K139" i="6"/>
  <c r="K155" i="6"/>
  <c r="K170" i="6"/>
  <c r="K186" i="6"/>
  <c r="I259" i="6"/>
  <c r="K259" i="6" s="1"/>
  <c r="K270" i="6"/>
  <c r="I270" i="6"/>
  <c r="I323" i="6"/>
  <c r="K323" i="6"/>
  <c r="I354" i="6"/>
  <c r="K354" i="6" s="1"/>
  <c r="K258" i="6"/>
  <c r="K322" i="6"/>
  <c r="K196" i="6"/>
  <c r="G204" i="6"/>
  <c r="G223" i="6"/>
  <c r="I228" i="6"/>
  <c r="K228" i="6" s="1"/>
  <c r="I229" i="6"/>
  <c r="K229" i="6" s="1"/>
  <c r="I230" i="6"/>
  <c r="K230" i="6" s="1"/>
  <c r="I237" i="6"/>
  <c r="K237" i="6" s="1"/>
  <c r="I242" i="6"/>
  <c r="K242" i="6" s="1"/>
  <c r="K247" i="6"/>
  <c r="I258" i="6"/>
  <c r="K262" i="6"/>
  <c r="K263" i="6"/>
  <c r="I274" i="6"/>
  <c r="K274" i="6" s="1"/>
  <c r="K279" i="6"/>
  <c r="I290" i="6"/>
  <c r="K290" i="6" s="1"/>
  <c r="K295" i="6"/>
  <c r="I306" i="6"/>
  <c r="K306" i="6" s="1"/>
  <c r="K311" i="6"/>
  <c r="I322" i="6"/>
  <c r="K327" i="6"/>
  <c r="I337" i="6"/>
  <c r="K337" i="6" s="1"/>
  <c r="I344" i="6"/>
  <c r="K344" i="6" s="1"/>
  <c r="I352" i="6"/>
  <c r="K352" i="6" s="1"/>
  <c r="K373" i="6"/>
  <c r="I386" i="6"/>
  <c r="K386" i="6" s="1"/>
  <c r="K391" i="6"/>
  <c r="I402" i="6"/>
  <c r="K402" i="6" s="1"/>
  <c r="I403" i="6"/>
  <c r="K403" i="6" s="1"/>
  <c r="K189" i="6"/>
  <c r="K200" i="6"/>
  <c r="K201" i="6"/>
  <c r="K210" i="6"/>
  <c r="K211" i="6"/>
  <c r="I219" i="6"/>
  <c r="K219" i="6" s="1"/>
  <c r="G221" i="6"/>
  <c r="G228" i="6"/>
  <c r="G230" i="6"/>
  <c r="G231" i="6"/>
  <c r="G237" i="6"/>
  <c r="G238" i="6"/>
  <c r="I246" i="6"/>
  <c r="K246" i="6" s="1"/>
  <c r="K250" i="6"/>
  <c r="K251" i="6"/>
  <c r="I262" i="6"/>
  <c r="K266" i="6"/>
  <c r="K267" i="6"/>
  <c r="I278" i="6"/>
  <c r="K278" i="6" s="1"/>
  <c r="K282" i="6"/>
  <c r="K283" i="6"/>
  <c r="I294" i="6"/>
  <c r="K294" i="6" s="1"/>
  <c r="K298" i="6"/>
  <c r="K299" i="6"/>
  <c r="I310" i="6"/>
  <c r="K310" i="6" s="1"/>
  <c r="K314" i="6"/>
  <c r="K315" i="6"/>
  <c r="I326" i="6"/>
  <c r="K326" i="6" s="1"/>
  <c r="K329" i="6"/>
  <c r="K330" i="6"/>
  <c r="I341" i="6"/>
  <c r="K341" i="6" s="1"/>
  <c r="I342" i="6"/>
  <c r="K342" i="6" s="1"/>
  <c r="G344" i="6"/>
  <c r="G345" i="6"/>
  <c r="I350" i="6"/>
  <c r="K350" i="6" s="1"/>
  <c r="G352" i="6"/>
  <c r="K358" i="6"/>
  <c r="I360" i="6"/>
  <c r="K360" i="6" s="1"/>
  <c r="I362" i="6"/>
  <c r="K362" i="6" s="1"/>
  <c r="I364" i="6"/>
  <c r="K364" i="6" s="1"/>
  <c r="I366" i="6"/>
  <c r="K366" i="6" s="1"/>
  <c r="I368" i="6"/>
  <c r="K368" i="6" s="1"/>
  <c r="I372" i="6"/>
  <c r="K372" i="6" s="1"/>
  <c r="K376" i="6"/>
  <c r="K377" i="6"/>
  <c r="I390" i="6"/>
  <c r="K390" i="6" s="1"/>
  <c r="K394" i="6"/>
  <c r="G403" i="6"/>
  <c r="G404" i="6"/>
  <c r="K416" i="6"/>
  <c r="K418" i="6"/>
  <c r="I58" i="6"/>
  <c r="K58" i="6" s="1"/>
  <c r="I59" i="6"/>
  <c r="K59" i="6" s="1"/>
  <c r="I60" i="6"/>
  <c r="K60" i="6" s="1"/>
  <c r="I7" i="6"/>
  <c r="K7" i="6" s="1"/>
  <c r="I19" i="6"/>
  <c r="I21" i="6"/>
  <c r="I25" i="6"/>
  <c r="I27" i="6"/>
  <c r="K27" i="6" s="1"/>
  <c r="I29" i="6"/>
  <c r="I31" i="6"/>
  <c r="I33" i="6"/>
  <c r="I35" i="6"/>
  <c r="K35" i="6" s="1"/>
  <c r="I39" i="6"/>
  <c r="I41" i="6"/>
  <c r="I43" i="6"/>
  <c r="I45" i="6"/>
  <c r="K45" i="6" s="1"/>
  <c r="I47" i="6"/>
  <c r="I49" i="6"/>
  <c r="H101" i="6"/>
  <c r="E101" i="6"/>
  <c r="G101" i="6" s="1"/>
  <c r="I165" i="6"/>
  <c r="K165" i="6" s="1"/>
  <c r="I173" i="6"/>
  <c r="K173" i="6" s="1"/>
  <c r="I181" i="6"/>
  <c r="K181" i="6" s="1"/>
  <c r="I195" i="6"/>
  <c r="K195" i="6" s="1"/>
  <c r="I203" i="6"/>
  <c r="K203" i="6" s="1"/>
  <c r="I209" i="6"/>
  <c r="K209" i="6" s="1"/>
  <c r="I221" i="6"/>
  <c r="K221" i="6" s="1"/>
  <c r="J221" i="6"/>
  <c r="I223" i="6"/>
  <c r="J223" i="6"/>
  <c r="K223" i="6" s="1"/>
  <c r="I225" i="6"/>
  <c r="J225" i="6"/>
  <c r="I227" i="6"/>
  <c r="J227" i="6"/>
  <c r="I234" i="6"/>
  <c r="K234" i="6" s="1"/>
  <c r="J234" i="6"/>
  <c r="I238" i="6"/>
  <c r="J238" i="6"/>
  <c r="K238" i="6" s="1"/>
  <c r="I245" i="6"/>
  <c r="K245" i="6" s="1"/>
  <c r="I253" i="6"/>
  <c r="K253" i="6"/>
  <c r="J7" i="6"/>
  <c r="G10" i="6"/>
  <c r="I10" i="6"/>
  <c r="K10" i="6" s="1"/>
  <c r="G12" i="6"/>
  <c r="K12" i="6"/>
  <c r="I12" i="6"/>
  <c r="G14" i="6"/>
  <c r="I14" i="6"/>
  <c r="K14" i="6" s="1"/>
  <c r="G16" i="6"/>
  <c r="I16" i="6"/>
  <c r="K16" i="6" s="1"/>
  <c r="G18" i="6"/>
  <c r="J19" i="6"/>
  <c r="J21" i="6"/>
  <c r="K23" i="6"/>
  <c r="K24" i="6"/>
  <c r="J25" i="6"/>
  <c r="J27" i="6"/>
  <c r="J29" i="6"/>
  <c r="J31" i="6"/>
  <c r="J33" i="6"/>
  <c r="J35" i="6"/>
  <c r="J39" i="6"/>
  <c r="J41" i="6"/>
  <c r="J43" i="6"/>
  <c r="J45" i="6"/>
  <c r="J47" i="6"/>
  <c r="J49" i="6"/>
  <c r="G51" i="6"/>
  <c r="I51" i="6"/>
  <c r="K51" i="6" s="1"/>
  <c r="G53" i="6"/>
  <c r="I53" i="6"/>
  <c r="K53" i="6" s="1"/>
  <c r="G55" i="6"/>
  <c r="I55" i="6"/>
  <c r="K55" i="6" s="1"/>
  <c r="G57" i="6"/>
  <c r="I57" i="6"/>
  <c r="K57" i="6" s="1"/>
  <c r="G62" i="6"/>
  <c r="K62" i="6"/>
  <c r="I62" i="6"/>
  <c r="G64" i="6"/>
  <c r="I64" i="6"/>
  <c r="K64" i="6" s="1"/>
  <c r="G66" i="6"/>
  <c r="K66" i="6"/>
  <c r="I66" i="6"/>
  <c r="G68" i="6"/>
  <c r="I68" i="6"/>
  <c r="K68" i="6" s="1"/>
  <c r="G70" i="6"/>
  <c r="I70" i="6"/>
  <c r="K70" i="6" s="1"/>
  <c r="G72" i="6"/>
  <c r="I72" i="6"/>
  <c r="K72" i="6" s="1"/>
  <c r="G74" i="6"/>
  <c r="I74" i="6"/>
  <c r="K74" i="6" s="1"/>
  <c r="G76" i="6"/>
  <c r="I76" i="6"/>
  <c r="K76" i="6" s="1"/>
  <c r="G78" i="6"/>
  <c r="I78" i="6"/>
  <c r="K78" i="6" s="1"/>
  <c r="K80" i="6"/>
  <c r="K83" i="6"/>
  <c r="H84" i="6"/>
  <c r="E84" i="6"/>
  <c r="G84" i="6" s="1"/>
  <c r="K86" i="6"/>
  <c r="K87" i="6"/>
  <c r="K90" i="6"/>
  <c r="K91" i="6"/>
  <c r="K94" i="6"/>
  <c r="K95" i="6"/>
  <c r="K98" i="6"/>
  <c r="K99" i="6"/>
  <c r="K102" i="6"/>
  <c r="K105" i="6"/>
  <c r="K106" i="6"/>
  <c r="K109" i="6"/>
  <c r="K110" i="6"/>
  <c r="K113" i="6"/>
  <c r="K114" i="6"/>
  <c r="K117" i="6"/>
  <c r="K118" i="6"/>
  <c r="K121" i="6"/>
  <c r="K122" i="6"/>
  <c r="K125" i="6"/>
  <c r="K126" i="6"/>
  <c r="K129" i="6"/>
  <c r="K130" i="6"/>
  <c r="K133" i="6"/>
  <c r="K134" i="6"/>
  <c r="K137" i="6"/>
  <c r="K138" i="6"/>
  <c r="K141" i="6"/>
  <c r="K142" i="6"/>
  <c r="K145" i="6"/>
  <c r="K146" i="6"/>
  <c r="K149" i="6"/>
  <c r="K150" i="6"/>
  <c r="K153" i="6"/>
  <c r="K154" i="6"/>
  <c r="K157" i="6"/>
  <c r="K158" i="6"/>
  <c r="K161" i="6"/>
  <c r="K162" i="6"/>
  <c r="I169" i="6"/>
  <c r="K169" i="6" s="1"/>
  <c r="I177" i="6"/>
  <c r="K177" i="6" s="1"/>
  <c r="I185" i="6"/>
  <c r="K185" i="6" s="1"/>
  <c r="I191" i="6"/>
  <c r="K191" i="6" s="1"/>
  <c r="I199" i="6"/>
  <c r="K199" i="6" s="1"/>
  <c r="I204" i="6"/>
  <c r="J204" i="6"/>
  <c r="K204" i="6" s="1"/>
  <c r="I206" i="6"/>
  <c r="J206" i="6"/>
  <c r="I213" i="6"/>
  <c r="K213" i="6" s="1"/>
  <c r="I216" i="6"/>
  <c r="J216" i="6"/>
  <c r="I218" i="6"/>
  <c r="J218" i="6"/>
  <c r="I220" i="6"/>
  <c r="K220" i="6" s="1"/>
  <c r="I231" i="6"/>
  <c r="J231" i="6"/>
  <c r="I233" i="6"/>
  <c r="J233" i="6"/>
  <c r="I236" i="6"/>
  <c r="J236" i="6"/>
  <c r="I261" i="6"/>
  <c r="K261" i="6"/>
  <c r="I269" i="6"/>
  <c r="K269" i="6" s="1"/>
  <c r="I277" i="6"/>
  <c r="K277" i="6"/>
  <c r="I285" i="6"/>
  <c r="K285" i="6" s="1"/>
  <c r="I293" i="6"/>
  <c r="K293" i="6"/>
  <c r="I301" i="6"/>
  <c r="K301" i="6" s="1"/>
  <c r="I309" i="6"/>
  <c r="K309" i="6" s="1"/>
  <c r="I317" i="6"/>
  <c r="K317" i="6" s="1"/>
  <c r="I325" i="6"/>
  <c r="K325" i="6" s="1"/>
  <c r="I371" i="6"/>
  <c r="K371" i="6" s="1"/>
  <c r="I379" i="6"/>
  <c r="K379" i="6" s="1"/>
  <c r="I389" i="6"/>
  <c r="K389" i="6" s="1"/>
  <c r="I397" i="6"/>
  <c r="K397" i="6"/>
  <c r="K168" i="6"/>
  <c r="K172" i="6"/>
  <c r="K176" i="6"/>
  <c r="K180" i="6"/>
  <c r="K184" i="6"/>
  <c r="G188" i="6"/>
  <c r="I188" i="6"/>
  <c r="K188" i="6" s="1"/>
  <c r="G190" i="6"/>
  <c r="K190" i="6"/>
  <c r="I190" i="6"/>
  <c r="K194" i="6"/>
  <c r="K198" i="6"/>
  <c r="K202" i="6"/>
  <c r="K208" i="6"/>
  <c r="K212" i="6"/>
  <c r="I241" i="6"/>
  <c r="K241" i="6" s="1"/>
  <c r="I249" i="6"/>
  <c r="K249" i="6" s="1"/>
  <c r="I257" i="6"/>
  <c r="K257" i="6" s="1"/>
  <c r="I265" i="6"/>
  <c r="K265" i="6" s="1"/>
  <c r="I273" i="6"/>
  <c r="K273" i="6" s="1"/>
  <c r="I281" i="6"/>
  <c r="K281" i="6"/>
  <c r="I289" i="6"/>
  <c r="K289" i="6" s="1"/>
  <c r="I297" i="6"/>
  <c r="K297" i="6"/>
  <c r="I305" i="6"/>
  <c r="K305" i="6" s="1"/>
  <c r="I313" i="6"/>
  <c r="K313" i="6"/>
  <c r="I321" i="6"/>
  <c r="K321" i="6" s="1"/>
  <c r="I328" i="6"/>
  <c r="K328" i="6"/>
  <c r="I336" i="6"/>
  <c r="K336" i="6" s="1"/>
  <c r="I357" i="6"/>
  <c r="J357" i="6"/>
  <c r="K240" i="6"/>
  <c r="K244" i="6"/>
  <c r="K248" i="6"/>
  <c r="K252" i="6"/>
  <c r="K256" i="6"/>
  <c r="K260" i="6"/>
  <c r="K264" i="6"/>
  <c r="K268" i="6"/>
  <c r="K272" i="6"/>
  <c r="K276" i="6"/>
  <c r="K280" i="6"/>
  <c r="K284" i="6"/>
  <c r="K288" i="6"/>
  <c r="K292" i="6"/>
  <c r="K296" i="6"/>
  <c r="K300" i="6"/>
  <c r="K304" i="6"/>
  <c r="K308" i="6"/>
  <c r="K312" i="6"/>
  <c r="K316" i="6"/>
  <c r="K320" i="6"/>
  <c r="K324" i="6"/>
  <c r="I332" i="6"/>
  <c r="K332" i="6" s="1"/>
  <c r="I340" i="6"/>
  <c r="K340" i="6" s="1"/>
  <c r="I343" i="6"/>
  <c r="J343" i="6"/>
  <c r="I345" i="6"/>
  <c r="J345" i="6"/>
  <c r="I347" i="6"/>
  <c r="J347" i="6"/>
  <c r="I349" i="6"/>
  <c r="J349" i="6"/>
  <c r="I351" i="6"/>
  <c r="J351" i="6"/>
  <c r="I420" i="6"/>
  <c r="K420" i="6"/>
  <c r="K331" i="6"/>
  <c r="K335" i="6"/>
  <c r="K339" i="6"/>
  <c r="G355" i="6"/>
  <c r="I355" i="6"/>
  <c r="K355" i="6" s="1"/>
  <c r="I375" i="6"/>
  <c r="K375" i="6" s="1"/>
  <c r="I383" i="6"/>
  <c r="K383" i="6"/>
  <c r="I393" i="6"/>
  <c r="K393" i="6" s="1"/>
  <c r="I401" i="6"/>
  <c r="K401" i="6" s="1"/>
  <c r="I404" i="6"/>
  <c r="K404" i="6" s="1"/>
  <c r="J404" i="6"/>
  <c r="K359" i="6"/>
  <c r="K361" i="6"/>
  <c r="G363" i="6"/>
  <c r="I363" i="6"/>
  <c r="K363" i="6" s="1"/>
  <c r="K365" i="6"/>
  <c r="G367" i="6"/>
  <c r="I367" i="6"/>
  <c r="K367" i="6" s="1"/>
  <c r="G369" i="6"/>
  <c r="I369" i="6"/>
  <c r="K369" i="6" s="1"/>
  <c r="K374" i="6"/>
  <c r="K378" i="6"/>
  <c r="K382" i="6"/>
  <c r="K388" i="6"/>
  <c r="K392" i="6"/>
  <c r="K396" i="6"/>
  <c r="K400" i="6"/>
  <c r="K406" i="6"/>
  <c r="G417" i="6"/>
  <c r="I417" i="6"/>
  <c r="K417" i="6" s="1"/>
  <c r="K419" i="6"/>
  <c r="K206" i="6" l="1"/>
  <c r="K227" i="6"/>
  <c r="K39" i="6"/>
  <c r="K222" i="6"/>
  <c r="K356" i="6"/>
  <c r="K225" i="6"/>
  <c r="K47" i="6"/>
  <c r="K29" i="6"/>
  <c r="AH24" i="2"/>
  <c r="Z24" i="2"/>
  <c r="R24" i="2"/>
  <c r="AP24" i="2"/>
  <c r="AX24" i="2"/>
  <c r="Z25" i="2"/>
  <c r="AH25" i="2"/>
  <c r="AP25" i="2"/>
  <c r="AX25" i="2"/>
  <c r="R25" i="2"/>
  <c r="Z15" i="2"/>
  <c r="AP15" i="2"/>
  <c r="AX15" i="2"/>
  <c r="AH15" i="2"/>
  <c r="R15" i="2"/>
  <c r="Z14" i="2"/>
  <c r="R14" i="2"/>
  <c r="AX14" i="2"/>
  <c r="AP14" i="2"/>
  <c r="AH14" i="2"/>
  <c r="AH11" i="2"/>
  <c r="AX11" i="2"/>
  <c r="R11" i="2"/>
  <c r="AP11" i="2"/>
  <c r="Z11" i="2"/>
  <c r="K233" i="6"/>
  <c r="K43" i="6"/>
  <c r="K33" i="6"/>
  <c r="K25" i="6"/>
  <c r="AH23" i="2"/>
  <c r="AX23" i="2"/>
  <c r="Z23" i="2"/>
  <c r="AP23" i="2"/>
  <c r="R23" i="2"/>
  <c r="Z19" i="2"/>
  <c r="AH19" i="2"/>
  <c r="AX19" i="2"/>
  <c r="AP19" i="2"/>
  <c r="R19" i="2"/>
  <c r="K349" i="6"/>
  <c r="K345" i="6"/>
  <c r="K357" i="6"/>
  <c r="K236" i="6"/>
  <c r="K231" i="6"/>
  <c r="K218" i="6"/>
  <c r="AH17" i="2"/>
  <c r="AX17" i="2"/>
  <c r="AP17" i="2"/>
  <c r="Z17" i="2"/>
  <c r="R17" i="2"/>
  <c r="K49" i="6"/>
  <c r="K41" i="6"/>
  <c r="K31" i="6"/>
  <c r="K21" i="6"/>
  <c r="AH76" i="2"/>
  <c r="Z76" i="2"/>
  <c r="AX76" i="2"/>
  <c r="AP76" i="2"/>
  <c r="R76" i="2"/>
  <c r="AX9" i="2"/>
  <c r="R9" i="2"/>
  <c r="AH9" i="2"/>
  <c r="Z9" i="2"/>
  <c r="AP9" i="2"/>
  <c r="R20" i="2"/>
  <c r="AH20" i="2"/>
  <c r="AX20" i="2"/>
  <c r="AP20" i="2"/>
  <c r="Z20" i="2"/>
  <c r="K351" i="6"/>
  <c r="K347" i="6"/>
  <c r="K343" i="6"/>
  <c r="K216" i="6"/>
  <c r="K19" i="6"/>
  <c r="AX26" i="2"/>
  <c r="R26" i="2"/>
  <c r="AP26" i="2"/>
  <c r="Z26" i="2"/>
  <c r="AH26" i="2"/>
  <c r="AP13" i="2"/>
  <c r="AX13" i="2"/>
  <c r="Z13" i="2"/>
  <c r="AH13" i="2"/>
  <c r="R13" i="2"/>
  <c r="K346" i="6"/>
  <c r="K232" i="6"/>
  <c r="I84" i="6"/>
  <c r="K84" i="6" s="1"/>
  <c r="I101" i="6"/>
  <c r="K101" i="6" s="1"/>
  <c r="AH137" i="2" l="1"/>
  <c r="AA2" i="2" s="1"/>
  <c r="AC2" i="2" s="1"/>
  <c r="R137" i="2"/>
  <c r="K2" i="2" s="1"/>
  <c r="M2" i="2" s="1"/>
  <c r="AP137" i="2"/>
  <c r="AI2" i="2" s="1"/>
  <c r="AK2" i="2" s="1"/>
  <c r="Z137" i="2"/>
  <c r="S2" i="2" s="1"/>
  <c r="U2" i="2" s="1"/>
  <c r="AX137" i="2"/>
  <c r="AQ2" i="2" s="1"/>
  <c r="AS2" i="2" s="1"/>
  <c r="J73" i="7"/>
  <c r="M73" i="7" s="1"/>
  <c r="J72" i="7"/>
  <c r="M72" i="7" s="1"/>
  <c r="J71" i="7"/>
  <c r="M71" i="7" s="1"/>
  <c r="J55" i="7"/>
  <c r="M55" i="7" s="1"/>
  <c r="J54" i="7"/>
  <c r="M54" i="7" s="1"/>
  <c r="J46" i="7"/>
  <c r="M46" i="7" s="1"/>
  <c r="J45" i="7"/>
  <c r="M45" i="7" s="1"/>
  <c r="J43" i="7"/>
  <c r="M43" i="7" s="1"/>
  <c r="J42" i="7"/>
  <c r="M42" i="7" s="1"/>
  <c r="J41" i="7"/>
  <c r="M41" i="7" s="1"/>
  <c r="J10" i="7"/>
  <c r="M10" i="7" s="1"/>
  <c r="U41" i="7" l="1"/>
  <c r="X41" i="7" s="1"/>
  <c r="N41" i="7"/>
  <c r="U43" i="7"/>
  <c r="X43" i="7" s="1"/>
  <c r="N43" i="7"/>
  <c r="U46" i="7"/>
  <c r="X46" i="7" s="1"/>
  <c r="N46" i="7"/>
  <c r="U55" i="7"/>
  <c r="X55" i="7" s="1"/>
  <c r="N55" i="7"/>
  <c r="U72" i="7"/>
  <c r="X72" i="7" s="1"/>
  <c r="N72" i="7"/>
  <c r="U10" i="7"/>
  <c r="X10" i="7" s="1"/>
  <c r="N10" i="7"/>
  <c r="U42" i="7"/>
  <c r="X42" i="7" s="1"/>
  <c r="N42" i="7"/>
  <c r="U45" i="7"/>
  <c r="X45" i="7" s="1"/>
  <c r="N45" i="7"/>
  <c r="U54" i="7"/>
  <c r="X54" i="7" s="1"/>
  <c r="N54" i="7"/>
  <c r="U71" i="7"/>
  <c r="X71" i="7" s="1"/>
  <c r="N71" i="7"/>
  <c r="U73" i="7"/>
  <c r="X73" i="7" s="1"/>
  <c r="N73" i="7"/>
  <c r="J96" i="7"/>
  <c r="M96" i="7" s="1"/>
  <c r="J97" i="7"/>
  <c r="M97" i="7" s="1"/>
  <c r="J99" i="7"/>
  <c r="M99" i="7" s="1"/>
  <c r="J100" i="7"/>
  <c r="M100" i="7" s="1"/>
  <c r="J101" i="7"/>
  <c r="M101" i="7" s="1"/>
  <c r="J102" i="7"/>
  <c r="M102" i="7" s="1"/>
  <c r="J105" i="7"/>
  <c r="M105" i="7" s="1"/>
  <c r="J107" i="7"/>
  <c r="M107" i="7" s="1"/>
  <c r="J110" i="7"/>
  <c r="M110" i="7" s="1"/>
  <c r="J111" i="7"/>
  <c r="M111" i="7" s="1"/>
  <c r="J112" i="7"/>
  <c r="M112" i="7" s="1"/>
  <c r="J113" i="7"/>
  <c r="M113" i="7" s="1"/>
  <c r="J121" i="7"/>
  <c r="M121" i="7" s="1"/>
  <c r="J125" i="7"/>
  <c r="M125" i="7" s="1"/>
  <c r="J127" i="7"/>
  <c r="M127" i="7" s="1"/>
  <c r="J132" i="7"/>
  <c r="M132" i="7" s="1"/>
  <c r="J133" i="7"/>
  <c r="M133" i="7" s="1"/>
  <c r="J134" i="7"/>
  <c r="M134" i="7" s="1"/>
  <c r="E9" i="2"/>
  <c r="U121" i="7" l="1"/>
  <c r="X121" i="7" s="1"/>
  <c r="N121" i="7"/>
  <c r="U110" i="7"/>
  <c r="X110" i="7" s="1"/>
  <c r="N110" i="7"/>
  <c r="U101" i="7"/>
  <c r="X101" i="7" s="1"/>
  <c r="N101" i="7"/>
  <c r="U97" i="7"/>
  <c r="X97" i="7" s="1"/>
  <c r="N97" i="7"/>
  <c r="U133" i="7"/>
  <c r="X133" i="7" s="1"/>
  <c r="N133" i="7"/>
  <c r="U127" i="7"/>
  <c r="X127" i="7" s="1"/>
  <c r="N127" i="7"/>
  <c r="U112" i="7"/>
  <c r="X112" i="7" s="1"/>
  <c r="N112" i="7"/>
  <c r="U105" i="7"/>
  <c r="X105" i="7" s="1"/>
  <c r="N105" i="7"/>
  <c r="U99" i="7"/>
  <c r="X99" i="7" s="1"/>
  <c r="N99" i="7"/>
  <c r="U134" i="7"/>
  <c r="X134" i="7" s="1"/>
  <c r="N134" i="7"/>
  <c r="U132" i="7"/>
  <c r="X132" i="7" s="1"/>
  <c r="N132" i="7"/>
  <c r="U125" i="7"/>
  <c r="X125" i="7" s="1"/>
  <c r="N125" i="7"/>
  <c r="U113" i="7"/>
  <c r="X113" i="7" s="1"/>
  <c r="N113" i="7"/>
  <c r="U111" i="7"/>
  <c r="X111" i="7" s="1"/>
  <c r="N111" i="7"/>
  <c r="U107" i="7"/>
  <c r="X107" i="7" s="1"/>
  <c r="N107" i="7"/>
  <c r="U102" i="7"/>
  <c r="X102" i="7" s="1"/>
  <c r="N102" i="7"/>
  <c r="U100" i="7"/>
  <c r="X100" i="7" s="1"/>
  <c r="N100" i="7"/>
  <c r="U96" i="7"/>
  <c r="X96" i="7" s="1"/>
  <c r="N96" i="7"/>
  <c r="AF73" i="7"/>
  <c r="AI73" i="7" s="1"/>
  <c r="Y73" i="7"/>
  <c r="AF71" i="7"/>
  <c r="AI71" i="7" s="1"/>
  <c r="Y71" i="7"/>
  <c r="AF54" i="7"/>
  <c r="AI54" i="7" s="1"/>
  <c r="Y54" i="7"/>
  <c r="AF45" i="7"/>
  <c r="AI45" i="7" s="1"/>
  <c r="Y45" i="7"/>
  <c r="AF42" i="7"/>
  <c r="AI42" i="7" s="1"/>
  <c r="Y42" i="7"/>
  <c r="AF10" i="7"/>
  <c r="AI10" i="7" s="1"/>
  <c r="Y10" i="7"/>
  <c r="AF72" i="7"/>
  <c r="AI72" i="7" s="1"/>
  <c r="Y72" i="7"/>
  <c r="AF55" i="7"/>
  <c r="AI55" i="7" s="1"/>
  <c r="Y55" i="7"/>
  <c r="AF46" i="7"/>
  <c r="AI46" i="7" s="1"/>
  <c r="Y46" i="7"/>
  <c r="AF43" i="7"/>
  <c r="AI43" i="7" s="1"/>
  <c r="Y43" i="7"/>
  <c r="AF41" i="7"/>
  <c r="AI41" i="7" s="1"/>
  <c r="Y41" i="7"/>
  <c r="I10" i="2"/>
  <c r="J10" i="2" s="1"/>
  <c r="I11" i="2"/>
  <c r="J11" i="2" s="1"/>
  <c r="I14" i="2"/>
  <c r="J14" i="2" s="1"/>
  <c r="I19" i="2"/>
  <c r="J19" i="2" s="1"/>
  <c r="I20" i="2"/>
  <c r="J20" i="2" s="1"/>
  <c r="I23" i="2"/>
  <c r="J23" i="2" s="1"/>
  <c r="I24" i="2"/>
  <c r="J24" i="2" s="1"/>
  <c r="I30" i="2"/>
  <c r="J30" i="2" s="1"/>
  <c r="I76" i="2"/>
  <c r="J76" i="2" s="1"/>
  <c r="N171" i="7" l="1"/>
  <c r="D2" i="7" s="1"/>
  <c r="F2" i="7" s="1"/>
  <c r="AQ41" i="7"/>
  <c r="AT41" i="7" s="1"/>
  <c r="AJ41" i="7"/>
  <c r="AQ43" i="7"/>
  <c r="AT43" i="7" s="1"/>
  <c r="AJ43" i="7"/>
  <c r="AQ46" i="7"/>
  <c r="AT46" i="7" s="1"/>
  <c r="AJ46" i="7"/>
  <c r="AQ55" i="7"/>
  <c r="AT55" i="7" s="1"/>
  <c r="AJ55" i="7"/>
  <c r="AQ72" i="7"/>
  <c r="AT72" i="7" s="1"/>
  <c r="AJ72" i="7"/>
  <c r="AQ10" i="7"/>
  <c r="AT10" i="7" s="1"/>
  <c r="AJ10" i="7"/>
  <c r="AQ42" i="7"/>
  <c r="AT42" i="7" s="1"/>
  <c r="AJ42" i="7"/>
  <c r="AQ45" i="7"/>
  <c r="AT45" i="7" s="1"/>
  <c r="AJ45" i="7"/>
  <c r="AQ54" i="7"/>
  <c r="AT54" i="7" s="1"/>
  <c r="AJ54" i="7"/>
  <c r="AQ71" i="7"/>
  <c r="AT71" i="7" s="1"/>
  <c r="AJ71" i="7"/>
  <c r="AQ73" i="7"/>
  <c r="AT73" i="7" s="1"/>
  <c r="AJ73" i="7"/>
  <c r="AF96" i="7"/>
  <c r="AI96" i="7" s="1"/>
  <c r="Y96" i="7"/>
  <c r="AF100" i="7"/>
  <c r="AI100" i="7" s="1"/>
  <c r="Y100" i="7"/>
  <c r="AF102" i="7"/>
  <c r="AI102" i="7" s="1"/>
  <c r="Y102" i="7"/>
  <c r="AF107" i="7"/>
  <c r="AI107" i="7" s="1"/>
  <c r="Y107" i="7"/>
  <c r="AF111" i="7"/>
  <c r="AI111" i="7" s="1"/>
  <c r="Y111" i="7"/>
  <c r="AF113" i="7"/>
  <c r="AI113" i="7" s="1"/>
  <c r="Y113" i="7"/>
  <c r="AF125" i="7"/>
  <c r="AI125" i="7" s="1"/>
  <c r="Y125" i="7"/>
  <c r="AF132" i="7"/>
  <c r="AI132" i="7" s="1"/>
  <c r="Y132" i="7"/>
  <c r="AF134" i="7"/>
  <c r="AI134" i="7" s="1"/>
  <c r="Y134" i="7"/>
  <c r="AF99" i="7"/>
  <c r="AI99" i="7" s="1"/>
  <c r="Y99" i="7"/>
  <c r="AF105" i="7"/>
  <c r="AI105" i="7" s="1"/>
  <c r="Y105" i="7"/>
  <c r="AF112" i="7"/>
  <c r="AI112" i="7" s="1"/>
  <c r="Y112" i="7"/>
  <c r="AF127" i="7"/>
  <c r="AI127" i="7" s="1"/>
  <c r="Y127" i="7"/>
  <c r="AF133" i="7"/>
  <c r="AI133" i="7" s="1"/>
  <c r="Y133" i="7"/>
  <c r="Y97" i="7"/>
  <c r="AF101" i="7"/>
  <c r="AI101" i="7" s="1"/>
  <c r="Y101" i="7"/>
  <c r="AF110" i="7"/>
  <c r="AI110" i="7" s="1"/>
  <c r="Y110" i="7"/>
  <c r="AF121" i="7"/>
  <c r="AI121" i="7" s="1"/>
  <c r="Y121" i="7"/>
  <c r="I29" i="2"/>
  <c r="J29" i="2" s="1"/>
  <c r="I25" i="2"/>
  <c r="J25" i="2" s="1"/>
  <c r="I17" i="2"/>
  <c r="J17" i="2" s="1"/>
  <c r="I15" i="2"/>
  <c r="J15" i="2" s="1"/>
  <c r="I13" i="2"/>
  <c r="J13" i="2" s="1"/>
  <c r="I26" i="2"/>
  <c r="J26" i="2" s="1"/>
  <c r="G9" i="2"/>
  <c r="Y171" i="7" l="1"/>
  <c r="O2" i="7" s="1"/>
  <c r="Q2" i="7" s="1"/>
  <c r="AQ121" i="7"/>
  <c r="AT121" i="7" s="1"/>
  <c r="AJ121" i="7"/>
  <c r="AQ110" i="7"/>
  <c r="AT110" i="7" s="1"/>
  <c r="AJ110" i="7"/>
  <c r="AQ101" i="7"/>
  <c r="AT101" i="7" s="1"/>
  <c r="AJ101" i="7"/>
  <c r="AQ97" i="7"/>
  <c r="AT97" i="7" s="1"/>
  <c r="AQ133" i="7"/>
  <c r="AT133" i="7" s="1"/>
  <c r="AJ133" i="7"/>
  <c r="AQ127" i="7"/>
  <c r="AT127" i="7" s="1"/>
  <c r="AJ127" i="7"/>
  <c r="AQ112" i="7"/>
  <c r="AT112" i="7" s="1"/>
  <c r="AJ112" i="7"/>
  <c r="AQ105" i="7"/>
  <c r="AT105" i="7" s="1"/>
  <c r="AJ105" i="7"/>
  <c r="AQ99" i="7"/>
  <c r="AT99" i="7" s="1"/>
  <c r="AJ99" i="7"/>
  <c r="AQ134" i="7"/>
  <c r="AT134" i="7" s="1"/>
  <c r="AJ134" i="7"/>
  <c r="AQ132" i="7"/>
  <c r="AT132" i="7" s="1"/>
  <c r="AJ132" i="7"/>
  <c r="AQ125" i="7"/>
  <c r="AT125" i="7" s="1"/>
  <c r="AJ125" i="7"/>
  <c r="AQ113" i="7"/>
  <c r="AT113" i="7" s="1"/>
  <c r="AJ113" i="7"/>
  <c r="AQ111" i="7"/>
  <c r="AT111" i="7" s="1"/>
  <c r="AJ111" i="7"/>
  <c r="AQ107" i="7"/>
  <c r="AT107" i="7" s="1"/>
  <c r="AJ107" i="7"/>
  <c r="AQ102" i="7"/>
  <c r="AT102" i="7" s="1"/>
  <c r="AJ102" i="7"/>
  <c r="AQ100" i="7"/>
  <c r="AT100" i="7" s="1"/>
  <c r="AJ100" i="7"/>
  <c r="AQ96" i="7"/>
  <c r="AT96" i="7" s="1"/>
  <c r="AJ96" i="7"/>
  <c r="BB73" i="7"/>
  <c r="BE73" i="7" s="1"/>
  <c r="AU73" i="7"/>
  <c r="BB71" i="7"/>
  <c r="BE71" i="7" s="1"/>
  <c r="AU71" i="7"/>
  <c r="BB54" i="7"/>
  <c r="BE54" i="7" s="1"/>
  <c r="AU54" i="7"/>
  <c r="BB45" i="7"/>
  <c r="BE45" i="7" s="1"/>
  <c r="AU45" i="7"/>
  <c r="BB42" i="7"/>
  <c r="BE42" i="7" s="1"/>
  <c r="AU42" i="7"/>
  <c r="BB10" i="7"/>
  <c r="BE10" i="7" s="1"/>
  <c r="AU10" i="7"/>
  <c r="BB72" i="7"/>
  <c r="BE72" i="7" s="1"/>
  <c r="AU72" i="7"/>
  <c r="BB55" i="7"/>
  <c r="BE55" i="7" s="1"/>
  <c r="AU55" i="7"/>
  <c r="BB46" i="7"/>
  <c r="BE46" i="7" s="1"/>
  <c r="AU46" i="7"/>
  <c r="BB43" i="7"/>
  <c r="BE43" i="7" s="1"/>
  <c r="AU43" i="7"/>
  <c r="BB41" i="7"/>
  <c r="BE41" i="7" s="1"/>
  <c r="AU41" i="7"/>
  <c r="I9" i="2"/>
  <c r="AJ171" i="7" l="1"/>
  <c r="Z2" i="7" s="1"/>
  <c r="AB2" i="7" s="1"/>
  <c r="BM41" i="7"/>
  <c r="BP41" i="7" s="1"/>
  <c r="BF41" i="7"/>
  <c r="BM43" i="7"/>
  <c r="BP43" i="7" s="1"/>
  <c r="BF43" i="7"/>
  <c r="BM46" i="7"/>
  <c r="BP46" i="7" s="1"/>
  <c r="BF46" i="7"/>
  <c r="BM55" i="7"/>
  <c r="BP55" i="7" s="1"/>
  <c r="BF55" i="7"/>
  <c r="BM72" i="7"/>
  <c r="BP72" i="7" s="1"/>
  <c r="BF72" i="7"/>
  <c r="BM10" i="7"/>
  <c r="BP10" i="7" s="1"/>
  <c r="BF10" i="7"/>
  <c r="BM42" i="7"/>
  <c r="BP42" i="7" s="1"/>
  <c r="BF42" i="7"/>
  <c r="BM45" i="7"/>
  <c r="BP45" i="7" s="1"/>
  <c r="BF45" i="7"/>
  <c r="BM54" i="7"/>
  <c r="BP54" i="7" s="1"/>
  <c r="BF54" i="7"/>
  <c r="BM71" i="7"/>
  <c r="BP71" i="7" s="1"/>
  <c r="BF71" i="7"/>
  <c r="BM73" i="7"/>
  <c r="BP73" i="7" s="1"/>
  <c r="BF73" i="7"/>
  <c r="BB96" i="7"/>
  <c r="BE96" i="7" s="1"/>
  <c r="AU96" i="7"/>
  <c r="BB100" i="7"/>
  <c r="BE100" i="7" s="1"/>
  <c r="AU100" i="7"/>
  <c r="BB102" i="7"/>
  <c r="BE102" i="7" s="1"/>
  <c r="AU102" i="7"/>
  <c r="BB107" i="7"/>
  <c r="BE107" i="7" s="1"/>
  <c r="AU107" i="7"/>
  <c r="BB111" i="7"/>
  <c r="BE111" i="7" s="1"/>
  <c r="AU111" i="7"/>
  <c r="BB113" i="7"/>
  <c r="BE113" i="7" s="1"/>
  <c r="AU113" i="7"/>
  <c r="BB125" i="7"/>
  <c r="BE125" i="7" s="1"/>
  <c r="AU125" i="7"/>
  <c r="BB132" i="7"/>
  <c r="BE132" i="7" s="1"/>
  <c r="AU132" i="7"/>
  <c r="BB134" i="7"/>
  <c r="BE134" i="7" s="1"/>
  <c r="AU134" i="7"/>
  <c r="BB99" i="7"/>
  <c r="BE99" i="7" s="1"/>
  <c r="AU99" i="7"/>
  <c r="BB105" i="7"/>
  <c r="BE105" i="7" s="1"/>
  <c r="AU105" i="7"/>
  <c r="BB112" i="7"/>
  <c r="BE112" i="7" s="1"/>
  <c r="AU112" i="7"/>
  <c r="BB127" i="7"/>
  <c r="BE127" i="7" s="1"/>
  <c r="AU127" i="7"/>
  <c r="BB133" i="7"/>
  <c r="BE133" i="7" s="1"/>
  <c r="AU133" i="7"/>
  <c r="BB97" i="7"/>
  <c r="BE97" i="7" s="1"/>
  <c r="AU97" i="7"/>
  <c r="BB101" i="7"/>
  <c r="BE101" i="7" s="1"/>
  <c r="AU101" i="7"/>
  <c r="BB110" i="7"/>
  <c r="BE110" i="7" s="1"/>
  <c r="AU110" i="7"/>
  <c r="BB121" i="7"/>
  <c r="BE121" i="7" s="1"/>
  <c r="AU121" i="7"/>
  <c r="J9" i="2"/>
  <c r="J137" i="2" s="1"/>
  <c r="C2" i="2" s="1"/>
  <c r="E2" i="2" s="1"/>
  <c r="AU171" i="7" l="1"/>
  <c r="AK2" i="7" s="1"/>
  <c r="AM2" i="7" s="1"/>
  <c r="BM121" i="7"/>
  <c r="BP121" i="7" s="1"/>
  <c r="BF121" i="7"/>
  <c r="BM110" i="7"/>
  <c r="BP110" i="7" s="1"/>
  <c r="BF110" i="7"/>
  <c r="BM101" i="7"/>
  <c r="BP101" i="7" s="1"/>
  <c r="BF101" i="7"/>
  <c r="BM97" i="7"/>
  <c r="BP97" i="7" s="1"/>
  <c r="BF97" i="7"/>
  <c r="BM133" i="7"/>
  <c r="BP133" i="7" s="1"/>
  <c r="BF133" i="7"/>
  <c r="BM127" i="7"/>
  <c r="BP127" i="7" s="1"/>
  <c r="BF127" i="7"/>
  <c r="BM112" i="7"/>
  <c r="BP112" i="7" s="1"/>
  <c r="BF112" i="7"/>
  <c r="BM105" i="7"/>
  <c r="BP105" i="7" s="1"/>
  <c r="BF105" i="7"/>
  <c r="BM99" i="7"/>
  <c r="BP99" i="7" s="1"/>
  <c r="BF99" i="7"/>
  <c r="BM134" i="7"/>
  <c r="BP134" i="7" s="1"/>
  <c r="BF134" i="7"/>
  <c r="BM132" i="7"/>
  <c r="BP132" i="7" s="1"/>
  <c r="BF132" i="7"/>
  <c r="BM125" i="7"/>
  <c r="BP125" i="7" s="1"/>
  <c r="BF125" i="7"/>
  <c r="BM113" i="7"/>
  <c r="BP113" i="7" s="1"/>
  <c r="BF113" i="7"/>
  <c r="BM111" i="7"/>
  <c r="BP111" i="7" s="1"/>
  <c r="BF111" i="7"/>
  <c r="BM107" i="7"/>
  <c r="BP107" i="7" s="1"/>
  <c r="BF107" i="7"/>
  <c r="BM102" i="7"/>
  <c r="BP102" i="7" s="1"/>
  <c r="BF102" i="7"/>
  <c r="BM100" i="7"/>
  <c r="BP100" i="7" s="1"/>
  <c r="BF100" i="7"/>
  <c r="BM96" i="7"/>
  <c r="BP96" i="7" s="1"/>
  <c r="BF96" i="7"/>
  <c r="BQ73" i="7"/>
  <c r="BQ71" i="7"/>
  <c r="BQ54" i="7"/>
  <c r="BQ45" i="7"/>
  <c r="BQ42" i="7"/>
  <c r="BQ10" i="7"/>
  <c r="BQ72" i="7"/>
  <c r="BQ55" i="7"/>
  <c r="BQ46" i="7"/>
  <c r="BQ43" i="7"/>
  <c r="BQ41" i="7"/>
  <c r="BF171" i="7" l="1"/>
  <c r="AV2" i="7" s="1"/>
  <c r="AX2" i="7" s="1"/>
  <c r="BQ96" i="7"/>
  <c r="BQ100" i="7"/>
  <c r="BQ102" i="7"/>
  <c r="BQ107" i="7"/>
  <c r="BQ111" i="7"/>
  <c r="BQ113" i="7"/>
  <c r="BQ125" i="7"/>
  <c r="BQ132" i="7"/>
  <c r="BQ134" i="7"/>
  <c r="BQ99" i="7"/>
  <c r="BQ105" i="7"/>
  <c r="BQ112" i="7"/>
  <c r="BQ127" i="7"/>
  <c r="BQ133" i="7"/>
  <c r="BQ97" i="7"/>
  <c r="BQ101" i="7"/>
  <c r="BQ110" i="7"/>
  <c r="BQ121" i="7"/>
  <c r="BQ171" i="7" l="1"/>
  <c r="BG2" i="7" s="1"/>
  <c r="BI2" i="7" s="1"/>
</calcChain>
</file>

<file path=xl/sharedStrings.xml><?xml version="1.0" encoding="utf-8"?>
<sst xmlns="http://schemas.openxmlformats.org/spreadsheetml/2006/main" count="2242" uniqueCount="599">
  <si>
    <t>Inicio</t>
  </si>
  <si>
    <t>Producto</t>
  </si>
  <si>
    <t>Reposición</t>
  </si>
  <si>
    <t>Unidades</t>
  </si>
  <si>
    <t xml:space="preserve">FILETILLO PORCIÓN </t>
  </si>
  <si>
    <t xml:space="preserve">FILETILLO QUESADILLAS </t>
  </si>
  <si>
    <t>MECHADAS SANDWICH</t>
  </si>
  <si>
    <t>HAMBURG CASERA</t>
  </si>
  <si>
    <t>CHURRASCO</t>
  </si>
  <si>
    <t>CHAMPIÑÓN PORCIÓN</t>
  </si>
  <si>
    <t>LOMO DE 250</t>
  </si>
  <si>
    <t>CAMARON PORCION</t>
  </si>
  <si>
    <t>CAMARON APANADO</t>
  </si>
  <si>
    <t>BROCHETA CAMARON</t>
  </si>
  <si>
    <t xml:space="preserve">APEROL </t>
  </si>
  <si>
    <t>JAGERMEISTER</t>
  </si>
  <si>
    <t xml:space="preserve">TEQUILA JIMADOR BLANCO </t>
  </si>
  <si>
    <t>GIN HENDRICKS</t>
  </si>
  <si>
    <t xml:space="preserve">CORONA NORMAL  </t>
  </si>
  <si>
    <t xml:space="preserve">JACK DANIEL`S </t>
  </si>
  <si>
    <t xml:space="preserve">JACK HONEY </t>
  </si>
  <si>
    <t>MINERAL VITAL VIDRIO  CON GAS</t>
  </si>
  <si>
    <t xml:space="preserve">MINERAL VITAL VIDRIO SIN GAS </t>
  </si>
  <si>
    <t xml:space="preserve">JOHNNIE NEGRO </t>
  </si>
  <si>
    <t xml:space="preserve">JOHNNIE ROJO </t>
  </si>
  <si>
    <t>MISTRAL 40 NOBEL</t>
  </si>
  <si>
    <t>RAMAZZOTTI</t>
  </si>
  <si>
    <t>RED BULL NORMAL</t>
  </si>
  <si>
    <t>RED BULL S/A</t>
  </si>
  <si>
    <t>POLLO</t>
  </si>
  <si>
    <t>CARNES</t>
  </si>
  <si>
    <t>PAN, TORTILLAS Y MASAS</t>
  </si>
  <si>
    <t>CERVEZAS</t>
  </si>
  <si>
    <t>BEBIDAS Y AGUAS</t>
  </si>
  <si>
    <t>WHISKEY</t>
  </si>
  <si>
    <t>TEQUILA</t>
  </si>
  <si>
    <t>GIN</t>
  </si>
  <si>
    <t>PISCO</t>
  </si>
  <si>
    <t>RON</t>
  </si>
  <si>
    <t>ENERGÉTICAS</t>
  </si>
  <si>
    <t>OTROS LICORES Y CREMAS</t>
  </si>
  <si>
    <t>Porciones</t>
  </si>
  <si>
    <t>PESCADOS Y MARISCOS</t>
  </si>
  <si>
    <t xml:space="preserve">SALMÓN </t>
  </si>
  <si>
    <t>CRUDOS</t>
  </si>
  <si>
    <t>CANTIDAD UTILIZADA</t>
  </si>
  <si>
    <t>PRODUCTO</t>
  </si>
  <si>
    <t>COLACION</t>
  </si>
  <si>
    <t xml:space="preserve">RED BULL YELLOW EDITIONS </t>
  </si>
  <si>
    <t xml:space="preserve">TANQUERAY N° TEN </t>
  </si>
  <si>
    <t>TANQUERAY LONDON</t>
  </si>
  <si>
    <t xml:space="preserve">TANQUERAY SEVILLA </t>
  </si>
  <si>
    <t xml:space="preserve">PAMPERO ANIVERSARIO </t>
  </si>
  <si>
    <t>CHICKEN FINGER</t>
  </si>
  <si>
    <t>TOCINO LAMINADO</t>
  </si>
  <si>
    <t>JOHNNIE BLONDE</t>
  </si>
  <si>
    <t>BULLEIT</t>
  </si>
  <si>
    <t>Final Turno</t>
  </si>
  <si>
    <t>RAMAZZOTTI VIOLETA</t>
  </si>
  <si>
    <t>EMPANADAS MIXTA</t>
  </si>
  <si>
    <t>EMPANADAS DE QUESO</t>
  </si>
  <si>
    <t>COCACOLA 350CC</t>
  </si>
  <si>
    <t>COCACOLA 220CC</t>
  </si>
  <si>
    <t>COCACOLA LIGHT 350 CC</t>
  </si>
  <si>
    <t>COCACOLA ZERO 350 CC</t>
  </si>
  <si>
    <t>COCACOLA ZERO 220CC</t>
  </si>
  <si>
    <t>JACK DANIELS  FIRE</t>
  </si>
  <si>
    <t>JACK DANIELS APPLE</t>
  </si>
  <si>
    <t xml:space="preserve">        </t>
  </si>
  <si>
    <t>VENTA</t>
  </si>
  <si>
    <t>DIFERENCIA</t>
  </si>
  <si>
    <t>Final</t>
  </si>
  <si>
    <t>I. CHICKEN FINGER</t>
  </si>
  <si>
    <t>I. FILETILLO POLLO</t>
  </si>
  <si>
    <t>I. fil. pollo ques</t>
  </si>
  <si>
    <t>I. CHURRASCO PORCION</t>
  </si>
  <si>
    <t>I. CRUDO PORC</t>
  </si>
  <si>
    <t>I. HAMBURGUESA</t>
  </si>
  <si>
    <t>I. NOT HAMBURGUESA</t>
  </si>
  <si>
    <t>I. LOMO 250</t>
  </si>
  <si>
    <t>I. MECHADA MENU</t>
  </si>
  <si>
    <t>I. MECHADA SAND</t>
  </si>
  <si>
    <t>I. TOCINO PORCION</t>
  </si>
  <si>
    <t>I. BROCHETA CAMARON</t>
  </si>
  <si>
    <t>I. CAMARON APA</t>
  </si>
  <si>
    <t>I. CAMARON PORCION</t>
  </si>
  <si>
    <t>I. SALMON DE 250</t>
  </si>
  <si>
    <t>I. ARROZ PORCION</t>
  </si>
  <si>
    <t>I. EMPANADA PORC</t>
  </si>
  <si>
    <t>I. MASITAS CASERAS</t>
  </si>
  <si>
    <t>I. FETTUCCINI PORCION</t>
  </si>
  <si>
    <t>I. NACHOS</t>
  </si>
  <si>
    <t>I. PAN FRICA</t>
  </si>
  <si>
    <t>I. BAGUETTE</t>
  </si>
  <si>
    <t>I. TORTILLAS CH</t>
  </si>
  <si>
    <t>I. TORTILLAS GR</t>
  </si>
  <si>
    <t>I. ACEITE 900GR</t>
  </si>
  <si>
    <t>I. ACEITE BIDON</t>
  </si>
  <si>
    <t>I. ACEITE OLIVA</t>
  </si>
  <si>
    <t>I. CREMA ESPESA</t>
  </si>
  <si>
    <t>I. LECHE BLANCA</t>
  </si>
  <si>
    <t>I. PALOS QUESO</t>
  </si>
  <si>
    <t>I. CAMEMBERT</t>
  </si>
  <si>
    <t>I. YOGURT 900GR</t>
  </si>
  <si>
    <t>I. AJI CREMA</t>
  </si>
  <si>
    <t>I. AJIMOTO</t>
  </si>
  <si>
    <t>I. AJO MOLIDO KG</t>
  </si>
  <si>
    <t>I. BODEGA BLANCO</t>
  </si>
  <si>
    <t>I. COMINO</t>
  </si>
  <si>
    <t>I. HUEVO EN POLVO KG</t>
  </si>
  <si>
    <t>I. KETCHUP</t>
  </si>
  <si>
    <t>I. MARGARINA</t>
  </si>
  <si>
    <t>I. MAYONESA</t>
  </si>
  <si>
    <t>I. MOSTAZA</t>
  </si>
  <si>
    <t>I. OREGANO</t>
  </si>
  <si>
    <t>I. PIMIENTA NEGRA</t>
  </si>
  <si>
    <t>I. SAL</t>
  </si>
  <si>
    <t>I. SALSA DE HUMO</t>
  </si>
  <si>
    <t>I. SALSA SOYA</t>
  </si>
  <si>
    <t>I. CURRY</t>
  </si>
  <si>
    <t>I. AJI VERDE</t>
  </si>
  <si>
    <t>I. ALCAPARRA</t>
  </si>
  <si>
    <t>I. CEBOLLA</t>
  </si>
  <si>
    <t>I. CEBOLLA MORADA</t>
  </si>
  <si>
    <t>I. CHAMP. PORCION</t>
  </si>
  <si>
    <t>I. CHOCLO PERUANO PORCION</t>
  </si>
  <si>
    <t>I. CIBOULET</t>
  </si>
  <si>
    <t>I. LECHUGA COSTINA</t>
  </si>
  <si>
    <t>I. LECHUGA HIDROPONICA</t>
  </si>
  <si>
    <t>I. JUGO LIMON BID.</t>
  </si>
  <si>
    <t>I. PALTA UNIDAD</t>
  </si>
  <si>
    <t>I. PEPINILLO</t>
  </si>
  <si>
    <t>I. PIMENTON ROJO</t>
  </si>
  <si>
    <t>I. PIMENTON VERDE</t>
  </si>
  <si>
    <t>I. POROTO.V.PORCION</t>
  </si>
  <si>
    <t>I. PULPA LIMON</t>
  </si>
  <si>
    <t>I. PALTA</t>
  </si>
  <si>
    <t>I. REPOLLO</t>
  </si>
  <si>
    <t>I. TOMATE</t>
  </si>
  <si>
    <t>I. ZANAHORIA</t>
  </si>
  <si>
    <t>I. CHEESECAKE</t>
  </si>
  <si>
    <t>I. BROWNIE</t>
  </si>
  <si>
    <t>I. HELADO DE VAINILLA</t>
  </si>
  <si>
    <t>I. SALSA DE CHOCOE</t>
  </si>
  <si>
    <t>I. ALUSA FOIL</t>
  </si>
  <si>
    <t>I. ALUSA PLAS</t>
  </si>
  <si>
    <t>I. BANDEJAS PARA LLEVAR</t>
  </si>
  <si>
    <t>I. BOLSAS DE BASURA 80X110</t>
  </si>
  <si>
    <t>I. CAJAS DELIVERY CON LOGO</t>
  </si>
  <si>
    <t>I. CLORO</t>
  </si>
  <si>
    <t>I. COFIAS (NEGRA MALLA)</t>
  </si>
  <si>
    <t>I. DESENGRASANTE BIDON</t>
  </si>
  <si>
    <t>I. BONOBRIL</t>
  </si>
  <si>
    <t>I. FOSFORO</t>
  </si>
  <si>
    <t>I. GUANTES AMARILLO</t>
  </si>
  <si>
    <t>I. GUANTES QUIRURGICO</t>
  </si>
  <si>
    <t>I. AMONIO CUATERNARIO</t>
  </si>
  <si>
    <t>I. LAVALOZA</t>
  </si>
  <si>
    <t>I. LIMPIA PISO</t>
  </si>
  <si>
    <t>I. JABON LIQUIDO</t>
  </si>
  <si>
    <t>I. MONDADIENTES</t>
  </si>
  <si>
    <t>I. MASCARILLA</t>
  </si>
  <si>
    <t>I. PALOS BROCHETAS</t>
  </si>
  <si>
    <t>I. PAPEL AJEDREZ</t>
  </si>
  <si>
    <t>I. PAPEL MANTEQUILLA</t>
  </si>
  <si>
    <t>I. POCILLO GRANDE CREMA</t>
  </si>
  <si>
    <t>I. POCILLO SALSAS</t>
  </si>
  <si>
    <t>I. SPONGI</t>
  </si>
  <si>
    <t>I. NOVA</t>
  </si>
  <si>
    <t>I. TRAPERO</t>
  </si>
  <si>
    <t>I. VIRUTILLA FINA</t>
  </si>
  <si>
    <t>I. VIRUTILLA GRUESA</t>
  </si>
  <si>
    <t>I. ABSOLUT AZUL</t>
  </si>
  <si>
    <t>I. ABSOLUT MANGO</t>
  </si>
  <si>
    <t>I. ABSOLUT RASPERRI</t>
  </si>
  <si>
    <t>I. ABSOLUT VAINILLA</t>
  </si>
  <si>
    <t>I. ALTO 35</t>
  </si>
  <si>
    <t>I. ALTO 40</t>
  </si>
  <si>
    <t>I. ALTO TRANSPARENTE 40</t>
  </si>
  <si>
    <t>I. APEROL</t>
  </si>
  <si>
    <t>I. ARVEJAS</t>
  </si>
  <si>
    <t>I. AZUCAR FLOR</t>
  </si>
  <si>
    <t>I. BAILEYS</t>
  </si>
  <si>
    <t>I. BARRIL BECKER</t>
  </si>
  <si>
    <t>I. BARRIL CUSQUENA</t>
  </si>
  <si>
    <t>I. BARRIL GOOSE IPA</t>
  </si>
  <si>
    <t>I. BARRIL HOEGARDN</t>
  </si>
  <si>
    <t xml:space="preserve">I. BARRIL STELLA </t>
  </si>
  <si>
    <t>I. BECK,S</t>
  </si>
  <si>
    <t>I. BECKS S/ALCOHOL</t>
  </si>
  <si>
    <t>I. BEEFEATER</t>
  </si>
  <si>
    <t>I. BODEGA TINTO</t>
  </si>
  <si>
    <t>I. BRUJAS 35</t>
  </si>
  <si>
    <t>I. BRUJAS 40</t>
  </si>
  <si>
    <t>I. BUDWEISER</t>
  </si>
  <si>
    <t>I. CACHAZA</t>
  </si>
  <si>
    <t>I. CALITERRA CABER</t>
  </si>
  <si>
    <t>I. CALITERRA CARME</t>
  </si>
  <si>
    <t>I. CALITERRA CHARN</t>
  </si>
  <si>
    <t>I. CALITERRA MERLT</t>
  </si>
  <si>
    <t>I. CALITERRA SAUVN</t>
  </si>
  <si>
    <t>I. CAMPARI</t>
  </si>
  <si>
    <t>I. CHAMP BRUT 750</t>
  </si>
  <si>
    <t>I. CHURRA QUES.</t>
  </si>
  <si>
    <t>I. CLAVO DE OLOR</t>
  </si>
  <si>
    <t>I. COCA COLA 1,5</t>
  </si>
  <si>
    <t>I. COCA COLA 237CC</t>
  </si>
  <si>
    <t>I. COCA COLA 350</t>
  </si>
  <si>
    <t>I. COCA LIGHT 350</t>
  </si>
  <si>
    <t>I. COCA ZERO 1,5</t>
  </si>
  <si>
    <t>I. COCA ZERO 237CC</t>
  </si>
  <si>
    <t>I. COCA ZERO 350</t>
  </si>
  <si>
    <t>I. COGNAC 3 PALOS</t>
  </si>
  <si>
    <t>I. CORONA</t>
  </si>
  <si>
    <t>I. CREMA DE CASSIS</t>
  </si>
  <si>
    <t>I. CURACAO</t>
  </si>
  <si>
    <t>I. CUSQUENA TRIGO</t>
  </si>
  <si>
    <t>I. ERRAZ ESTATE RESERVA SAUVIGNON BLANC</t>
  </si>
  <si>
    <t>I. ERRAZURIZ ESTATE RESERVA CABERNET SAUVIGNON</t>
  </si>
  <si>
    <t>I. ESENCIA COCO</t>
  </si>
  <si>
    <t>I. FANTA 350</t>
  </si>
  <si>
    <t>I. FERNET BRANCA</t>
  </si>
  <si>
    <t>I. FETTIMAN LGHT</t>
  </si>
  <si>
    <t>I. GIN BATALLA</t>
  </si>
  <si>
    <t>I. GIN HENDRICKS</t>
  </si>
  <si>
    <t>I. GINGER 0 350</t>
  </si>
  <si>
    <t>I. GINGER ALE ZERO 1,5</t>
  </si>
  <si>
    <t>I. GINGER BEER</t>
  </si>
  <si>
    <t>I. GOOSE 312</t>
  </si>
  <si>
    <t>I. GOOSE IPA</t>
  </si>
  <si>
    <t>I. GOOSE SOFI</t>
  </si>
  <si>
    <t>I. GRANADINA</t>
  </si>
  <si>
    <t>I. HIELO</t>
  </si>
  <si>
    <t>I. HUEVOS</t>
  </si>
  <si>
    <t>I. JACK DANIELS</t>
  </si>
  <si>
    <t>I. JACK FIRE</t>
  </si>
  <si>
    <t>I. JACK HONEY</t>
  </si>
  <si>
    <t>I. JAGERMEISTER</t>
  </si>
  <si>
    <t>I. JAMON</t>
  </si>
  <si>
    <t>I. JOHNNIE NEGRO</t>
  </si>
  <si>
    <t>I. JOHNNIE ROJO</t>
  </si>
  <si>
    <t>I. JUGO NARANJA</t>
  </si>
  <si>
    <t>I. JUGO PINA 1 LTS</t>
  </si>
  <si>
    <t>I. JUGO TOMATE</t>
  </si>
  <si>
    <t>I. MARRASQUINO ROJO</t>
  </si>
  <si>
    <t>I. MARTINI DRY</t>
  </si>
  <si>
    <t>I. MARTINI ROSSO</t>
  </si>
  <si>
    <t>I. MINERAL C/GAS 330</t>
  </si>
  <si>
    <t>I. MINERAL S/GAS 330</t>
  </si>
  <si>
    <t>I. MINERAL1.6LT  C/G</t>
  </si>
  <si>
    <t>I. MISTRAL DE 35</t>
  </si>
  <si>
    <t>I. MISTRAL NOBEL</t>
  </si>
  <si>
    <t>I. MONSTER</t>
  </si>
  <si>
    <t>I. MORANDE CAB SAV</t>
  </si>
  <si>
    <t>I. MORANDE CARMENERE</t>
  </si>
  <si>
    <t>I. NEGRA MODELO</t>
  </si>
  <si>
    <t>I. PAMPERO ANIVERSARIO</t>
  </si>
  <si>
    <t>I. PAMPERO SELECCION</t>
  </si>
  <si>
    <t>I. PAPA SELECTA</t>
  </si>
  <si>
    <t>I. PAPAS FRITAS</t>
  </si>
  <si>
    <t>I. PULPA ARAN FRAM</t>
  </si>
  <si>
    <t>I. PULPA FRAMBUESA</t>
  </si>
  <si>
    <t>I. PULPA FRUTILLA</t>
  </si>
  <si>
    <t>I. PULPA MANGO</t>
  </si>
  <si>
    <t>I. PULPA MARACUYA</t>
  </si>
  <si>
    <t>I. QUESO CHEDAR</t>
  </si>
  <si>
    <t>I. QUESO GRANULADO</t>
  </si>
  <si>
    <t>I. RAMAZZOTTI</t>
  </si>
  <si>
    <t>I. RBULL ENERGY DR</t>
  </si>
  <si>
    <t>I. RBULL SUGAR FRE</t>
  </si>
  <si>
    <t>I. RE BULL YELLOW</t>
  </si>
  <si>
    <t>I. REINETA</t>
  </si>
  <si>
    <t>I. RICC. MOSCATO</t>
  </si>
  <si>
    <t>I. RICC. PROSECCO</t>
  </si>
  <si>
    <t>I. RICCADONNA BRUT</t>
  </si>
  <si>
    <t>I. RON BLANCO BATALLA</t>
  </si>
  <si>
    <t>I. RON DORADO BATALLA</t>
  </si>
  <si>
    <t>I. SALSA CHEDDAR</t>
  </si>
  <si>
    <t>I. SALSA INGLESA</t>
  </si>
  <si>
    <t>I. SMIRNOFF</t>
  </si>
  <si>
    <t>I. SPRITE 237CC</t>
  </si>
  <si>
    <t>I. SPRITE 350</t>
  </si>
  <si>
    <t>I. SPRITE ZERO 350</t>
  </si>
  <si>
    <t>I. STELLA ARTOIS</t>
  </si>
  <si>
    <t>I. STOLI PEPINO</t>
  </si>
  <si>
    <t>I. STOLICHNAYA 750CC</t>
  </si>
  <si>
    <t>I. TANQUERAY LONDON</t>
  </si>
  <si>
    <t>I. TANQUERAY SEVILLA</t>
  </si>
  <si>
    <t>I. TANQUERAY TEN</t>
  </si>
  <si>
    <t>I. TEQUILA BATALLA</t>
  </si>
  <si>
    <t>I. TEQUILA JIMADOR</t>
  </si>
  <si>
    <t>I. THE SINGLETON 12</t>
  </si>
  <si>
    <t>I. TOCINO</t>
  </si>
  <si>
    <t>I. TONICA  FENTIMS</t>
  </si>
  <si>
    <t>I. TONICA 1,5 LTS</t>
  </si>
  <si>
    <t>I. TONICA 350</t>
  </si>
  <si>
    <t>I. TRIPLE SEC</t>
  </si>
  <si>
    <t xml:space="preserve">I. VAT 69 </t>
  </si>
  <si>
    <t>I. VERDURAS SALTEADAS</t>
  </si>
  <si>
    <t>I. VODKA BATALLA</t>
  </si>
  <si>
    <t>I. WISKY BATALLA</t>
  </si>
  <si>
    <t>I. ZACAPAR</t>
  </si>
  <si>
    <t>TOTAL</t>
  </si>
  <si>
    <t>USO INTERNO</t>
  </si>
  <si>
    <t>INICIO</t>
  </si>
  <si>
    <t>TOTAL PERDIDA</t>
  </si>
  <si>
    <t>VENTA DIARIA</t>
  </si>
  <si>
    <t>% PERDIDA</t>
  </si>
  <si>
    <t>OC PEDIDOS BOTELLAS</t>
  </si>
  <si>
    <t>COSTEO CARTAS ML</t>
  </si>
  <si>
    <t>PROVEEDOR</t>
  </si>
  <si>
    <t>UNIDAD</t>
  </si>
  <si>
    <t>PRECIO NETO BOTELLA</t>
  </si>
  <si>
    <t>IVA</t>
  </si>
  <si>
    <t>ILA</t>
  </si>
  <si>
    <t>PRECIO NETO ML</t>
  </si>
  <si>
    <t>ANDINA(BEBIDAS)</t>
  </si>
  <si>
    <t>UNI</t>
  </si>
  <si>
    <t>I. COCA LIGHT 1,5</t>
  </si>
  <si>
    <t>I. COCA LIGHT 237</t>
  </si>
  <si>
    <t>I. GINGER 350</t>
  </si>
  <si>
    <t>I. GINGER ALE 1,5</t>
  </si>
  <si>
    <t>ML</t>
  </si>
  <si>
    <t xml:space="preserve">UNI </t>
  </si>
  <si>
    <t>ANDINA(CERVEZA)</t>
  </si>
  <si>
    <t>I. BARRIL KM 24.7</t>
  </si>
  <si>
    <t>I. CUSQUENA DARK</t>
  </si>
  <si>
    <t>I. CUSQUENA GOLDEN</t>
  </si>
  <si>
    <t>I. CUSQUENA RED LAGER</t>
  </si>
  <si>
    <t>I. LEFFE</t>
  </si>
  <si>
    <t>I. BARRIL KM 24.7 IPA</t>
  </si>
  <si>
    <t>ANDINA(LICORES)</t>
  </si>
  <si>
    <t>I. COCHIGUAS</t>
  </si>
  <si>
    <t>I. MEDALLA CABER</t>
  </si>
  <si>
    <t>BOT</t>
  </si>
  <si>
    <t>I. MEDALLA CARME</t>
  </si>
  <si>
    <t>I. MEDALLA BLANC CHAR</t>
  </si>
  <si>
    <t>I. MEDALLA MERLOT</t>
  </si>
  <si>
    <t>I. MEDALLA REAL CARMENERE</t>
  </si>
  <si>
    <t>I. MEDALLA REAL CHARDONNAY</t>
  </si>
  <si>
    <t>I. RESERVA CAB SAV</t>
  </si>
  <si>
    <t>I. RESERVA CARME</t>
  </si>
  <si>
    <t>I. GIN GABRI</t>
  </si>
  <si>
    <t>I. BULLEIT</t>
  </si>
  <si>
    <t>I. JW BLONDE</t>
  </si>
  <si>
    <t>BIDFOOD</t>
  </si>
  <si>
    <t>PORCION</t>
  </si>
  <si>
    <t>I. EMPANADAS CAJA</t>
  </si>
  <si>
    <t>CAJA</t>
  </si>
  <si>
    <t>I. FETTUCINI</t>
  </si>
  <si>
    <t>PQT</t>
  </si>
  <si>
    <t>LT</t>
  </si>
  <si>
    <t>KG</t>
  </si>
  <si>
    <t>GR</t>
  </si>
  <si>
    <t>I. SALSA TOMATE</t>
  </si>
  <si>
    <t>SACHET</t>
  </si>
  <si>
    <t>I. TABASCO</t>
  </si>
  <si>
    <t>I. TE</t>
  </si>
  <si>
    <t>TORTILLA</t>
  </si>
  <si>
    <t>1 BOT</t>
  </si>
  <si>
    <t>BIDON</t>
  </si>
  <si>
    <t>I. ARROZ KILO</t>
  </si>
  <si>
    <t>I. CAFE INSTANTANEO DOLCA 170GR</t>
  </si>
  <si>
    <t>TARRO</t>
  </si>
  <si>
    <t>I. ENDULZANTE</t>
  </si>
  <si>
    <t>I. HARINA</t>
  </si>
  <si>
    <t>I. POROTO NEGRO</t>
  </si>
  <si>
    <t>I. POROTO NEGRO PORC</t>
  </si>
  <si>
    <t>I. SPAGHETTI 400 GRMS</t>
  </si>
  <si>
    <t>I. AZUCAR GR</t>
  </si>
  <si>
    <t>I. LASANA</t>
  </si>
  <si>
    <t>I. SESAMO</t>
  </si>
  <si>
    <t>I. SPAGHETTI PORCION</t>
  </si>
  <si>
    <t>I. TOMATE EN TARR</t>
  </si>
  <si>
    <t>I. PALMITO</t>
  </si>
  <si>
    <t>CARLOS HIDALGO</t>
  </si>
  <si>
    <t>x kilo</t>
  </si>
  <si>
    <t>X KILO</t>
  </si>
  <si>
    <t>I. AJO UNIDAD</t>
  </si>
  <si>
    <t>I. ALBAHACA</t>
  </si>
  <si>
    <t>I. ALBAHACA KG</t>
  </si>
  <si>
    <t>I. BERROS KG</t>
  </si>
  <si>
    <t>I. BROCOLI</t>
  </si>
  <si>
    <t>I. CEBOLLIN</t>
  </si>
  <si>
    <t>I. CHOCLO PERUANO</t>
  </si>
  <si>
    <t>I. CILANTRO PAQ</t>
  </si>
  <si>
    <t>PQTE</t>
  </si>
  <si>
    <t>I. CREMA ZAPALLO</t>
  </si>
  <si>
    <t>I. DIENTE DE DRAGN</t>
  </si>
  <si>
    <t>I. HUEVO PASTEURIA</t>
  </si>
  <si>
    <t>I. JENGIBRE</t>
  </si>
  <si>
    <t>I. LECHE CONDENSAA</t>
  </si>
  <si>
    <t>I. LECHUGA ESCAROLA</t>
  </si>
  <si>
    <t>I. LECHUGA ESPANOL</t>
  </si>
  <si>
    <t>I. LECHUGA FRANCESA</t>
  </si>
  <si>
    <t>I. LECHUGA MARINA</t>
  </si>
  <si>
    <t>I. LECHUGAS HIDROO</t>
  </si>
  <si>
    <t>I. LENTEJAS</t>
  </si>
  <si>
    <t>I. LIMON NORMAL</t>
  </si>
  <si>
    <t>I. LIMON PICA</t>
  </si>
  <si>
    <t>I. MANDARINA</t>
  </si>
  <si>
    <t>I. MANZANA</t>
  </si>
  <si>
    <t>I. MENTA</t>
  </si>
  <si>
    <t>I. MENTA PAQ</t>
  </si>
  <si>
    <t>I. MERKEN</t>
  </si>
  <si>
    <t>I. NARANJA</t>
  </si>
  <si>
    <t>I. NUEZ MARIPOSA KG</t>
  </si>
  <si>
    <t>I. PEPINO</t>
  </si>
  <si>
    <t>I. PERAS VERDES KG</t>
  </si>
  <si>
    <t>I. PIMIENTA BLANCA</t>
  </si>
  <si>
    <t>I. PINA</t>
  </si>
  <si>
    <t>I. PINA PORCION</t>
  </si>
  <si>
    <t>I. POMELO</t>
  </si>
  <si>
    <t>I. POROTO VERDE</t>
  </si>
  <si>
    <t>I. PRIMAVERA</t>
  </si>
  <si>
    <t>X KG</t>
  </si>
  <si>
    <t>I. QUINOA</t>
  </si>
  <si>
    <t>KILO</t>
  </si>
  <si>
    <t>I. ROMERO</t>
  </si>
  <si>
    <t>I. RUCULA</t>
  </si>
  <si>
    <t>I. TOMATE CHERY</t>
  </si>
  <si>
    <t>I. VINAGRE</t>
  </si>
  <si>
    <t>I. ZAPALLO CAMOTE</t>
  </si>
  <si>
    <t>I. CHAMPINONES</t>
  </si>
  <si>
    <t>CCU</t>
  </si>
  <si>
    <t>COMERCIALIZADORA SR</t>
  </si>
  <si>
    <t>I. ASIENTO 150</t>
  </si>
  <si>
    <t>I. ASIENTO 300</t>
  </si>
  <si>
    <t>I. CHULETA COLACION</t>
  </si>
  <si>
    <t>I. CHURRASCO CAJA</t>
  </si>
  <si>
    <t>CAJA (15,3KG)</t>
  </si>
  <si>
    <t>180 GR</t>
  </si>
  <si>
    <t>120 GR</t>
  </si>
  <si>
    <t>I. MOLIDA PERSONAL</t>
  </si>
  <si>
    <t>I. POLLO GANSO</t>
  </si>
  <si>
    <t>COMPAÑÍA PISQUERA</t>
  </si>
  <si>
    <t>DAMATI</t>
  </si>
  <si>
    <t>I. BOMBILLAS</t>
  </si>
  <si>
    <t>I. CANELA</t>
  </si>
  <si>
    <t>I. CLAVO OLOR</t>
  </si>
  <si>
    <t>DELICI</t>
  </si>
  <si>
    <t>I. HAMBURGUESA VEGANA</t>
  </si>
  <si>
    <t>I. PAN VEGANO</t>
  </si>
  <si>
    <t>I. PIZZA VEGANA</t>
  </si>
  <si>
    <t>I. QUESO VEGANO</t>
  </si>
  <si>
    <t>DESA</t>
  </si>
  <si>
    <t>I. AMARETO</t>
  </si>
  <si>
    <t>I. DRAMBUI</t>
  </si>
  <si>
    <t>I. MARTINI BLANCO</t>
  </si>
  <si>
    <t>DISTRIBUIDORA CRISTOBAL</t>
  </si>
  <si>
    <t>I. ATUN 180GR PORCION</t>
  </si>
  <si>
    <t>I. CAMARONES KG</t>
  </si>
  <si>
    <t>I. CARPACCIO SALMON</t>
  </si>
  <si>
    <t>I. SALMON KILO</t>
  </si>
  <si>
    <t>ENSUCASA</t>
  </si>
  <si>
    <t>I. ALITAS POLLO CAJ</t>
  </si>
  <si>
    <t>21 KG</t>
  </si>
  <si>
    <t>I. ALITAS X 10</t>
  </si>
  <si>
    <t>I. ALITAS X 6</t>
  </si>
  <si>
    <t>I. CHORIZO COLACIONES</t>
  </si>
  <si>
    <t>I. FILETE POLLO CAJ</t>
  </si>
  <si>
    <t>22KG</t>
  </si>
  <si>
    <t>I. FILETILLO APANADO</t>
  </si>
  <si>
    <t>I. HAMBURGUESA COLACION</t>
  </si>
  <si>
    <t>PAQTE</t>
  </si>
  <si>
    <t>I. VIENESAS</t>
  </si>
  <si>
    <t>EVERCRISP</t>
  </si>
  <si>
    <t>I. TOSTITOS CAJA</t>
  </si>
  <si>
    <t>GOURMET</t>
  </si>
  <si>
    <t>GREKOLITE</t>
  </si>
  <si>
    <t>I. ACEITE LAMPARAS</t>
  </si>
  <si>
    <t>I. BASES DE VELA</t>
  </si>
  <si>
    <t>I. BURBUJAS</t>
  </si>
  <si>
    <t>I. MECHAS</t>
  </si>
  <si>
    <t>GUALLARAUCO</t>
  </si>
  <si>
    <t>HIELO ANDINO</t>
  </si>
  <si>
    <t>I. HIELO CUBO 2 KG</t>
  </si>
  <si>
    <t>I. HIELO FRAPPE 2 KG</t>
  </si>
  <si>
    <t>ICB</t>
  </si>
  <si>
    <t>I. ACEITUNA VERDE</t>
  </si>
  <si>
    <t>I. CALDO DE POLLO POLVO KG</t>
  </si>
  <si>
    <t>I. CHURROS</t>
  </si>
  <si>
    <t>I. CHURROS PORCION</t>
  </si>
  <si>
    <t>I. MERMELADA</t>
  </si>
  <si>
    <t>I. MIEL DE PALMA</t>
  </si>
  <si>
    <t>I. PAN RALLADO</t>
  </si>
  <si>
    <t>I. POROTO HAYA</t>
  </si>
  <si>
    <t>I. SALSA CARAMELO</t>
  </si>
  <si>
    <t>I. SERVILLETA</t>
  </si>
  <si>
    <t>IMPO PAPPER</t>
  </si>
  <si>
    <t>I. ALCOHOL 75 DESINFECTANTE</t>
  </si>
  <si>
    <t>I. ALCOHOL GEL BIDON</t>
  </si>
  <si>
    <t>I. BALDE MOPA</t>
  </si>
  <si>
    <t>I. BOLSA 50X70</t>
  </si>
  <si>
    <t>I. BOLSAS BASURA 90X120</t>
  </si>
  <si>
    <t>I. CAJAS DELIVERY SIN LOGO</t>
  </si>
  <si>
    <t>I. CERA</t>
  </si>
  <si>
    <t>I. CIF</t>
  </si>
  <si>
    <t>I. DESODORANTE AMB</t>
  </si>
  <si>
    <t>I. ESCOBILLA WC</t>
  </si>
  <si>
    <t>I. ESCOBILLONES</t>
  </si>
  <si>
    <t>PAR</t>
  </si>
  <si>
    <t>I. INSECTICIDA</t>
  </si>
  <si>
    <t>I. LIMPIA VIDRIO</t>
  </si>
  <si>
    <t>I. LUSTRA MUEBLE BIDON</t>
  </si>
  <si>
    <t>PACK</t>
  </si>
  <si>
    <t>I. PALAS</t>
  </si>
  <si>
    <t>I. PANO NARANJO</t>
  </si>
  <si>
    <t>I. PAPEL HIGIENIC</t>
  </si>
  <si>
    <t>I. PASTILLA WC</t>
  </si>
  <si>
    <t>I. REPUESTO MOPA</t>
  </si>
  <si>
    <t>I. ROLLO PREPICADO 20X20</t>
  </si>
  <si>
    <t>I. ROLLO PREPICADO 20X30</t>
  </si>
  <si>
    <t>I. ROLLO PREPICADO 30X40</t>
  </si>
  <si>
    <t>I. SOPAPO</t>
  </si>
  <si>
    <t>I. TAPA POCILLOS 2OZ</t>
  </si>
  <si>
    <t>LICORES.CL</t>
  </si>
  <si>
    <t>I. LICOR DE CAFÉ</t>
  </si>
  <si>
    <t>I. ABSOLUT CITRON</t>
  </si>
  <si>
    <t>I. ABSOLUT KURANT</t>
  </si>
  <si>
    <t>I. ABSOLUT PEPPAR</t>
  </si>
  <si>
    <t>I. ABSOLUT PERA</t>
  </si>
  <si>
    <t>I. BITTER</t>
  </si>
  <si>
    <t>I. CACAO</t>
  </si>
  <si>
    <t>I. HORCHATA</t>
  </si>
  <si>
    <t>I. JEREZ</t>
  </si>
  <si>
    <t>I. LICOR DE MENTA</t>
  </si>
  <si>
    <t>I. LICOR DE WISKY</t>
  </si>
  <si>
    <t>I. OPORTO</t>
  </si>
  <si>
    <t>PAPIRO</t>
  </si>
  <si>
    <t>I. ROLLOS IMPRESORA</t>
  </si>
  <si>
    <t>I. ROLLOS TERMICOS</t>
  </si>
  <si>
    <t>PRISCA</t>
  </si>
  <si>
    <t>I. TOCINO PIEZA</t>
  </si>
  <si>
    <t>I. NUGET</t>
  </si>
  <si>
    <t>I. PIEZA DE QUESO</t>
  </si>
  <si>
    <t>SOBRELAMESA</t>
  </si>
  <si>
    <t>I. POCILLO METALICO</t>
  </si>
  <si>
    <t>SUPERMERCADO</t>
  </si>
  <si>
    <t>I. HARINA DE MAIZ</t>
  </si>
  <si>
    <t>I. PAN LENGUAS</t>
  </si>
  <si>
    <t>I. PAN MOLDE</t>
  </si>
  <si>
    <t>I. QUESO PARMESANO</t>
  </si>
  <si>
    <t>TRIANGULO</t>
  </si>
  <si>
    <t>VARIOS</t>
  </si>
  <si>
    <t>I. FRASCOS DELIBERY</t>
  </si>
  <si>
    <t>I. STICKERS</t>
  </si>
  <si>
    <t>I. FLAN 1 KL</t>
  </si>
  <si>
    <t>I. GLENFIDDCH 12</t>
  </si>
  <si>
    <t>I. LAVA PLATO</t>
  </si>
  <si>
    <t>I. NOVA DOBLE HOJA</t>
  </si>
  <si>
    <t>I. PAN HAMBURGUESA</t>
  </si>
  <si>
    <t>I. QUESO LAMINADO</t>
  </si>
  <si>
    <t>I. VODKA ERISTOFF</t>
  </si>
  <si>
    <t>LONG ISLAND</t>
  </si>
  <si>
    <t>LONG ISLAND GOLD</t>
  </si>
  <si>
    <t>I. ATUN ROJO</t>
  </si>
  <si>
    <t>I. BARRIL BUDWEISER</t>
  </si>
  <si>
    <t>BARRIL</t>
  </si>
  <si>
    <t>I. CAFÉ</t>
  </si>
  <si>
    <t>I. RAMAZZOTTI VIOLETTO</t>
  </si>
  <si>
    <t>VALOR I .</t>
  </si>
  <si>
    <t>I. LICOR DE CAFé</t>
  </si>
  <si>
    <t>I. RAMAZZOTTI VIOLETO</t>
  </si>
  <si>
    <t>PORCIONES</t>
  </si>
  <si>
    <t>PRODUCTOS</t>
  </si>
  <si>
    <t>VENTAS</t>
  </si>
  <si>
    <t>i. coca cola 237CC</t>
  </si>
  <si>
    <t>UNILEVER</t>
  </si>
  <si>
    <t>MEAT&amp;FOOD</t>
  </si>
  <si>
    <t>MAR FUTURO</t>
  </si>
  <si>
    <t>TRES PUNTAS</t>
  </si>
  <si>
    <t>DMS SPA</t>
  </si>
  <si>
    <t>I. BARBACOA</t>
  </si>
  <si>
    <t>I. CHEDDAR ADEREZO</t>
  </si>
  <si>
    <t>4+2K</t>
  </si>
  <si>
    <t>1K Y 0BBQ</t>
  </si>
  <si>
    <t>LUNES</t>
  </si>
  <si>
    <t>MARTES</t>
  </si>
  <si>
    <t>MIÉRCOLES</t>
  </si>
  <si>
    <t>JUEVES</t>
  </si>
  <si>
    <t>VIERNES</t>
  </si>
  <si>
    <t>SÁBADO</t>
  </si>
  <si>
    <t>DOMINGO</t>
  </si>
  <si>
    <t>MIERCOLES</t>
  </si>
  <si>
    <t>SABADO</t>
  </si>
  <si>
    <t>I. EMPANADA QUESO</t>
  </si>
  <si>
    <t>I. JOHNNIE BLONDE</t>
  </si>
  <si>
    <t>I. TANQUERAY ROYAL</t>
  </si>
  <si>
    <t>DIA</t>
  </si>
  <si>
    <t>PERDIDA</t>
  </si>
  <si>
    <t>COCINA</t>
  </si>
  <si>
    <t>BARRA</t>
  </si>
  <si>
    <t>FECHA</t>
  </si>
  <si>
    <t>PERDIDA TOTAL</t>
  </si>
  <si>
    <t>VENTA TOTAL</t>
  </si>
  <si>
    <t>% PERDIDA SEMANA</t>
  </si>
  <si>
    <t>TOTALES</t>
  </si>
  <si>
    <t>RESÚMEN PERDIDA SEMANAL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</si>
</sst>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 &quot;$&quot;* #,##0_ ;_ &quot;$&quot;* \-#,##0_ ;_ &quot;$&quot;* &quot;-&quot;_ ;_ @_ 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&quot;$&quot;#,##0.00"/>
    <numFmt numFmtId="167" formatCode="_ &quot;$&quot;* #,##0.00_ ;_ &quot;$&quot;* \-#,##0.00_ ;_ &quot;$&quot;* &quot;-&quot;_ ;_ @_ "/>
    <numFmt numFmtId="168" formatCode="&quot;$&quot;#,##0"/>
    <numFmt numFmtId="169" formatCode="_-&quot;$&quot;\ * #,##0.00_-;\-&quot;$&quot;\ * #,##0.00_-;_-&quot;$&quot;\ * &quot;-&quot;??_-;_-@"/>
  </numFmts>
  <fonts count="4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22"/>
      <color theme="1" tint="4.9989318521683403E-2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name val="Calibri"/>
      <family val="2"/>
      <scheme val="minor"/>
    </font>
    <font>
      <b/>
      <sz val="22"/>
      <color theme="1" tint="4.9989318521683403E-2"/>
      <name val="Calibri"/>
      <family val="2"/>
      <scheme val="minor"/>
    </font>
    <font>
      <sz val="22"/>
      <color theme="1"/>
      <name val="Calibri"/>
      <family val="2"/>
    </font>
    <font>
      <b/>
      <sz val="22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sz val="2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00"/>
        <bgColor rgb="FF00FF00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8EAADB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397">
    <xf numFmtId="0" fontId="0" fillId="0" borderId="0" xfId="0"/>
    <xf numFmtId="0" fontId="5" fillId="0" borderId="0" xfId="0" applyFont="1"/>
    <xf numFmtId="0" fontId="0" fillId="0" borderId="1" xfId="0" applyBorder="1"/>
    <xf numFmtId="0" fontId="1" fillId="0" borderId="0" xfId="0" applyFont="1"/>
    <xf numFmtId="0" fontId="0" fillId="0" borderId="0" xfId="0" applyAlignment="1">
      <alignment horizontal="center"/>
    </xf>
    <xf numFmtId="0" fontId="0" fillId="3" borderId="0" xfId="0" applyFill="1"/>
    <xf numFmtId="0" fontId="5" fillId="0" borderId="1" xfId="0" applyFont="1" applyBorder="1" applyAlignment="1">
      <alignment horizontal="center" vertical="center"/>
    </xf>
    <xf numFmtId="0" fontId="8" fillId="0" borderId="0" xfId="0" applyFont="1"/>
    <xf numFmtId="0" fontId="8" fillId="3" borderId="0" xfId="0" applyFont="1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0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12" fontId="0" fillId="3" borderId="1" xfId="0" applyNumberFormat="1" applyFill="1" applyBorder="1" applyAlignment="1">
      <alignment horizontal="center"/>
    </xf>
    <xf numFmtId="0" fontId="12" fillId="2" borderId="3" xfId="0" applyFont="1" applyFill="1" applyBorder="1" applyAlignment="1">
      <alignment vertical="center"/>
    </xf>
    <xf numFmtId="0" fontId="13" fillId="0" borderId="1" xfId="3" applyFont="1" applyBorder="1"/>
    <xf numFmtId="0" fontId="14" fillId="3" borderId="1" xfId="0" applyFont="1" applyFill="1" applyBorder="1"/>
    <xf numFmtId="0" fontId="13" fillId="3" borderId="1" xfId="3" applyFont="1" applyFill="1" applyBorder="1"/>
    <xf numFmtId="0" fontId="15" fillId="0" borderId="1" xfId="3" applyFont="1" applyBorder="1"/>
    <xf numFmtId="0" fontId="16" fillId="4" borderId="1" xfId="3" applyFont="1" applyFill="1" applyBorder="1"/>
    <xf numFmtId="0" fontId="13" fillId="3" borderId="1" xfId="3" applyFont="1" applyFill="1" applyBorder="1" applyAlignment="1">
      <alignment horizontal="left" vertical="top"/>
    </xf>
    <xf numFmtId="0" fontId="13" fillId="0" borderId="1" xfId="4" applyFont="1" applyBorder="1"/>
    <xf numFmtId="0" fontId="14" fillId="0" borderId="1" xfId="0" applyFont="1" applyBorder="1" applyAlignment="1">
      <alignment horizontal="left" vertical="center"/>
    </xf>
    <xf numFmtId="0" fontId="13" fillId="0" borderId="1" xfId="5" applyFont="1" applyBorder="1"/>
    <xf numFmtId="0" fontId="15" fillId="0" borderId="1" xfId="5" applyFont="1" applyBorder="1"/>
    <xf numFmtId="0" fontId="15" fillId="3" borderId="1" xfId="3" applyFont="1" applyFill="1" applyBorder="1"/>
    <xf numFmtId="0" fontId="15" fillId="3" borderId="1" xfId="5" applyFont="1" applyFill="1" applyBorder="1"/>
    <xf numFmtId="0" fontId="15" fillId="0" borderId="1" xfId="0" applyFont="1" applyBorder="1" applyAlignment="1">
      <alignment horizontal="left" vertical="center"/>
    </xf>
    <xf numFmtId="0" fontId="15" fillId="3" borderId="1" xfId="0" applyFont="1" applyFill="1" applyBorder="1"/>
    <xf numFmtId="0" fontId="13" fillId="0" borderId="1" xfId="0" applyFont="1" applyBorder="1"/>
    <xf numFmtId="0" fontId="17" fillId="0" borderId="1" xfId="0" applyFont="1" applyBorder="1"/>
    <xf numFmtId="0" fontId="13" fillId="3" borderId="1" xfId="4" applyFont="1" applyFill="1" applyBorder="1" applyAlignment="1">
      <alignment horizontal="left" vertical="top"/>
    </xf>
    <xf numFmtId="0" fontId="13" fillId="3" borderId="1" xfId="5" applyFont="1" applyFill="1" applyBorder="1"/>
    <xf numFmtId="0" fontId="13" fillId="3" borderId="1" xfId="4" applyFont="1" applyFill="1" applyBorder="1"/>
    <xf numFmtId="0" fontId="11" fillId="4" borderId="1" xfId="0" applyFont="1" applyFill="1" applyBorder="1" applyAlignment="1">
      <alignment vertical="center"/>
    </xf>
    <xf numFmtId="0" fontId="14" fillId="0" borderId="1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2" fillId="4" borderId="1" xfId="0" applyFont="1" applyFill="1" applyBorder="1" applyAlignment="1">
      <alignment vertical="center"/>
    </xf>
    <xf numFmtId="0" fontId="12" fillId="0" borderId="0" xfId="0" applyFont="1"/>
    <xf numFmtId="0" fontId="18" fillId="0" borderId="0" xfId="0" applyFont="1"/>
    <xf numFmtId="0" fontId="14" fillId="0" borderId="0" xfId="0" applyFont="1"/>
    <xf numFmtId="0" fontId="19" fillId="0" borderId="0" xfId="0" applyFont="1"/>
    <xf numFmtId="0" fontId="13" fillId="0" borderId="3" xfId="5" applyFont="1" applyBorder="1"/>
    <xf numFmtId="0" fontId="13" fillId="0" borderId="3" xfId="4" applyFont="1" applyBorder="1"/>
    <xf numFmtId="0" fontId="13" fillId="0" borderId="3" xfId="3" applyFont="1" applyBorder="1"/>
    <xf numFmtId="0" fontId="15" fillId="0" borderId="3" xfId="0" applyFont="1" applyBorder="1" applyAlignment="1">
      <alignment horizontal="left" vertical="center"/>
    </xf>
    <xf numFmtId="0" fontId="15" fillId="0" borderId="3" xfId="0" applyFont="1" applyBorder="1"/>
    <xf numFmtId="0" fontId="15" fillId="0" borderId="3" xfId="5" applyFont="1" applyBorder="1"/>
    <xf numFmtId="0" fontId="2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5" applyFont="1" applyBorder="1"/>
    <xf numFmtId="0" fontId="9" fillId="0" borderId="1" xfId="2" applyFont="1" applyBorder="1"/>
    <xf numFmtId="0" fontId="6" fillId="0" borderId="1" xfId="2" applyFont="1" applyBorder="1"/>
    <xf numFmtId="0" fontId="1" fillId="0" borderId="1" xfId="0" applyFont="1" applyBorder="1"/>
    <xf numFmtId="0" fontId="1" fillId="0" borderId="2" xfId="0" applyFont="1" applyBorder="1"/>
    <xf numFmtId="0" fontId="1" fillId="3" borderId="0" xfId="0" applyFont="1" applyFill="1"/>
    <xf numFmtId="0" fontId="2" fillId="0" borderId="0" xfId="0" applyFont="1"/>
    <xf numFmtId="0" fontId="20" fillId="5" borderId="0" xfId="7" applyFont="1" applyFill="1"/>
    <xf numFmtId="0" fontId="20" fillId="5" borderId="1" xfId="7" applyFont="1" applyFill="1" applyBorder="1"/>
    <xf numFmtId="0" fontId="1" fillId="0" borderId="0" xfId="0" applyFont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12" fontId="0" fillId="6" borderId="1" xfId="0" applyNumberFormat="1" applyFill="1" applyBorder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8" xfId="0" applyFill="1" applyBorder="1"/>
    <xf numFmtId="165" fontId="0" fillId="0" borderId="9" xfId="0" applyNumberFormat="1" applyBorder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164" fontId="0" fillId="0" borderId="0" xfId="9" applyFont="1"/>
    <xf numFmtId="167" fontId="5" fillId="0" borderId="0" xfId="0" applyNumberFormat="1" applyFont="1"/>
    <xf numFmtId="0" fontId="0" fillId="0" borderId="12" xfId="0" applyBorder="1"/>
    <xf numFmtId="165" fontId="0" fillId="0" borderId="1" xfId="9" applyNumberFormat="1" applyFont="1" applyBorder="1"/>
    <xf numFmtId="165" fontId="0" fillId="0" borderId="10" xfId="9" applyNumberFormat="1" applyFont="1" applyBorder="1"/>
    <xf numFmtId="10" fontId="0" fillId="0" borderId="11" xfId="10" applyNumberFormat="1" applyFont="1" applyBorder="1"/>
    <xf numFmtId="0" fontId="24" fillId="0" borderId="0" xfId="0" applyFont="1"/>
    <xf numFmtId="0" fontId="24" fillId="9" borderId="6" xfId="0" applyFont="1" applyFill="1" applyBorder="1"/>
    <xf numFmtId="0" fontId="24" fillId="9" borderId="7" xfId="0" applyFont="1" applyFill="1" applyBorder="1" applyAlignment="1">
      <alignment horizontal="center"/>
    </xf>
    <xf numFmtId="0" fontId="24" fillId="9" borderId="8" xfId="0" applyFont="1" applyFill="1" applyBorder="1"/>
    <xf numFmtId="1" fontId="24" fillId="0" borderId="0" xfId="0" applyNumberFormat="1" applyFont="1"/>
    <xf numFmtId="1" fontId="24" fillId="0" borderId="0" xfId="0" applyNumberFormat="1" applyFont="1" applyAlignment="1">
      <alignment horizontal="center"/>
    </xf>
    <xf numFmtId="165" fontId="24" fillId="0" borderId="9" xfId="0" applyNumberFormat="1" applyFont="1" applyBorder="1" applyAlignment="1">
      <alignment horizontal="center"/>
    </xf>
    <xf numFmtId="1" fontId="25" fillId="7" borderId="1" xfId="0" applyNumberFormat="1" applyFont="1" applyFill="1" applyBorder="1" applyAlignment="1">
      <alignment horizontal="center" vertical="center" wrapText="1"/>
    </xf>
    <xf numFmtId="1" fontId="25" fillId="0" borderId="1" xfId="0" applyNumberFormat="1" applyFont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6" fillId="2" borderId="1" xfId="0" applyFont="1" applyFill="1" applyBorder="1" applyAlignment="1">
      <alignment vertic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/>
    <xf numFmtId="1" fontId="24" fillId="3" borderId="1" xfId="0" applyNumberFormat="1" applyFont="1" applyFill="1" applyBorder="1" applyAlignment="1">
      <alignment horizontal="center" vertical="center"/>
    </xf>
    <xf numFmtId="0" fontId="27" fillId="4" borderId="1" xfId="3" applyFont="1" applyFill="1" applyBorder="1"/>
    <xf numFmtId="0" fontId="27" fillId="4" borderId="1" xfId="3" applyFont="1" applyFill="1" applyBorder="1" applyAlignment="1">
      <alignment horizontal="center"/>
    </xf>
    <xf numFmtId="12" fontId="24" fillId="0" borderId="1" xfId="0" applyNumberFormat="1" applyFont="1" applyBorder="1" applyAlignment="1">
      <alignment horizontal="center"/>
    </xf>
    <xf numFmtId="0" fontId="24" fillId="4" borderId="1" xfId="0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/>
    </xf>
    <xf numFmtId="0" fontId="24" fillId="3" borderId="1" xfId="0" applyFont="1" applyFill="1" applyBorder="1"/>
    <xf numFmtId="0" fontId="25" fillId="4" borderId="1" xfId="0" applyFont="1" applyFill="1" applyBorder="1" applyAlignment="1">
      <alignment vertical="center"/>
    </xf>
    <xf numFmtId="0" fontId="25" fillId="4" borderId="1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1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2" xfId="0" applyFont="1" applyBorder="1"/>
    <xf numFmtId="1" fontId="28" fillId="0" borderId="0" xfId="0" applyNumberFormat="1" applyFont="1"/>
    <xf numFmtId="0" fontId="29" fillId="0" borderId="1" xfId="0" applyFont="1" applyBorder="1" applyAlignment="1">
      <alignment horizontal="center" vertical="center" wrapText="1"/>
    </xf>
    <xf numFmtId="0" fontId="30" fillId="3" borderId="1" xfId="3" applyFont="1" applyFill="1" applyBorder="1" applyAlignment="1">
      <alignment horizontal="center" vertical="top"/>
    </xf>
    <xf numFmtId="0" fontId="8" fillId="0" borderId="0" xfId="0" applyFont="1" applyAlignment="1">
      <alignment horizontal="center"/>
    </xf>
    <xf numFmtId="0" fontId="31" fillId="2" borderId="3" xfId="0" applyFont="1" applyFill="1" applyBorder="1" applyAlignment="1">
      <alignment horizontal="center" vertical="center"/>
    </xf>
    <xf numFmtId="0" fontId="30" fillId="0" borderId="1" xfId="3" applyFont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30" fillId="3" borderId="1" xfId="3" applyFont="1" applyFill="1" applyBorder="1" applyAlignment="1">
      <alignment horizontal="center"/>
    </xf>
    <xf numFmtId="0" fontId="32" fillId="4" borderId="1" xfId="3" applyFont="1" applyFill="1" applyBorder="1" applyAlignment="1">
      <alignment horizontal="center"/>
    </xf>
    <xf numFmtId="0" fontId="30" fillId="0" borderId="3" xfId="5" applyFont="1" applyBorder="1" applyAlignment="1">
      <alignment horizontal="center"/>
    </xf>
    <xf numFmtId="0" fontId="30" fillId="0" borderId="3" xfId="4" applyFont="1" applyBorder="1" applyAlignment="1">
      <alignment horizontal="center"/>
    </xf>
    <xf numFmtId="0" fontId="33" fillId="0" borderId="1" xfId="0" applyFont="1" applyBorder="1" applyAlignment="1">
      <alignment horizontal="center" vertical="center"/>
    </xf>
    <xf numFmtId="0" fontId="31" fillId="4" borderId="1" xfId="0" applyFont="1" applyFill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0" fontId="33" fillId="3" borderId="1" xfId="0" applyFont="1" applyFill="1" applyBorder="1" applyAlignment="1">
      <alignment horizontal="center"/>
    </xf>
    <xf numFmtId="0" fontId="30" fillId="0" borderId="1" xfId="4" applyFont="1" applyBorder="1" applyAlignment="1">
      <alignment horizontal="center"/>
    </xf>
    <xf numFmtId="0" fontId="33" fillId="0" borderId="1" xfId="5" applyFont="1" applyBorder="1" applyAlignment="1">
      <alignment horizontal="center"/>
    </xf>
    <xf numFmtId="0" fontId="32" fillId="4" borderId="1" xfId="4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30" fillId="0" borderId="1" xfId="5" applyFont="1" applyBorder="1" applyAlignment="1">
      <alignment horizontal="center"/>
    </xf>
    <xf numFmtId="0" fontId="33" fillId="3" borderId="1" xfId="3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1" fillId="2" borderId="5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6" fillId="10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21" fillId="12" borderId="1" xfId="0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horizontal="center"/>
    </xf>
    <xf numFmtId="0" fontId="21" fillId="12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38" fillId="0" borderId="17" xfId="0" applyFont="1" applyBorder="1"/>
    <xf numFmtId="0" fontId="38" fillId="0" borderId="18" xfId="0" applyFont="1" applyBorder="1" applyAlignment="1">
      <alignment horizontal="left"/>
    </xf>
    <xf numFmtId="0" fontId="38" fillId="0" borderId="18" xfId="0" applyFont="1" applyBorder="1" applyAlignment="1">
      <alignment horizontal="center"/>
    </xf>
    <xf numFmtId="166" fontId="38" fillId="0" borderId="19" xfId="0" applyNumberFormat="1" applyFont="1" applyBorder="1" applyAlignment="1">
      <alignment horizontal="right"/>
    </xf>
    <xf numFmtId="167" fontId="38" fillId="0" borderId="20" xfId="0" applyNumberFormat="1" applyFont="1" applyBorder="1"/>
    <xf numFmtId="169" fontId="38" fillId="0" borderId="20" xfId="0" applyNumberFormat="1" applyFont="1" applyBorder="1"/>
    <xf numFmtId="167" fontId="38" fillId="0" borderId="21" xfId="0" applyNumberFormat="1" applyFont="1" applyBorder="1"/>
    <xf numFmtId="166" fontId="38" fillId="0" borderId="19" xfId="0" applyNumberFormat="1" applyFont="1" applyBorder="1"/>
    <xf numFmtId="0" fontId="21" fillId="14" borderId="1" xfId="0" applyFont="1" applyFill="1" applyBorder="1"/>
    <xf numFmtId="0" fontId="23" fillId="14" borderId="1" xfId="0" applyFont="1" applyFill="1" applyBorder="1"/>
    <xf numFmtId="168" fontId="21" fillId="14" borderId="1" xfId="0" applyNumberFormat="1" applyFont="1" applyFill="1" applyBorder="1" applyAlignment="1">
      <alignment horizontal="center"/>
    </xf>
    <xf numFmtId="166" fontId="21" fillId="14" borderId="1" xfId="0" applyNumberFormat="1" applyFont="1" applyFill="1" applyBorder="1" applyAlignment="1">
      <alignment horizontal="right"/>
    </xf>
    <xf numFmtId="167" fontId="21" fillId="14" borderId="1" xfId="0" applyNumberFormat="1" applyFont="1" applyFill="1" applyBorder="1"/>
    <xf numFmtId="169" fontId="21" fillId="14" borderId="1" xfId="0" applyNumberFormat="1" applyFont="1" applyFill="1" applyBorder="1"/>
    <xf numFmtId="166" fontId="21" fillId="14" borderId="1" xfId="0" applyNumberFormat="1" applyFont="1" applyFill="1" applyBorder="1"/>
    <xf numFmtId="0" fontId="21" fillId="14" borderId="1" xfId="0" applyFont="1" applyFill="1" applyBorder="1" applyAlignment="1">
      <alignment horizontal="left"/>
    </xf>
    <xf numFmtId="168" fontId="21" fillId="14" borderId="1" xfId="0" applyNumberFormat="1" applyFont="1" applyFill="1" applyBorder="1" applyAlignment="1">
      <alignment horizontal="right"/>
    </xf>
    <xf numFmtId="0" fontId="21" fillId="0" borderId="1" xfId="0" applyFont="1" applyBorder="1"/>
    <xf numFmtId="0" fontId="21" fillId="0" borderId="1" xfId="0" applyFont="1" applyBorder="1" applyAlignment="1">
      <alignment horizontal="left"/>
    </xf>
    <xf numFmtId="168" fontId="21" fillId="0" borderId="1" xfId="0" applyNumberFormat="1" applyFont="1" applyBorder="1" applyAlignment="1">
      <alignment horizontal="center"/>
    </xf>
    <xf numFmtId="166" fontId="21" fillId="0" borderId="1" xfId="0" applyNumberFormat="1" applyFont="1" applyBorder="1" applyAlignment="1">
      <alignment horizontal="right"/>
    </xf>
    <xf numFmtId="167" fontId="21" fillId="0" borderId="1" xfId="0" applyNumberFormat="1" applyFont="1" applyBorder="1"/>
    <xf numFmtId="169" fontId="21" fillId="0" borderId="1" xfId="0" applyNumberFormat="1" applyFont="1" applyBorder="1"/>
    <xf numFmtId="166" fontId="21" fillId="0" borderId="1" xfId="0" applyNumberFormat="1" applyFont="1" applyBorder="1"/>
    <xf numFmtId="168" fontId="21" fillId="0" borderId="1" xfId="0" applyNumberFormat="1" applyFont="1" applyBorder="1" applyAlignment="1">
      <alignment horizontal="right"/>
    </xf>
    <xf numFmtId="0" fontId="21" fillId="14" borderId="1" xfId="0" applyFont="1" applyFill="1" applyBorder="1" applyAlignment="1">
      <alignment horizontal="left" vertical="center"/>
    </xf>
    <xf numFmtId="0" fontId="23" fillId="0" borderId="1" xfId="0" applyFont="1" applyBorder="1"/>
    <xf numFmtId="0" fontId="21" fillId="14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left" vertical="center"/>
    </xf>
    <xf numFmtId="169" fontId="21" fillId="14" borderId="1" xfId="0" applyNumberFormat="1" applyFont="1" applyFill="1" applyBorder="1" applyAlignment="1">
      <alignment horizontal="right"/>
    </xf>
    <xf numFmtId="0" fontId="26" fillId="0" borderId="0" xfId="0" applyFont="1"/>
    <xf numFmtId="165" fontId="24" fillId="0" borderId="10" xfId="9" applyNumberFormat="1" applyFont="1" applyBorder="1"/>
    <xf numFmtId="10" fontId="24" fillId="0" borderId="11" xfId="10" applyNumberFormat="1" applyFont="1" applyBorder="1"/>
    <xf numFmtId="16" fontId="0" fillId="0" borderId="1" xfId="0" applyNumberFormat="1" applyBorder="1" applyAlignment="1">
      <alignment horizontal="center"/>
    </xf>
    <xf numFmtId="16" fontId="0" fillId="6" borderId="1" xfId="0" applyNumberFormat="1" applyFill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165" fontId="14" fillId="0" borderId="8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1" xfId="9" applyNumberFormat="1" applyFont="1" applyBorder="1"/>
    <xf numFmtId="0" fontId="1" fillId="0" borderId="6" xfId="0" applyFont="1" applyBorder="1" applyAlignment="1">
      <alignment horizontal="center"/>
    </xf>
    <xf numFmtId="165" fontId="1" fillId="0" borderId="8" xfId="0" applyNumberFormat="1" applyFont="1" applyBorder="1" applyAlignment="1">
      <alignment horizontal="center"/>
    </xf>
    <xf numFmtId="16" fontId="0" fillId="6" borderId="1" xfId="0" applyNumberFormat="1" applyFill="1" applyBorder="1" applyAlignment="1">
      <alignment horizontal="center"/>
    </xf>
    <xf numFmtId="0" fontId="11" fillId="0" borderId="13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6" fillId="3" borderId="3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7" fillId="2" borderId="3" xfId="0" applyFont="1" applyFill="1" applyBorder="1" applyAlignment="1">
      <alignment vertical="center"/>
    </xf>
    <xf numFmtId="0" fontId="6" fillId="0" borderId="3" xfId="0" applyFont="1" applyBorder="1" applyAlignment="1">
      <alignment horizontal="left" vertical="center"/>
    </xf>
    <xf numFmtId="0" fontId="0" fillId="3" borderId="3" xfId="0" applyFill="1" applyBorder="1" applyAlignment="1">
      <alignment horizontal="left"/>
    </xf>
    <xf numFmtId="0" fontId="0" fillId="3" borderId="3" xfId="0" applyFill="1" applyBorder="1" applyAlignment="1">
      <alignment horizontal="left" vertical="center"/>
    </xf>
    <xf numFmtId="0" fontId="5" fillId="2" borderId="3" xfId="0" applyFont="1" applyFill="1" applyBorder="1" applyAlignment="1">
      <alignment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vertical="center"/>
    </xf>
    <xf numFmtId="0" fontId="2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8" borderId="27" xfId="0" applyFont="1" applyFill="1" applyBorder="1" applyAlignment="1">
      <alignment horizontal="center" vertical="center" wrapText="1"/>
    </xf>
    <xf numFmtId="0" fontId="2" fillId="7" borderId="27" xfId="0" applyFont="1" applyFill="1" applyBorder="1" applyAlignment="1">
      <alignment horizontal="center" vertical="center" wrapText="1"/>
    </xf>
    <xf numFmtId="0" fontId="2" fillId="6" borderId="27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1" fillId="0" borderId="22" xfId="9" applyNumberFormat="1" applyFont="1" applyBorder="1"/>
    <xf numFmtId="0" fontId="0" fillId="3" borderId="22" xfId="0" applyFill="1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0" fillId="3" borderId="31" xfId="0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8" borderId="34" xfId="0" applyFill="1" applyBorder="1" applyAlignment="1">
      <alignment horizontal="center"/>
    </xf>
    <xf numFmtId="165" fontId="1" fillId="0" borderId="32" xfId="9" applyNumberFormat="1" applyFont="1" applyBorder="1"/>
    <xf numFmtId="165" fontId="1" fillId="0" borderId="35" xfId="9" applyNumberFormat="1" applyFont="1" applyBorder="1"/>
    <xf numFmtId="0" fontId="21" fillId="16" borderId="1" xfId="0" applyFont="1" applyFill="1" applyBorder="1" applyAlignment="1">
      <alignment horizontal="center"/>
    </xf>
    <xf numFmtId="0" fontId="40" fillId="0" borderId="1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1" fillId="12" borderId="3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1" fillId="15" borderId="3" xfId="0" applyFont="1" applyFill="1" applyBorder="1" applyAlignment="1">
      <alignment horizontal="center"/>
    </xf>
    <xf numFmtId="0" fontId="21" fillId="15" borderId="3" xfId="0" applyFont="1" applyFill="1" applyBorder="1" applyAlignment="1">
      <alignment horizontal="center" vertical="center"/>
    </xf>
    <xf numFmtId="0" fontId="23" fillId="12" borderId="3" xfId="0" applyFont="1" applyFill="1" applyBorder="1" applyAlignment="1">
      <alignment horizontal="center"/>
    </xf>
    <xf numFmtId="0" fontId="21" fillId="0" borderId="3" xfId="0" applyFont="1" applyBorder="1" applyAlignment="1">
      <alignment horizontal="center" vertical="center"/>
    </xf>
    <xf numFmtId="0" fontId="21" fillId="16" borderId="3" xfId="0" applyFont="1" applyFill="1" applyBorder="1" applyAlignment="1">
      <alignment horizontal="center"/>
    </xf>
    <xf numFmtId="0" fontId="21" fillId="12" borderId="3" xfId="0" applyFont="1" applyFill="1" applyBorder="1" applyAlignment="1">
      <alignment horizontal="center"/>
    </xf>
    <xf numFmtId="0" fontId="40" fillId="0" borderId="3" xfId="0" applyFont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3" borderId="22" xfId="0" applyFill="1" applyBorder="1" applyAlignment="1">
      <alignment horizontal="center" vertical="center"/>
    </xf>
    <xf numFmtId="165" fontId="1" fillId="0" borderId="39" xfId="9" applyNumberFormat="1" applyFont="1" applyBorder="1"/>
    <xf numFmtId="0" fontId="0" fillId="3" borderId="4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2" fillId="2" borderId="31" xfId="0" applyFont="1" applyFill="1" applyBorder="1" applyAlignment="1">
      <alignment vertical="center"/>
    </xf>
    <xf numFmtId="0" fontId="2" fillId="2" borderId="32" xfId="0" applyFont="1" applyFill="1" applyBorder="1" applyAlignment="1">
      <alignment vertical="center"/>
    </xf>
    <xf numFmtId="0" fontId="0" fillId="3" borderId="33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7" borderId="34" xfId="0" applyFill="1" applyBorder="1" applyAlignment="1">
      <alignment horizontal="center"/>
    </xf>
    <xf numFmtId="0" fontId="0" fillId="3" borderId="40" xfId="0" applyFill="1" applyBorder="1" applyAlignment="1">
      <alignment horizontal="center" vertical="center"/>
    </xf>
    <xf numFmtId="0" fontId="0" fillId="0" borderId="0" xfId="9" applyNumberFormat="1" applyFont="1" applyBorder="1"/>
    <xf numFmtId="0" fontId="0" fillId="0" borderId="0" xfId="10" applyNumberFormat="1" applyFont="1" applyBorder="1"/>
    <xf numFmtId="0" fontId="0" fillId="0" borderId="3" xfId="0" applyBorder="1"/>
    <xf numFmtId="0" fontId="5" fillId="2" borderId="3" xfId="0" applyFont="1" applyFill="1" applyBorder="1"/>
    <xf numFmtId="0" fontId="6" fillId="0" borderId="3" xfId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3" xfId="5" applyFont="1" applyBorder="1"/>
    <xf numFmtId="0" fontId="10" fillId="2" borderId="3" xfId="0" applyFont="1" applyFill="1" applyBorder="1" applyAlignment="1">
      <alignment vertical="center"/>
    </xf>
    <xf numFmtId="0" fontId="9" fillId="0" borderId="3" xfId="2" applyFont="1" applyBorder="1"/>
    <xf numFmtId="0" fontId="6" fillId="0" borderId="3" xfId="2" applyFont="1" applyBorder="1"/>
    <xf numFmtId="0" fontId="2" fillId="0" borderId="42" xfId="0" applyFont="1" applyBorder="1" applyAlignment="1">
      <alignment horizontal="center" vertical="center" wrapText="1"/>
    </xf>
    <xf numFmtId="0" fontId="0" fillId="0" borderId="43" xfId="0" applyBorder="1"/>
    <xf numFmtId="165" fontId="1" fillId="0" borderId="43" xfId="9" applyNumberFormat="1" applyFont="1" applyBorder="1"/>
    <xf numFmtId="165" fontId="1" fillId="0" borderId="44" xfId="9" applyNumberFormat="1" applyFont="1" applyBorder="1"/>
    <xf numFmtId="0" fontId="2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3" borderId="10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1" fillId="0" borderId="22" xfId="0" applyFont="1" applyBorder="1" applyAlignment="1">
      <alignment vertical="center" wrapText="1"/>
    </xf>
    <xf numFmtId="0" fontId="1" fillId="3" borderId="1" xfId="0" applyFont="1" applyFill="1" applyBorder="1"/>
    <xf numFmtId="0" fontId="42" fillId="4" borderId="1" xfId="3" applyFont="1" applyFill="1" applyBorder="1"/>
    <xf numFmtId="0" fontId="43" fillId="0" borderId="3" xfId="5" applyFont="1" applyBorder="1"/>
    <xf numFmtId="0" fontId="1" fillId="0" borderId="3" xfId="0" applyFont="1" applyBorder="1" applyAlignment="1">
      <alignment horizontal="left" vertical="center"/>
    </xf>
    <xf numFmtId="0" fontId="43" fillId="0" borderId="3" xfId="4" applyFont="1" applyBorder="1"/>
    <xf numFmtId="0" fontId="44" fillId="0" borderId="3" xfId="0" applyFont="1" applyBorder="1" applyAlignment="1">
      <alignment horizontal="left" vertical="center"/>
    </xf>
    <xf numFmtId="0" fontId="43" fillId="0" borderId="3" xfId="3" applyFont="1" applyBorder="1"/>
    <xf numFmtId="0" fontId="44" fillId="0" borderId="3" xfId="0" applyFont="1" applyBorder="1"/>
    <xf numFmtId="0" fontId="41" fillId="4" borderId="1" xfId="0" applyFont="1" applyFill="1" applyBorder="1"/>
    <xf numFmtId="0" fontId="43" fillId="0" borderId="1" xfId="4" applyFont="1" applyBorder="1"/>
    <xf numFmtId="0" fontId="42" fillId="4" borderId="1" xfId="4" applyFont="1" applyFill="1" applyBorder="1"/>
    <xf numFmtId="0" fontId="43" fillId="3" borderId="1" xfId="3" applyFont="1" applyFill="1" applyBorder="1"/>
    <xf numFmtId="0" fontId="43" fillId="0" borderId="1" xfId="3" applyFont="1" applyBorder="1"/>
    <xf numFmtId="0" fontId="2" fillId="4" borderId="1" xfId="0" applyFont="1" applyFill="1" applyBorder="1"/>
    <xf numFmtId="0" fontId="44" fillId="0" borderId="1" xfId="5" applyFont="1" applyBorder="1"/>
    <xf numFmtId="0" fontId="44" fillId="3" borderId="1" xfId="3" applyFont="1" applyFill="1" applyBorder="1"/>
    <xf numFmtId="0" fontId="1" fillId="8" borderId="1" xfId="0" applyFont="1" applyFill="1" applyBorder="1" applyAlignment="1">
      <alignment horizontal="center"/>
    </xf>
    <xf numFmtId="0" fontId="1" fillId="8" borderId="1" xfId="0" applyFont="1" applyFill="1" applyBorder="1"/>
    <xf numFmtId="1" fontId="1" fillId="7" borderId="1" xfId="0" applyNumberFormat="1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65" fontId="24" fillId="0" borderId="0" xfId="0" applyNumberFormat="1" applyFont="1" applyAlignment="1">
      <alignment horizontal="center"/>
    </xf>
    <xf numFmtId="165" fontId="24" fillId="0" borderId="0" xfId="9" applyNumberFormat="1" applyFont="1" applyBorder="1"/>
    <xf numFmtId="10" fontId="24" fillId="0" borderId="0" xfId="10" applyNumberFormat="1" applyFont="1" applyBorder="1"/>
    <xf numFmtId="0" fontId="25" fillId="11" borderId="3" xfId="0" applyFont="1" applyFill="1" applyBorder="1" applyAlignment="1">
      <alignment horizontal="center" vertical="center" wrapText="1"/>
    </xf>
    <xf numFmtId="0" fontId="25" fillId="11" borderId="4" xfId="0" applyFont="1" applyFill="1" applyBorder="1" applyAlignment="1">
      <alignment horizontal="center" vertical="center" wrapText="1"/>
    </xf>
    <xf numFmtId="0" fontId="25" fillId="11" borderId="45" xfId="0" applyFont="1" applyFill="1" applyBorder="1" applyAlignment="1">
      <alignment vertical="center" wrapText="1"/>
    </xf>
    <xf numFmtId="0" fontId="25" fillId="11" borderId="41" xfId="0" applyFont="1" applyFill="1" applyBorder="1" applyAlignment="1">
      <alignment vertical="center" wrapText="1"/>
    </xf>
    <xf numFmtId="0" fontId="25" fillId="10" borderId="45" xfId="0" applyFont="1" applyFill="1" applyBorder="1" applyAlignment="1">
      <alignment horizontal="center" vertical="center" wrapText="1"/>
    </xf>
    <xf numFmtId="1" fontId="25" fillId="7" borderId="22" xfId="0" applyNumberFormat="1" applyFont="1" applyFill="1" applyBorder="1" applyAlignment="1">
      <alignment horizontal="center" vertical="center" wrapText="1"/>
    </xf>
    <xf numFmtId="1" fontId="25" fillId="0" borderId="22" xfId="0" applyNumberFormat="1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/>
    </xf>
    <xf numFmtId="0" fontId="2" fillId="2" borderId="13" xfId="0" applyFont="1" applyFill="1" applyBorder="1" applyAlignment="1">
      <alignment vertical="center"/>
    </xf>
    <xf numFmtId="0" fontId="0" fillId="8" borderId="13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1" xfId="0" applyFill="1" applyBorder="1"/>
    <xf numFmtId="0" fontId="24" fillId="0" borderId="13" xfId="0" applyFont="1" applyBorder="1"/>
    <xf numFmtId="0" fontId="24" fillId="0" borderId="22" xfId="0" applyFont="1" applyBorder="1"/>
    <xf numFmtId="0" fontId="24" fillId="0" borderId="27" xfId="0" applyFont="1" applyBorder="1"/>
    <xf numFmtId="0" fontId="24" fillId="4" borderId="22" xfId="0" applyFont="1" applyFill="1" applyBorder="1" applyAlignment="1">
      <alignment horizontal="center"/>
    </xf>
    <xf numFmtId="0" fontId="25" fillId="4" borderId="22" xfId="0" applyFont="1" applyFill="1" applyBorder="1" applyAlignment="1">
      <alignment vertical="center"/>
    </xf>
    <xf numFmtId="0" fontId="8" fillId="0" borderId="1" xfId="0" applyFont="1" applyBorder="1"/>
    <xf numFmtId="0" fontId="8" fillId="3" borderId="1" xfId="0" applyFont="1" applyFill="1" applyBorder="1"/>
    <xf numFmtId="16" fontId="0" fillId="3" borderId="1" xfId="0" applyNumberFormat="1" applyFill="1" applyBorder="1" applyAlignment="1">
      <alignment horizontal="center"/>
    </xf>
    <xf numFmtId="16" fontId="0" fillId="8" borderId="1" xfId="0" applyNumberFormat="1" applyFill="1" applyBorder="1" applyAlignment="1">
      <alignment horizontal="center"/>
    </xf>
    <xf numFmtId="0" fontId="1" fillId="0" borderId="13" xfId="0" applyFont="1" applyBorder="1"/>
    <xf numFmtId="0" fontId="5" fillId="17" borderId="0" xfId="0" applyFont="1" applyFill="1" applyAlignment="1">
      <alignment horizontal="center"/>
    </xf>
    <xf numFmtId="0" fontId="5" fillId="17" borderId="0" xfId="0" applyFont="1" applyFill="1"/>
    <xf numFmtId="0" fontId="45" fillId="0" borderId="0" xfId="0" applyFont="1"/>
    <xf numFmtId="14" fontId="0" fillId="0" borderId="1" xfId="0" applyNumberFormat="1" applyBorder="1"/>
    <xf numFmtId="42" fontId="0" fillId="0" borderId="1" xfId="0" applyNumberFormat="1" applyBorder="1"/>
    <xf numFmtId="10" fontId="0" fillId="0" borderId="1" xfId="10" applyNumberFormat="1" applyFont="1" applyBorder="1"/>
    <xf numFmtId="42" fontId="5" fillId="9" borderId="1" xfId="0" applyNumberFormat="1" applyFont="1" applyFill="1" applyBorder="1"/>
    <xf numFmtId="10" fontId="5" fillId="9" borderId="1" xfId="10" applyNumberFormat="1" applyFont="1" applyFill="1" applyBorder="1"/>
    <xf numFmtId="0" fontId="5" fillId="9" borderId="1" xfId="0" applyFont="1" applyFill="1" applyBorder="1"/>
    <xf numFmtId="0" fontId="24" fillId="0" borderId="3" xfId="0" applyFont="1" applyBorder="1"/>
    <xf numFmtId="0" fontId="24" fillId="0" borderId="46" xfId="0" applyFont="1" applyBorder="1"/>
    <xf numFmtId="0" fontId="1" fillId="0" borderId="3" xfId="0" applyFont="1" applyBorder="1" applyAlignment="1">
      <alignment horizontal="center"/>
    </xf>
    <xf numFmtId="0" fontId="24" fillId="0" borderId="45" xfId="0" applyFont="1" applyBorder="1"/>
    <xf numFmtId="0" fontId="27" fillId="4" borderId="3" xfId="3" applyFont="1" applyFill="1" applyBorder="1"/>
    <xf numFmtId="0" fontId="26" fillId="2" borderId="3" xfId="0" applyFont="1" applyFill="1" applyBorder="1" applyAlignment="1">
      <alignment vertical="center"/>
    </xf>
    <xf numFmtId="0" fontId="24" fillId="0" borderId="47" xfId="0" applyFont="1" applyBorder="1"/>
    <xf numFmtId="0" fontId="24" fillId="4" borderId="45" xfId="0" applyFont="1" applyFill="1" applyBorder="1" applyAlignment="1">
      <alignment horizontal="center"/>
    </xf>
    <xf numFmtId="0" fontId="24" fillId="3" borderId="3" xfId="0" applyFont="1" applyFill="1" applyBorder="1"/>
    <xf numFmtId="0" fontId="25" fillId="4" borderId="45" xfId="0" applyFont="1" applyFill="1" applyBorder="1" applyAlignment="1">
      <alignment vertical="center"/>
    </xf>
    <xf numFmtId="0" fontId="26" fillId="4" borderId="3" xfId="0" applyFont="1" applyFill="1" applyBorder="1" applyAlignment="1">
      <alignment vertical="center"/>
    </xf>
    <xf numFmtId="0" fontId="24" fillId="0" borderId="4" xfId="0" applyFont="1" applyBorder="1" applyAlignment="1">
      <alignment horizontal="center"/>
    </xf>
    <xf numFmtId="0" fontId="24" fillId="0" borderId="48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7" fillId="4" borderId="4" xfId="3" applyFont="1" applyFill="1" applyBorder="1"/>
    <xf numFmtId="0" fontId="26" fillId="2" borderId="4" xfId="0" applyFont="1" applyFill="1" applyBorder="1" applyAlignment="1">
      <alignment vertical="center"/>
    </xf>
    <xf numFmtId="0" fontId="24" fillId="0" borderId="2" xfId="0" applyFont="1" applyBorder="1" applyAlignment="1">
      <alignment horizontal="center"/>
    </xf>
    <xf numFmtId="12" fontId="24" fillId="0" borderId="4" xfId="0" applyNumberFormat="1" applyFont="1" applyBorder="1" applyAlignment="1">
      <alignment horizontal="center"/>
    </xf>
    <xf numFmtId="0" fontId="27" fillId="4" borderId="41" xfId="3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5" fillId="4" borderId="41" xfId="0" applyFont="1" applyFill="1" applyBorder="1" applyAlignment="1">
      <alignment vertical="center"/>
    </xf>
    <xf numFmtId="0" fontId="26" fillId="4" borderId="4" xfId="0" applyFont="1" applyFill="1" applyBorder="1" applyAlignment="1">
      <alignment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24" fillId="9" borderId="24" xfId="0" applyFont="1" applyFill="1" applyBorder="1" applyAlignment="1">
      <alignment horizontal="center"/>
    </xf>
    <xf numFmtId="0" fontId="24" fillId="9" borderId="25" xfId="0" applyFont="1" applyFill="1" applyBorder="1" applyAlignment="1">
      <alignment horizontal="center"/>
    </xf>
    <xf numFmtId="0" fontId="24" fillId="9" borderId="26" xfId="0" applyFont="1" applyFill="1" applyBorder="1" applyAlignment="1">
      <alignment horizontal="center"/>
    </xf>
    <xf numFmtId="0" fontId="25" fillId="8" borderId="45" xfId="0" applyFont="1" applyFill="1" applyBorder="1" applyAlignment="1">
      <alignment horizontal="center" vertical="center" wrapText="1"/>
    </xf>
    <xf numFmtId="0" fontId="25" fillId="8" borderId="41" xfId="0" applyFont="1" applyFill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6" fontId="36" fillId="0" borderId="14" xfId="0" applyNumberFormat="1" applyFont="1" applyBorder="1" applyAlignment="1">
      <alignment horizontal="right"/>
    </xf>
    <xf numFmtId="0" fontId="37" fillId="0" borderId="15" xfId="0" applyFont="1" applyBorder="1"/>
    <xf numFmtId="0" fontId="37" fillId="0" borderId="16" xfId="0" applyFont="1" applyBorder="1"/>
    <xf numFmtId="166" fontId="21" fillId="0" borderId="14" xfId="0" applyNumberFormat="1" applyFont="1" applyBorder="1" applyAlignment="1">
      <alignment horizontal="center"/>
    </xf>
    <xf numFmtId="0" fontId="5" fillId="17" borderId="0" xfId="0" applyFont="1" applyFill="1" applyAlignment="1">
      <alignment horizontal="center"/>
    </xf>
  </cellXfs>
  <cellStyles count="11">
    <cellStyle name="Moneda" xfId="9" builtinId="4"/>
    <cellStyle name="Normal" xfId="0" builtinId="0"/>
    <cellStyle name="Normal 2" xfId="7" xr:uid="{00000000-0005-0000-0000-000002000000}"/>
    <cellStyle name="Normal 3" xfId="6" xr:uid="{00000000-0005-0000-0000-000003000000}"/>
    <cellStyle name="Normal 4" xfId="8" xr:uid="{00000000-0005-0000-0000-000004000000}"/>
    <cellStyle name="Normal 5" xfId="1" xr:uid="{00000000-0005-0000-0000-000005000000}"/>
    <cellStyle name="Normal 6" xfId="2" xr:uid="{00000000-0005-0000-0000-000006000000}"/>
    <cellStyle name="Normal 7" xfId="3" xr:uid="{00000000-0005-0000-0000-000007000000}"/>
    <cellStyle name="Normal 8" xfId="5" xr:uid="{00000000-0005-0000-0000-000008000000}"/>
    <cellStyle name="Normal 9" xfId="4" xr:uid="{00000000-0005-0000-0000-000009000000}"/>
    <cellStyle name="Porcentaje" xfId="10" builtinId="5"/>
  </cellStyles>
  <dxfs count="60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0</xdr:row>
          <xdr:rowOff>171450</xdr:rowOff>
        </xdr:from>
        <xdr:to>
          <xdr:col>6</xdr:col>
          <xdr:colOff>447675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vc86\nodejs\Informe\CONSUMO%20TX%20ver29-08.xlsm" TargetMode="External"/><Relationship Id="rId1" Type="http://schemas.openxmlformats.org/officeDocument/2006/relationships/externalLinkPath" Target="CONSUMO%20TX%20ver29-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NTAS DIARIAS"/>
      <sheetName val="RECETAS"/>
      <sheetName val="DATOS COMIDA"/>
      <sheetName val="RESULTADO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INFORME" displayName="VENTASINFORME" ref="B1:C201" totalsRowShown="0" headerRowDxfId="11" tableBorderDxfId="10">
  <autoFilter ref="B1:C201" xr:uid="{00000000-0009-0000-0100-000001000000}"/>
  <tableColumns count="2">
    <tableColumn id="1" xr3:uid="{00000000-0010-0000-0000-000001000000}" name="PRODUCTOS" dataDxfId="9"/>
    <tableColumn id="2" xr3:uid="{00000000-0010-0000-0000-000002000000}" name="VENTAS" dataDxfId="8">
      <calculatedColumnFormula>IFERROR(VLOOKUP(B2,[1]!Tabla1[#All],132,FALSE),0)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pageSetUpPr fitToPage="1"/>
  </sheetPr>
  <dimension ref="A1:BF330"/>
  <sheetViews>
    <sheetView tabSelected="1" zoomScale="70" zoomScaleNormal="70" zoomScaleSheetLayoutView="110" workbookViewId="0">
      <selection activeCell="F17" sqref="F17"/>
    </sheetView>
  </sheetViews>
  <sheetFormatPr baseColWidth="10" defaultColWidth="50" defaultRowHeight="15.75" x14ac:dyDescent="0.25"/>
  <cols>
    <col min="1" max="1" width="2.28515625" style="3" customWidth="1"/>
    <col min="2" max="2" width="33" bestFit="1" customWidth="1"/>
    <col min="3" max="3" width="14.7109375" style="4" bestFit="1" customWidth="1"/>
    <col min="4" max="4" width="16.140625" bestFit="1" customWidth="1"/>
    <col min="5" max="5" width="11.85546875" customWidth="1"/>
    <col min="6" max="6" width="12.28515625" style="3" customWidth="1"/>
    <col min="7" max="7" width="14.5703125" style="72" customWidth="1"/>
    <col min="8" max="8" width="13.85546875" style="4" customWidth="1"/>
    <col min="9" max="9" width="12.28515625" style="3" bestFit="1" customWidth="1"/>
    <col min="10" max="10" width="11" style="3" bestFit="1" customWidth="1"/>
    <col min="11" max="11" width="17.28515625" bestFit="1" customWidth="1"/>
    <col min="12" max="12" width="15.140625" customWidth="1"/>
    <col min="13" max="13" width="12.42578125" bestFit="1" customWidth="1"/>
    <col min="14" max="14" width="7.7109375" bestFit="1" customWidth="1"/>
    <col min="15" max="15" width="14.5703125" customWidth="1"/>
    <col min="16" max="16" width="11.5703125" bestFit="1" customWidth="1"/>
    <col min="17" max="17" width="12.42578125" bestFit="1" customWidth="1"/>
    <col min="18" max="18" width="11" bestFit="1" customWidth="1"/>
    <col min="19" max="19" width="17.28515625" bestFit="1" customWidth="1"/>
    <col min="20" max="20" width="15" bestFit="1" customWidth="1"/>
    <col min="21" max="21" width="12.42578125" bestFit="1" customWidth="1"/>
    <col min="22" max="22" width="7.7109375" bestFit="1" customWidth="1"/>
    <col min="23" max="23" width="14.5703125" bestFit="1" customWidth="1"/>
    <col min="24" max="24" width="11.5703125" bestFit="1" customWidth="1"/>
    <col min="25" max="25" width="12.42578125" bestFit="1" customWidth="1"/>
    <col min="26" max="26" width="11" bestFit="1" customWidth="1"/>
    <col min="27" max="27" width="17.28515625" bestFit="1" customWidth="1"/>
    <col min="28" max="28" width="15" bestFit="1" customWidth="1"/>
    <col min="29" max="29" width="12.42578125" bestFit="1" customWidth="1"/>
    <col min="30" max="30" width="7.7109375" bestFit="1" customWidth="1"/>
    <col min="31" max="31" width="14.5703125" bestFit="1" customWidth="1"/>
    <col min="32" max="32" width="11.5703125" bestFit="1" customWidth="1"/>
    <col min="33" max="33" width="12.42578125" bestFit="1" customWidth="1"/>
    <col min="34" max="34" width="12.140625" bestFit="1" customWidth="1"/>
    <col min="35" max="35" width="17.28515625" bestFit="1" customWidth="1"/>
    <col min="36" max="36" width="15" bestFit="1" customWidth="1"/>
    <col min="37" max="37" width="12.42578125" bestFit="1" customWidth="1"/>
    <col min="38" max="38" width="7.7109375" bestFit="1" customWidth="1"/>
    <col min="39" max="39" width="14.5703125" bestFit="1" customWidth="1"/>
    <col min="40" max="40" width="11.5703125" bestFit="1" customWidth="1"/>
    <col min="41" max="41" width="12.42578125" bestFit="1" customWidth="1"/>
    <col min="42" max="42" width="12.140625" bestFit="1" customWidth="1"/>
    <col min="43" max="43" width="17.28515625" bestFit="1" customWidth="1"/>
    <col min="44" max="44" width="15" bestFit="1" customWidth="1"/>
    <col min="45" max="45" width="12.42578125" bestFit="1" customWidth="1"/>
    <col min="46" max="46" width="7.7109375" bestFit="1" customWidth="1"/>
    <col min="47" max="47" width="14.5703125" bestFit="1" customWidth="1"/>
    <col min="48" max="48" width="11.5703125" bestFit="1" customWidth="1"/>
    <col min="49" max="49" width="12.42578125" bestFit="1" customWidth="1"/>
    <col min="50" max="50" width="12.140625" bestFit="1" customWidth="1"/>
    <col min="51" max="51" width="17.28515625" bestFit="1" customWidth="1"/>
    <col min="52" max="52" width="15" bestFit="1" customWidth="1"/>
    <col min="53" max="53" width="12.42578125" bestFit="1" customWidth="1"/>
    <col min="54" max="54" width="7.7109375" bestFit="1" customWidth="1"/>
    <col min="55" max="55" width="14.5703125" bestFit="1" customWidth="1"/>
    <col min="56" max="56" width="11.5703125" bestFit="1" customWidth="1"/>
    <col min="57" max="57" width="12.42578125" bestFit="1" customWidth="1"/>
    <col min="58" max="58" width="11" bestFit="1" customWidth="1"/>
  </cols>
  <sheetData>
    <row r="1" spans="1:58" ht="16.5" thickBot="1" x14ac:dyDescent="0.3">
      <c r="B1" s="4"/>
      <c r="C1" s="83" t="s">
        <v>305</v>
      </c>
      <c r="D1" s="84" t="s">
        <v>306</v>
      </c>
      <c r="E1" s="85" t="s">
        <v>307</v>
      </c>
      <c r="K1" s="83" t="s">
        <v>305</v>
      </c>
      <c r="L1" s="84" t="s">
        <v>306</v>
      </c>
      <c r="M1" s="85" t="s">
        <v>307</v>
      </c>
      <c r="S1" s="83" t="s">
        <v>305</v>
      </c>
      <c r="T1" s="84" t="s">
        <v>306</v>
      </c>
      <c r="U1" s="85" t="s">
        <v>307</v>
      </c>
      <c r="AA1" s="83" t="s">
        <v>305</v>
      </c>
      <c r="AB1" s="84" t="s">
        <v>306</v>
      </c>
      <c r="AC1" s="85" t="s">
        <v>307</v>
      </c>
      <c r="AI1" s="83" t="s">
        <v>305</v>
      </c>
      <c r="AJ1" s="84" t="s">
        <v>306</v>
      </c>
      <c r="AK1" s="85" t="s">
        <v>307</v>
      </c>
      <c r="AQ1" s="83" t="s">
        <v>305</v>
      </c>
      <c r="AR1" s="84" t="s">
        <v>306</v>
      </c>
      <c r="AS1" s="85" t="s">
        <v>307</v>
      </c>
      <c r="AY1" s="83"/>
      <c r="AZ1" s="84"/>
      <c r="BA1" s="85"/>
    </row>
    <row r="2" spans="1:58" ht="16.5" thickBot="1" x14ac:dyDescent="0.3">
      <c r="B2" s="162"/>
      <c r="C2" s="86">
        <f>J137</f>
        <v>0</v>
      </c>
      <c r="D2" s="95">
        <v>0</v>
      </c>
      <c r="E2" s="96" t="e">
        <f>C2/D2</f>
        <v>#DIV/0!</v>
      </c>
      <c r="K2" s="86">
        <f>R137</f>
        <v>-74521.37</v>
      </c>
      <c r="L2" s="95">
        <v>692848</v>
      </c>
      <c r="M2" s="96">
        <f>K2/L2</f>
        <v>-0.10755803581737985</v>
      </c>
      <c r="S2" s="86">
        <f>Z137</f>
        <v>-27397.370000000003</v>
      </c>
      <c r="T2" s="95">
        <v>650350</v>
      </c>
      <c r="U2" s="96">
        <f>S2/T2</f>
        <v>-4.212711616821712E-2</v>
      </c>
      <c r="AA2" s="86">
        <f>AH137</f>
        <v>-19593.647499999999</v>
      </c>
      <c r="AB2" s="95">
        <v>1553940</v>
      </c>
      <c r="AC2" s="96">
        <f>AA2/AB2</f>
        <v>-1.260901160919984E-2</v>
      </c>
      <c r="AI2" s="86">
        <f>AP137</f>
        <v>-16563.61</v>
      </c>
      <c r="AJ2" s="95">
        <v>1797300</v>
      </c>
      <c r="AK2" s="96">
        <f>AI2/AJ2</f>
        <v>-9.2158292995048133E-3</v>
      </c>
      <c r="AQ2" s="86">
        <f>AX137</f>
        <v>-49165.778200000001</v>
      </c>
      <c r="AR2" s="95">
        <v>1143100</v>
      </c>
      <c r="AS2" s="96">
        <f>AQ2/AR2</f>
        <v>-4.3010916105327618E-2</v>
      </c>
      <c r="AY2" s="86"/>
      <c r="AZ2" s="95"/>
      <c r="BA2" s="96"/>
    </row>
    <row r="3" spans="1:58" x14ac:dyDescent="0.25">
      <c r="B3" s="4"/>
      <c r="D3" s="277"/>
      <c r="E3" s="278"/>
      <c r="K3" s="4"/>
      <c r="L3" s="277"/>
      <c r="M3" s="278"/>
      <c r="S3" s="4"/>
      <c r="T3" s="277"/>
      <c r="U3" s="278"/>
      <c r="AA3" s="4"/>
      <c r="AB3" s="277"/>
      <c r="AC3" s="278"/>
      <c r="AI3" s="4"/>
      <c r="AJ3" s="277"/>
      <c r="AK3" s="278"/>
      <c r="AQ3" s="4"/>
      <c r="AR3" s="277"/>
      <c r="AS3" s="278"/>
      <c r="AY3" s="4"/>
      <c r="AZ3" s="277"/>
      <c r="BA3" s="278"/>
    </row>
    <row r="4" spans="1:58" ht="16.5" thickBot="1" x14ac:dyDescent="0.3">
      <c r="B4" s="4"/>
      <c r="D4" s="277"/>
      <c r="E4" s="278"/>
    </row>
    <row r="5" spans="1:58" ht="16.5" thickBot="1" x14ac:dyDescent="0.3">
      <c r="C5" s="382" t="s">
        <v>577</v>
      </c>
      <c r="D5" s="379"/>
      <c r="E5" s="379"/>
      <c r="F5" s="380"/>
      <c r="G5" s="379"/>
      <c r="H5" s="382"/>
      <c r="I5" s="379"/>
      <c r="J5" s="380"/>
      <c r="K5" s="382" t="s">
        <v>578</v>
      </c>
      <c r="L5" s="379"/>
      <c r="M5" s="379"/>
      <c r="N5" s="379"/>
      <c r="O5" s="379"/>
      <c r="P5" s="379"/>
      <c r="Q5" s="379"/>
      <c r="R5" s="380"/>
      <c r="S5" s="382" t="s">
        <v>584</v>
      </c>
      <c r="T5" s="379"/>
      <c r="U5" s="379"/>
      <c r="V5" s="379"/>
      <c r="W5" s="379"/>
      <c r="X5" s="379"/>
      <c r="Y5" s="379"/>
      <c r="Z5" s="380"/>
      <c r="AA5" s="382" t="s">
        <v>580</v>
      </c>
      <c r="AB5" s="379"/>
      <c r="AC5" s="379"/>
      <c r="AD5" s="379"/>
      <c r="AE5" s="379"/>
      <c r="AF5" s="379"/>
      <c r="AG5" s="379"/>
      <c r="AH5" s="380"/>
      <c r="AI5" s="379" t="s">
        <v>581</v>
      </c>
      <c r="AJ5" s="379"/>
      <c r="AK5" s="379"/>
      <c r="AL5" s="379"/>
      <c r="AM5" s="379"/>
      <c r="AN5" s="379"/>
      <c r="AO5" s="379"/>
      <c r="AP5" s="380"/>
      <c r="AQ5" s="379" t="s">
        <v>585</v>
      </c>
      <c r="AR5" s="379"/>
      <c r="AS5" s="379"/>
      <c r="AT5" s="379"/>
      <c r="AU5" s="379"/>
      <c r="AV5" s="379"/>
      <c r="AW5" s="379"/>
      <c r="AX5" s="380"/>
      <c r="AY5" s="379"/>
      <c r="AZ5" s="379"/>
      <c r="BA5" s="379"/>
      <c r="BB5" s="379"/>
      <c r="BC5" s="379"/>
      <c r="BD5" s="379"/>
      <c r="BE5" s="379"/>
      <c r="BF5" s="380"/>
    </row>
    <row r="6" spans="1:58" ht="18.75" customHeight="1" thickBot="1" x14ac:dyDescent="0.3">
      <c r="B6" s="381" t="s">
        <v>1</v>
      </c>
      <c r="C6" s="233" t="s">
        <v>0</v>
      </c>
      <c r="D6" s="234" t="s">
        <v>2</v>
      </c>
      <c r="E6" s="235" t="s">
        <v>302</v>
      </c>
      <c r="F6" s="236" t="s">
        <v>69</v>
      </c>
      <c r="G6" s="218" t="s">
        <v>303</v>
      </c>
      <c r="H6" s="237" t="s">
        <v>71</v>
      </c>
      <c r="I6" s="234" t="s">
        <v>70</v>
      </c>
      <c r="J6" s="238" t="s">
        <v>561</v>
      </c>
      <c r="K6" s="291" t="s">
        <v>0</v>
      </c>
      <c r="L6" s="161" t="s">
        <v>2</v>
      </c>
      <c r="M6" s="78" t="s">
        <v>302</v>
      </c>
      <c r="N6" s="77" t="s">
        <v>69</v>
      </c>
      <c r="O6" s="161" t="s">
        <v>303</v>
      </c>
      <c r="P6" s="75" t="s">
        <v>71</v>
      </c>
      <c r="Q6" s="161" t="s">
        <v>70</v>
      </c>
      <c r="R6" s="292" t="s">
        <v>561</v>
      </c>
      <c r="S6" s="291" t="s">
        <v>0</v>
      </c>
      <c r="T6" s="161" t="s">
        <v>2</v>
      </c>
      <c r="U6" s="78" t="s">
        <v>302</v>
      </c>
      <c r="V6" s="77" t="s">
        <v>69</v>
      </c>
      <c r="W6" s="161" t="s">
        <v>303</v>
      </c>
      <c r="X6" s="75" t="s">
        <v>71</v>
      </c>
      <c r="Y6" s="161" t="s">
        <v>70</v>
      </c>
      <c r="Z6" s="292" t="s">
        <v>561</v>
      </c>
      <c r="AA6" s="291" t="s">
        <v>0</v>
      </c>
      <c r="AB6" s="161" t="s">
        <v>2</v>
      </c>
      <c r="AC6" s="78" t="s">
        <v>302</v>
      </c>
      <c r="AD6" s="77" t="s">
        <v>69</v>
      </c>
      <c r="AE6" s="161" t="s">
        <v>303</v>
      </c>
      <c r="AF6" s="75" t="s">
        <v>71</v>
      </c>
      <c r="AG6" s="161" t="s">
        <v>70</v>
      </c>
      <c r="AH6" s="292" t="s">
        <v>561</v>
      </c>
      <c r="AI6" s="219" t="s">
        <v>0</v>
      </c>
      <c r="AJ6" s="161" t="s">
        <v>2</v>
      </c>
      <c r="AK6" s="78" t="s">
        <v>302</v>
      </c>
      <c r="AL6" s="77" t="s">
        <v>69</v>
      </c>
      <c r="AM6" s="161" t="s">
        <v>303</v>
      </c>
      <c r="AN6" s="75" t="s">
        <v>71</v>
      </c>
      <c r="AO6" s="161" t="s">
        <v>70</v>
      </c>
      <c r="AP6" s="203" t="s">
        <v>561</v>
      </c>
      <c r="AQ6" s="219" t="s">
        <v>0</v>
      </c>
      <c r="AR6" s="161" t="s">
        <v>2</v>
      </c>
      <c r="AS6" s="78" t="s">
        <v>302</v>
      </c>
      <c r="AT6" s="77" t="s">
        <v>69</v>
      </c>
      <c r="AU6" s="161" t="s">
        <v>303</v>
      </c>
      <c r="AV6" s="75" t="s">
        <v>71</v>
      </c>
      <c r="AW6" s="161" t="s">
        <v>70</v>
      </c>
      <c r="AX6" s="203" t="s">
        <v>561</v>
      </c>
      <c r="AY6" s="219"/>
      <c r="AZ6" s="161"/>
      <c r="BA6" s="78"/>
      <c r="BB6" s="77"/>
      <c r="BC6" s="161"/>
      <c r="BD6" s="75"/>
      <c r="BE6" s="161"/>
      <c r="BF6" s="203"/>
    </row>
    <row r="7" spans="1:58" ht="17.25" hidden="1" customHeight="1" x14ac:dyDescent="0.25">
      <c r="B7" s="381"/>
      <c r="C7" s="287" t="s">
        <v>3</v>
      </c>
      <c r="D7" s="223" t="s">
        <v>3</v>
      </c>
      <c r="E7" s="224" t="s">
        <v>304</v>
      </c>
      <c r="F7" s="225"/>
      <c r="G7" s="221"/>
      <c r="H7" s="226" t="s">
        <v>3</v>
      </c>
      <c r="I7" s="223"/>
      <c r="J7" s="288"/>
      <c r="K7" s="291" t="s">
        <v>3</v>
      </c>
      <c r="L7" s="161" t="s">
        <v>3</v>
      </c>
      <c r="M7" s="78" t="s">
        <v>304</v>
      </c>
      <c r="N7" s="77"/>
      <c r="O7" s="161"/>
      <c r="P7" s="75" t="s">
        <v>3</v>
      </c>
      <c r="Q7" s="161"/>
      <c r="R7" s="263"/>
      <c r="S7" s="291" t="s">
        <v>3</v>
      </c>
      <c r="T7" s="161" t="s">
        <v>3</v>
      </c>
      <c r="U7" s="78" t="s">
        <v>304</v>
      </c>
      <c r="V7" s="77"/>
      <c r="W7" s="161"/>
      <c r="X7" s="75" t="s">
        <v>3</v>
      </c>
      <c r="Y7" s="161"/>
      <c r="Z7" s="263"/>
      <c r="AA7" s="291" t="s">
        <v>3</v>
      </c>
      <c r="AB7" s="161" t="s">
        <v>3</v>
      </c>
      <c r="AC7" s="78" t="s">
        <v>304</v>
      </c>
      <c r="AD7" s="77"/>
      <c r="AE7" s="161"/>
      <c r="AF7" s="75" t="s">
        <v>3</v>
      </c>
      <c r="AG7" s="161"/>
      <c r="AH7" s="263"/>
      <c r="AI7" s="219" t="s">
        <v>3</v>
      </c>
      <c r="AJ7" s="161" t="s">
        <v>3</v>
      </c>
      <c r="AK7" s="78" t="s">
        <v>304</v>
      </c>
      <c r="AL7" s="77"/>
      <c r="AM7" s="161"/>
      <c r="AN7" s="75" t="s">
        <v>3</v>
      </c>
      <c r="AO7" s="161"/>
      <c r="AP7" s="2"/>
      <c r="AQ7" s="161" t="s">
        <v>3</v>
      </c>
      <c r="AR7" s="161" t="s">
        <v>3</v>
      </c>
      <c r="AS7" s="78" t="s">
        <v>304</v>
      </c>
      <c r="AT7" s="77"/>
      <c r="AU7" s="161"/>
      <c r="AV7" s="75" t="s">
        <v>3</v>
      </c>
      <c r="AW7" s="161"/>
      <c r="AX7" s="2"/>
      <c r="AY7" s="161" t="s">
        <v>3</v>
      </c>
      <c r="AZ7" s="161" t="s">
        <v>3</v>
      </c>
      <c r="BA7" s="78" t="s">
        <v>304</v>
      </c>
      <c r="BB7" s="77"/>
      <c r="BC7" s="161"/>
      <c r="BD7" s="75" t="s">
        <v>3</v>
      </c>
      <c r="BE7" s="161"/>
      <c r="BF7" s="2"/>
    </row>
    <row r="8" spans="1:58" x14ac:dyDescent="0.25">
      <c r="B8" s="210" t="s">
        <v>29</v>
      </c>
      <c r="C8" s="271"/>
      <c r="D8" s="55"/>
      <c r="E8" s="55"/>
      <c r="F8" s="55"/>
      <c r="G8" s="55"/>
      <c r="H8" s="55"/>
      <c r="I8" s="55"/>
      <c r="J8" s="272"/>
      <c r="K8" s="271"/>
      <c r="L8" s="55"/>
      <c r="M8" s="55"/>
      <c r="N8" s="55"/>
      <c r="O8" s="55"/>
      <c r="P8" s="55"/>
      <c r="Q8" s="55"/>
      <c r="R8" s="272"/>
      <c r="S8" s="271"/>
      <c r="T8" s="55"/>
      <c r="U8" s="55"/>
      <c r="V8" s="55"/>
      <c r="W8" s="55"/>
      <c r="X8" s="55"/>
      <c r="Y8" s="55"/>
      <c r="Z8" s="272"/>
      <c r="AA8" s="271"/>
      <c r="AB8" s="55"/>
      <c r="AC8" s="55"/>
      <c r="AD8" s="55"/>
      <c r="AE8" s="55"/>
      <c r="AF8" s="55"/>
      <c r="AG8" s="55"/>
      <c r="AH8" s="272"/>
      <c r="AI8" s="220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</row>
    <row r="9" spans="1:58" x14ac:dyDescent="0.25">
      <c r="A9" s="3" t="s">
        <v>72</v>
      </c>
      <c r="B9" s="211" t="s">
        <v>53</v>
      </c>
      <c r="C9" s="239">
        <f>VLOOKUP($A9,INICIO!$A$5:$J$72,3,FALSE)</f>
        <v>0</v>
      </c>
      <c r="D9" s="9">
        <f>VLOOKUP($A9,REPOSICIONES!$A$5:$J$72,3,FALSE)</f>
        <v>0</v>
      </c>
      <c r="E9" s="79">
        <f>C9+D9</f>
        <v>0</v>
      </c>
      <c r="F9" s="80">
        <f>IFERROR(VLOOKUP($A9,VENTAS!$H$2:$O$201,2,FALSE),"")</f>
        <v>0</v>
      </c>
      <c r="G9" s="9">
        <f>IFERROR((E9-F9),"")</f>
        <v>0</v>
      </c>
      <c r="H9" s="9">
        <f>VLOOKUP($A9,INICIO!$A$5:$J$72,4,FALSE)</f>
        <v>20</v>
      </c>
      <c r="I9" s="203">
        <f>IFERROR(H9-G9,"")</f>
        <v>20</v>
      </c>
      <c r="J9" s="242" t="str">
        <f>IFERROR(IF(I9&gt;0,"",I9*VLOOKUP($A9,'VALOR I.'!$B$6:$K$418,10,FALSE)),"")</f>
        <v/>
      </c>
      <c r="K9" s="276">
        <f>VLOOKUP($A9,INICIO!$A$5:$J$72,4,FALSE)</f>
        <v>20</v>
      </c>
      <c r="L9" s="232">
        <f>VLOOKUP($A9,REPOSICIONES!$A$5:$J$72,4,FALSE)</f>
        <v>20</v>
      </c>
      <c r="M9" s="229">
        <f>K9+L9</f>
        <v>40</v>
      </c>
      <c r="N9" s="230">
        <f>IFERROR(VLOOKUP($A9,VENTAS!$H$2:$O$201,3,FALSE),"")</f>
        <v>2</v>
      </c>
      <c r="O9" s="267">
        <f>IFERROR((M9-N9),"")</f>
        <v>38</v>
      </c>
      <c r="P9" s="270">
        <f>VLOOKUP($A9,INICIO!$A$5:$J$72,5,FALSE)</f>
        <v>23</v>
      </c>
      <c r="Q9" s="209">
        <f>IFERROR(P9-O9,"")</f>
        <v>-15</v>
      </c>
      <c r="R9" s="268">
        <f>IFERROR(IF(Q9&gt;0,"",Q9*VLOOKUP($A9,'VALOR I.'!$B$6:$K$418,10,FALSE)),"")</f>
        <v>-16305.975</v>
      </c>
      <c r="S9" s="276">
        <f>VLOOKUP($A9,INICIO!$A$5:$J$72,5,FALSE)</f>
        <v>23</v>
      </c>
      <c r="T9" s="232">
        <f>VLOOKUP($A9,REPOSICIONES!$A$5:$J$72,5,FALSE)</f>
        <v>0</v>
      </c>
      <c r="U9" s="229">
        <f>S9+T9</f>
        <v>23</v>
      </c>
      <c r="V9" s="230">
        <f>IFERROR(VLOOKUP($A9,VENTAS!$H$2:$O$201,4,FALSE),"")</f>
        <v>4</v>
      </c>
      <c r="W9" s="267">
        <f>IFERROR((U9-V9),"")</f>
        <v>19</v>
      </c>
      <c r="X9" s="270">
        <f>VLOOKUP($A9,INICIO!$A$5:$J$72,6,FALSE)</f>
        <v>21</v>
      </c>
      <c r="Y9" s="209">
        <f>IFERROR(X9-W9,"")</f>
        <v>2</v>
      </c>
      <c r="Z9" s="268" t="str">
        <f>IFERROR(IF(Y9&gt;0,"",Y9*VLOOKUP($A9,'VALOR I.'!$B$6:$K$418,10,FALSE)),"")</f>
        <v/>
      </c>
      <c r="AA9" s="276">
        <f>VLOOKUP($A9,INICIO!$A$5:$J$72,6,FALSE)</f>
        <v>21</v>
      </c>
      <c r="AB9" s="232">
        <f>VLOOKUP($A9,REPOSICIONES!$A$5:$J$72,6,FALSE)</f>
        <v>4</v>
      </c>
      <c r="AC9" s="229">
        <f>AA9+AB9</f>
        <v>25</v>
      </c>
      <c r="AD9" s="230">
        <f>IFERROR(VLOOKUP($A9,VENTAS!$H$2:$O$201,5,FALSE),"")</f>
        <v>5</v>
      </c>
      <c r="AE9" s="267">
        <f>IFERROR((AC9-AD9),"")</f>
        <v>20</v>
      </c>
      <c r="AF9" s="270">
        <f>VLOOKUP($A9,INICIO!$A$5:$J$72,7,FALSE)</f>
        <v>19</v>
      </c>
      <c r="AG9" s="209">
        <f>IFERROR(AF9-AE9,"")</f>
        <v>-1</v>
      </c>
      <c r="AH9" s="268">
        <f>IFERROR(IF(AG9&gt;0,"",AG9*VLOOKUP($A9,'VALOR I.'!$B$6:$K$418,10,FALSE)),"")</f>
        <v>-1087.0650000000001</v>
      </c>
      <c r="AI9" s="269">
        <f>VLOOKUP($A9,INICIO!$A$5:$J$72,7,FALSE)</f>
        <v>19</v>
      </c>
      <c r="AJ9" s="232">
        <f>VLOOKUP($A9,REPOSICIONES!$A$5:$J$72,7,FALSE)</f>
        <v>6</v>
      </c>
      <c r="AK9" s="229">
        <f>AI9+AJ9</f>
        <v>25</v>
      </c>
      <c r="AL9" s="230">
        <f>IFERROR(VLOOKUP($A9,VENTAS!$H$2:$O$201,6,FALSE),"")</f>
        <v>7</v>
      </c>
      <c r="AM9" s="267">
        <f>IFERROR((AK9-AL9),"")</f>
        <v>18</v>
      </c>
      <c r="AN9" s="270">
        <f>VLOOKUP($A9,INICIO!$A$5:$J$72,8,FALSE)</f>
        <v>13</v>
      </c>
      <c r="AO9" s="209">
        <f>IFERROR(AN9-AM9,"")</f>
        <v>-5</v>
      </c>
      <c r="AP9" s="231">
        <f>IFERROR(IF(AO9&gt;0,"",AO9*VLOOKUP($A9,'VALOR I.'!$B$6:$K$418,10,FALSE)),"")</f>
        <v>-5435.3250000000007</v>
      </c>
      <c r="AQ9" s="269">
        <f>VLOOKUP($A9,INICIO!$A$5:$J$72,8,FALSE)</f>
        <v>13</v>
      </c>
      <c r="AR9" s="232">
        <f>VLOOKUP($A9,REPOSICIONES!$A$5:$J$72,8,FALSE)</f>
        <v>10</v>
      </c>
      <c r="AS9" s="229">
        <f>AQ9+AR9</f>
        <v>23</v>
      </c>
      <c r="AT9" s="230">
        <f>IFERROR(VLOOKUP($A9,VENTAS!$H$2:$O$201,7,FALSE),"")</f>
        <v>4</v>
      </c>
      <c r="AU9" s="267">
        <f>IFERROR((AS9-AT9),"")</f>
        <v>19</v>
      </c>
      <c r="AV9" s="270">
        <f>VLOOKUP($A9,INICIO!$A$5:$J$72,9,FALSE)</f>
        <v>16</v>
      </c>
      <c r="AW9" s="209">
        <f>IFERROR(AV9-AU9,"")</f>
        <v>-3</v>
      </c>
      <c r="AX9" s="231">
        <f>IFERROR(IF(AW9&gt;0,"",AW9*VLOOKUP($A9,'VALOR I.'!$B$6:$K$418,10,FALSE)),"")</f>
        <v>-3261.1950000000002</v>
      </c>
      <c r="AY9" s="269"/>
      <c r="AZ9" s="232"/>
      <c r="BA9" s="229"/>
      <c r="BB9" s="230"/>
      <c r="BC9" s="267"/>
      <c r="BD9" s="270"/>
      <c r="BE9" s="209"/>
      <c r="BF9" s="231"/>
    </row>
    <row r="10" spans="1:58" x14ac:dyDescent="0.25">
      <c r="A10" s="66" t="s">
        <v>73</v>
      </c>
      <c r="B10" s="212" t="s">
        <v>4</v>
      </c>
      <c r="C10" s="239">
        <f>VLOOKUP($A10,INICIO!$A$5:$J$72,3,FALSE)</f>
        <v>0</v>
      </c>
      <c r="D10" s="9">
        <f>VLOOKUP($A10,REPOSICIONES!$A$5:$J$72,3,FALSE)</f>
        <v>0</v>
      </c>
      <c r="E10" s="79">
        <f t="shared" ref="E10:E73" si="0">C10+D10</f>
        <v>0</v>
      </c>
      <c r="F10" s="80">
        <f>IFERROR(VLOOKUP($A10,VENTAS!$H$2:$O$201,2,FALSE),"")</f>
        <v>0</v>
      </c>
      <c r="G10" s="9">
        <f t="shared" ref="G10:G73" si="1">IFERROR((E10-F10),"")</f>
        <v>0</v>
      </c>
      <c r="H10" s="9">
        <f>VLOOKUP($A10,INICIO!$A$5:$J$72,4,FALSE)</f>
        <v>22</v>
      </c>
      <c r="I10" s="203">
        <f>IFERROR(H10-G10,"")</f>
        <v>22</v>
      </c>
      <c r="J10" s="242" t="str">
        <f>IFERROR(IF(I10&gt;0,"",I10*VLOOKUP($A10,'VALOR I.'!$B$6:$K$418,10,FALSE)),"")</f>
        <v/>
      </c>
      <c r="K10" s="276">
        <f>VLOOKUP($A10,INICIO!$A$5:$J$72,4,FALSE)</f>
        <v>22</v>
      </c>
      <c r="L10" s="232">
        <f>VLOOKUP($A10,REPOSICIONES!$A$5:$J$72,4,FALSE)</f>
        <v>0</v>
      </c>
      <c r="M10" s="79">
        <f t="shared" ref="M10:M73" si="2">K10+L10</f>
        <v>22</v>
      </c>
      <c r="N10" s="230">
        <f>IFERROR(VLOOKUP($A10,VENTAS!$H$2:$O$201,3,FALSE),"")</f>
        <v>3</v>
      </c>
      <c r="O10" s="267">
        <f t="shared" ref="O10:O73" si="3">IFERROR((M10-N10),"")</f>
        <v>19</v>
      </c>
      <c r="P10" s="270">
        <f>VLOOKUP($A10,INICIO!$A$5:$J$72,5,FALSE)</f>
        <v>20</v>
      </c>
      <c r="Q10" s="203">
        <f>IFERROR(P10-O10,"")</f>
        <v>1</v>
      </c>
      <c r="R10" s="242" t="str">
        <f>IFERROR(IF(Q10&gt;0,"",Q10*VLOOKUP($A10,'VALOR I.'!$B$6:$K$418,10,FALSE)),"")</f>
        <v/>
      </c>
      <c r="S10" s="276">
        <f>VLOOKUP($A10,INICIO!$A$5:$J$72,5,FALSE)</f>
        <v>20</v>
      </c>
      <c r="T10" s="232">
        <f>VLOOKUP($A10,REPOSICIONES!$A$5:$J$72,5,FALSE)</f>
        <v>5</v>
      </c>
      <c r="U10" s="79">
        <f t="shared" ref="U10:U73" si="4">S10+T10</f>
        <v>25</v>
      </c>
      <c r="V10" s="230">
        <f>IFERROR(VLOOKUP($A10,VENTAS!$H$2:$O$201,4,FALSE),"")</f>
        <v>4</v>
      </c>
      <c r="W10" s="11">
        <f t="shared" ref="W10:W73" si="5">IFERROR((U10-V10),"")</f>
        <v>21</v>
      </c>
      <c r="X10" s="270">
        <f>VLOOKUP($A10,INICIO!$A$5:$J$72,6,FALSE)</f>
        <v>16</v>
      </c>
      <c r="Y10" s="203">
        <f>IFERROR(X10-W10,"")</f>
        <v>-5</v>
      </c>
      <c r="Z10" s="242">
        <f>IFERROR(IF(Y10&gt;0,"",Y10*VLOOKUP($A10,'VALOR I.'!$B$6:$K$418,10,FALSE)),"")</f>
        <v>-2957.1500000000005</v>
      </c>
      <c r="AA10" s="276">
        <f>VLOOKUP($A10,INICIO!$A$5:$J$72,6,FALSE)</f>
        <v>16</v>
      </c>
      <c r="AB10" s="232">
        <f>VLOOKUP($A10,REPOSICIONES!$A$5:$J$72,6,FALSE)</f>
        <v>8</v>
      </c>
      <c r="AC10" s="79">
        <f t="shared" ref="AC10:AC73" si="6">AA10+AB10</f>
        <v>24</v>
      </c>
      <c r="AD10" s="230">
        <f>IFERROR(VLOOKUP($A10,VENTAS!$H$2:$O$201,5,FALSE),"")</f>
        <v>0</v>
      </c>
      <c r="AE10" s="11">
        <f t="shared" ref="AE10:AE73" si="7">IFERROR((AC10-AD10),"")</f>
        <v>24</v>
      </c>
      <c r="AF10" s="270">
        <f>VLOOKUP($A10,INICIO!$A$5:$J$72,7,FALSE)</f>
        <v>19</v>
      </c>
      <c r="AG10" s="203">
        <f>IFERROR(AF10-AE10,"")</f>
        <v>-5</v>
      </c>
      <c r="AH10" s="242">
        <f>IFERROR(IF(AG10&gt;0,"",AG10*VLOOKUP($A10,'VALOR I.'!$B$6:$K$418,10,FALSE)),"")</f>
        <v>-2957.1500000000005</v>
      </c>
      <c r="AI10" s="269">
        <f>VLOOKUP($A10,INICIO!$A$5:$J$72,7,FALSE)</f>
        <v>19</v>
      </c>
      <c r="AJ10" s="232">
        <f>VLOOKUP($A10,REPOSICIONES!$A$5:$J$72,7,FALSE)</f>
        <v>0</v>
      </c>
      <c r="AK10" s="79">
        <f t="shared" ref="AK10:AK73" si="8">AI10+AJ10</f>
        <v>19</v>
      </c>
      <c r="AL10" s="230">
        <f>IFERROR(VLOOKUP($A10,VENTAS!$H$2:$O$201,6,FALSE),"")</f>
        <v>4</v>
      </c>
      <c r="AM10" s="11">
        <f t="shared" ref="AM10:AM73" si="9">IFERROR((AK10-AL10),"")</f>
        <v>15</v>
      </c>
      <c r="AN10" s="270">
        <f>VLOOKUP($A10,INICIO!$A$5:$J$72,8,FALSE)</f>
        <v>10</v>
      </c>
      <c r="AO10" s="203">
        <f>IFERROR(AN10-AM10,"")</f>
        <v>-5</v>
      </c>
      <c r="AP10" s="204">
        <f>IFERROR(IF(AO10&gt;0,"",AO10*VLOOKUP($A10,'VALOR I.'!$B$6:$K$418,10,FALSE)),"")</f>
        <v>-2957.1500000000005</v>
      </c>
      <c r="AQ10" s="269">
        <f>VLOOKUP($A10,INICIO!$A$5:$J$72,8,FALSE)</f>
        <v>10</v>
      </c>
      <c r="AR10" s="232">
        <f>VLOOKUP($A10,REPOSICIONES!$A$5:$J$72,8,FALSE)</f>
        <v>12</v>
      </c>
      <c r="AS10" s="79">
        <f t="shared" ref="AS10:AS73" si="10">AQ10+AR10</f>
        <v>22</v>
      </c>
      <c r="AT10" s="230">
        <f>IFERROR(VLOOKUP($A10,VENTAS!$H$2:$O$201,7,FALSE),"")</f>
        <v>0</v>
      </c>
      <c r="AU10" s="11">
        <f t="shared" ref="AU10:AU73" si="11">IFERROR((AS10-AT10),"")</f>
        <v>22</v>
      </c>
      <c r="AV10" s="270">
        <f>VLOOKUP($A10,INICIO!$A$5:$J$72,9,FALSE)</f>
        <v>18</v>
      </c>
      <c r="AW10" s="203">
        <f>IFERROR(AV10-AU10,"")</f>
        <v>-4</v>
      </c>
      <c r="AX10" s="204">
        <f>IFERROR(IF(AW10&gt;0,"",AW10*VLOOKUP($A10,'VALOR I.'!$B$6:$K$418,10,FALSE)),"")</f>
        <v>-2365.7200000000003</v>
      </c>
      <c r="AY10" s="269"/>
      <c r="AZ10" s="232"/>
      <c r="BA10" s="79"/>
      <c r="BB10" s="230"/>
      <c r="BC10" s="11"/>
      <c r="BD10" s="270"/>
      <c r="BE10" s="203"/>
      <c r="BF10" s="204"/>
    </row>
    <row r="11" spans="1:58" x14ac:dyDescent="0.25">
      <c r="A11" s="66" t="s">
        <v>74</v>
      </c>
      <c r="B11" s="212" t="s">
        <v>5</v>
      </c>
      <c r="C11" s="239">
        <f>VLOOKUP($A11,INICIO!$A$5:$J$72,3,FALSE)</f>
        <v>0</v>
      </c>
      <c r="D11" s="9">
        <f>VLOOKUP($A11,REPOSICIONES!$A$5:$J$72,3,FALSE)</f>
        <v>0</v>
      </c>
      <c r="E11" s="79">
        <f t="shared" si="0"/>
        <v>0</v>
      </c>
      <c r="F11" s="80">
        <f>IFERROR(VLOOKUP($A11,VENTAS!$H$2:$O$201,2,FALSE),"")</f>
        <v>0</v>
      </c>
      <c r="G11" s="9">
        <f t="shared" si="1"/>
        <v>0</v>
      </c>
      <c r="H11" s="9">
        <f>VLOOKUP($A11,INICIO!$A$5:$J$72,4,FALSE)</f>
        <v>0</v>
      </c>
      <c r="I11" s="203">
        <f>IFERROR(H11-G11,"")</f>
        <v>0</v>
      </c>
      <c r="J11" s="242">
        <f>IFERROR(IF(I11&gt;0,"",I11*VLOOKUP($A11,'VALOR I.'!$B$6:$K$418,10,FALSE)),"")</f>
        <v>0</v>
      </c>
      <c r="K11" s="276">
        <f>VLOOKUP($A11,INICIO!$A$5:$J$72,4,FALSE)</f>
        <v>0</v>
      </c>
      <c r="L11" s="232">
        <f>VLOOKUP($A11,REPOSICIONES!$A$5:$J$72,4,FALSE)</f>
        <v>0</v>
      </c>
      <c r="M11" s="79">
        <f t="shared" si="2"/>
        <v>0</v>
      </c>
      <c r="N11" s="230">
        <f>IFERROR(VLOOKUP($A11,VENTAS!$H$2:$O$201,3,FALSE),"")</f>
        <v>1</v>
      </c>
      <c r="O11" s="267">
        <f t="shared" si="3"/>
        <v>-1</v>
      </c>
      <c r="P11" s="270">
        <f>VLOOKUP($A11,INICIO!$A$5:$J$72,5,FALSE)</f>
        <v>0</v>
      </c>
      <c r="Q11" s="203">
        <f>IFERROR(P11-O11,"")</f>
        <v>1</v>
      </c>
      <c r="R11" s="242" t="str">
        <f>IFERROR(IF(Q11&gt;0,"",Q11*VLOOKUP($A11,'VALOR I.'!$B$6:$K$418,10,FALSE)),"")</f>
        <v/>
      </c>
      <c r="S11" s="276">
        <f>VLOOKUP($A11,INICIO!$A$5:$J$72,5,FALSE)</f>
        <v>0</v>
      </c>
      <c r="T11" s="232">
        <f>VLOOKUP($A11,REPOSICIONES!$A$5:$J$72,5,FALSE)</f>
        <v>0</v>
      </c>
      <c r="U11" s="79">
        <f t="shared" si="4"/>
        <v>0</v>
      </c>
      <c r="V11" s="230">
        <f>IFERROR(VLOOKUP($A11,VENTAS!$H$2:$O$201,4,FALSE),"")</f>
        <v>1</v>
      </c>
      <c r="W11" s="11">
        <f t="shared" si="5"/>
        <v>-1</v>
      </c>
      <c r="X11" s="270">
        <f>VLOOKUP($A11,INICIO!$A$5:$J$72,6,FALSE)</f>
        <v>0</v>
      </c>
      <c r="Y11" s="203">
        <f>IFERROR(X11-W11,"")</f>
        <v>1</v>
      </c>
      <c r="Z11" s="242" t="str">
        <f>IFERROR(IF(Y11&gt;0,"",Y11*VLOOKUP($A11,'VALOR I.'!$B$6:$K$418,10,FALSE)),"")</f>
        <v/>
      </c>
      <c r="AA11" s="276">
        <f>VLOOKUP($A11,INICIO!$A$5:$J$72,6,FALSE)</f>
        <v>0</v>
      </c>
      <c r="AB11" s="232">
        <f>VLOOKUP($A11,REPOSICIONES!$A$5:$J$72,6,FALSE)</f>
        <v>0</v>
      </c>
      <c r="AC11" s="79">
        <f t="shared" si="6"/>
        <v>0</v>
      </c>
      <c r="AD11" s="230">
        <f>IFERROR(VLOOKUP($A11,VENTAS!$H$2:$O$201,5,FALSE),"")</f>
        <v>1</v>
      </c>
      <c r="AE11" s="11">
        <f t="shared" si="7"/>
        <v>-1</v>
      </c>
      <c r="AF11" s="270">
        <f>VLOOKUP($A11,INICIO!$A$5:$J$72,7,FALSE)</f>
        <v>0</v>
      </c>
      <c r="AG11" s="203">
        <f>IFERROR(AF11-AE11,"")</f>
        <v>1</v>
      </c>
      <c r="AH11" s="242" t="str">
        <f>IFERROR(IF(AG11&gt;0,"",AG11*VLOOKUP($A11,'VALOR I.'!$B$6:$K$418,10,FALSE)),"")</f>
        <v/>
      </c>
      <c r="AI11" s="269">
        <f>VLOOKUP($A11,INICIO!$A$5:$J$72,7,FALSE)</f>
        <v>0</v>
      </c>
      <c r="AJ11" s="232">
        <f>VLOOKUP($A11,REPOSICIONES!$A$5:$J$72,7,FALSE)</f>
        <v>0</v>
      </c>
      <c r="AK11" s="79">
        <f t="shared" si="8"/>
        <v>0</v>
      </c>
      <c r="AL11" s="230">
        <f>IFERROR(VLOOKUP($A11,VENTAS!$H$2:$O$201,6,FALSE),"")</f>
        <v>9</v>
      </c>
      <c r="AM11" s="11">
        <f t="shared" si="9"/>
        <v>-9</v>
      </c>
      <c r="AN11" s="270">
        <f>VLOOKUP($A11,INICIO!$A$5:$J$72,8,FALSE)</f>
        <v>0</v>
      </c>
      <c r="AO11" s="203">
        <f>IFERROR(AN11-AM11,"")</f>
        <v>9</v>
      </c>
      <c r="AP11" s="204" t="str">
        <f>IFERROR(IF(AO11&gt;0,"",AO11*VLOOKUP($A11,'VALOR I.'!$B$6:$K$418,10,FALSE)),"")</f>
        <v/>
      </c>
      <c r="AQ11" s="269">
        <f>VLOOKUP($A11,INICIO!$A$5:$J$72,8,FALSE)</f>
        <v>0</v>
      </c>
      <c r="AR11" s="232">
        <f>VLOOKUP($A11,REPOSICIONES!$A$5:$J$72,8,FALSE)</f>
        <v>0</v>
      </c>
      <c r="AS11" s="79">
        <f t="shared" si="10"/>
        <v>0</v>
      </c>
      <c r="AT11" s="230">
        <f>IFERROR(VLOOKUP($A11,VENTAS!$H$2:$O$201,7,FALSE),"")</f>
        <v>2</v>
      </c>
      <c r="AU11" s="11">
        <f t="shared" si="11"/>
        <v>-2</v>
      </c>
      <c r="AV11" s="270">
        <f>VLOOKUP($A11,INICIO!$A$5:$J$72,9,FALSE)</f>
        <v>0</v>
      </c>
      <c r="AW11" s="203">
        <f>IFERROR(AV11-AU11,"")</f>
        <v>2</v>
      </c>
      <c r="AX11" s="204" t="str">
        <f>IFERROR(IF(AW11&gt;0,"",AW11*VLOOKUP($A11,'VALOR I.'!$B$6:$K$418,10,FALSE)),"")</f>
        <v/>
      </c>
      <c r="AY11" s="269"/>
      <c r="AZ11" s="232"/>
      <c r="BA11" s="79"/>
      <c r="BB11" s="230"/>
      <c r="BC11" s="11"/>
      <c r="BD11" s="270"/>
      <c r="BE11" s="203"/>
      <c r="BF11" s="204"/>
    </row>
    <row r="12" spans="1:58" x14ac:dyDescent="0.25">
      <c r="B12" s="213" t="s">
        <v>30</v>
      </c>
      <c r="C12" s="271"/>
      <c r="D12" s="55"/>
      <c r="E12" s="55"/>
      <c r="F12" s="55"/>
      <c r="G12" s="55"/>
      <c r="H12" s="55"/>
      <c r="I12" s="55"/>
      <c r="J12" s="272"/>
      <c r="K12" s="271"/>
      <c r="L12" s="55"/>
      <c r="M12" s="55"/>
      <c r="N12" s="55"/>
      <c r="O12" s="55"/>
      <c r="P12" s="55"/>
      <c r="Q12" s="55"/>
      <c r="R12" s="272"/>
      <c r="S12" s="271"/>
      <c r="T12" s="55"/>
      <c r="U12" s="55"/>
      <c r="V12" s="55"/>
      <c r="W12" s="55"/>
      <c r="X12" s="55"/>
      <c r="Y12" s="55"/>
      <c r="Z12" s="272"/>
      <c r="AA12" s="271"/>
      <c r="AB12" s="55"/>
      <c r="AC12" s="55"/>
      <c r="AD12" s="55"/>
      <c r="AE12" s="55"/>
      <c r="AF12" s="55"/>
      <c r="AG12" s="55"/>
      <c r="AH12" s="272"/>
      <c r="AI12" s="220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</row>
    <row r="13" spans="1:58" x14ac:dyDescent="0.25">
      <c r="A13" s="3" t="s">
        <v>75</v>
      </c>
      <c r="B13" s="214" t="s">
        <v>8</v>
      </c>
      <c r="C13" s="239">
        <f>VLOOKUP($A13,INICIO!$A$5:$J$72,3,FALSE)</f>
        <v>0</v>
      </c>
      <c r="D13" s="9">
        <f>VLOOKUP($A13,REPOSICIONES!$A$5:$J$72,3,FALSE)</f>
        <v>0</v>
      </c>
      <c r="E13" s="79">
        <f t="shared" si="0"/>
        <v>0</v>
      </c>
      <c r="F13" s="80">
        <f>IFERROR(VLOOKUP($A13,VENTAS!$H$2:$O$201,2,FALSE),"")</f>
        <v>0</v>
      </c>
      <c r="G13" s="9">
        <f t="shared" si="1"/>
        <v>0</v>
      </c>
      <c r="H13" s="9">
        <f>VLOOKUP($A13,INICIO!$A$5:$J$72,4,FALSE)</f>
        <v>46</v>
      </c>
      <c r="I13" s="203">
        <f t="shared" ref="I13:I20" si="12">IFERROR(H13-G13,"")</f>
        <v>46</v>
      </c>
      <c r="J13" s="242" t="str">
        <f>IFERROR(IF(I13&gt;0,"",I13*VLOOKUP($A13,'VALOR I.'!$B$6:$K$418,10,FALSE)),"")</f>
        <v/>
      </c>
      <c r="K13" s="276">
        <f>VLOOKUP($A13,INICIO!$A$5:$J$72,4,FALSE)</f>
        <v>46</v>
      </c>
      <c r="L13" s="232">
        <f>VLOOKUP($A13,REPOSICIONES!$A$5:$J$72,4,FALSE)</f>
        <v>21</v>
      </c>
      <c r="M13" s="79">
        <f t="shared" si="2"/>
        <v>67</v>
      </c>
      <c r="N13" s="230">
        <f>IFERROR(VLOOKUP($A13,VENTAS!$H$2:$O$201,3,FALSE),"")</f>
        <v>3</v>
      </c>
      <c r="O13" s="267">
        <f t="shared" si="3"/>
        <v>64</v>
      </c>
      <c r="P13" s="270">
        <f>VLOOKUP($A13,INICIO!$A$5:$J$72,5,FALSE)</f>
        <v>47</v>
      </c>
      <c r="Q13" s="203">
        <f t="shared" ref="Q13:Q15" si="13">IFERROR(P13-O13,"")</f>
        <v>-17</v>
      </c>
      <c r="R13" s="242">
        <f>IFERROR(IF(Q13&gt;0,"",Q13*VLOOKUP($A13,'VALOR I.'!$B$6:$K$418,10,FALSE)),"")</f>
        <v>-20250.23</v>
      </c>
      <c r="S13" s="276">
        <f>VLOOKUP($A13,INICIO!$A$5:$J$72,5,FALSE)</f>
        <v>47</v>
      </c>
      <c r="T13" s="232">
        <f>VLOOKUP($A13,REPOSICIONES!$A$5:$J$72,5,FALSE)</f>
        <v>10</v>
      </c>
      <c r="U13" s="79">
        <f t="shared" si="4"/>
        <v>57</v>
      </c>
      <c r="V13" s="230">
        <f>IFERROR(VLOOKUP($A13,VENTAS!$H$2:$O$201,4,FALSE),"")</f>
        <v>0</v>
      </c>
      <c r="W13" s="11">
        <f t="shared" si="5"/>
        <v>57</v>
      </c>
      <c r="X13" s="270">
        <f>VLOOKUP($A13,INICIO!$A$5:$J$72,6,FALSE)</f>
        <v>49</v>
      </c>
      <c r="Y13" s="203">
        <f t="shared" ref="Y13:Y15" si="14">IFERROR(X13-W13,"")</f>
        <v>-8</v>
      </c>
      <c r="Z13" s="242">
        <f>IFERROR(IF(Y13&gt;0,"",Y13*VLOOKUP($A13,'VALOR I.'!$B$6:$K$418,10,FALSE)),"")</f>
        <v>-9529.52</v>
      </c>
      <c r="AA13" s="276">
        <f>VLOOKUP($A13,INICIO!$A$5:$J$72,6,FALSE)</f>
        <v>49</v>
      </c>
      <c r="AB13" s="232">
        <f>VLOOKUP($A13,REPOSICIONES!$A$5:$J$72,6,FALSE)</f>
        <v>8</v>
      </c>
      <c r="AC13" s="79">
        <f t="shared" si="6"/>
        <v>57</v>
      </c>
      <c r="AD13" s="230">
        <f>IFERROR(VLOOKUP($A13,VENTAS!$H$2:$O$201,5,FALSE),"")</f>
        <v>56</v>
      </c>
      <c r="AE13" s="11">
        <f t="shared" si="7"/>
        <v>1</v>
      </c>
      <c r="AF13" s="270">
        <f>VLOOKUP($A13,INICIO!$A$5:$J$72,7,FALSE)</f>
        <v>13</v>
      </c>
      <c r="AG13" s="203">
        <f t="shared" ref="AG13:AG15" si="15">IFERROR(AF13-AE13,"")</f>
        <v>12</v>
      </c>
      <c r="AH13" s="242" t="str">
        <f>IFERROR(IF(AG13&gt;0,"",AG13*VLOOKUP($A13,'VALOR I.'!$B$6:$K$418,10,FALSE)),"")</f>
        <v/>
      </c>
      <c r="AI13" s="269">
        <f>VLOOKUP($A13,INICIO!$A$5:$J$72,7,FALSE)</f>
        <v>13</v>
      </c>
      <c r="AJ13" s="232">
        <f>VLOOKUP($A13,REPOSICIONES!$A$5:$J$72,7,FALSE)</f>
        <v>18</v>
      </c>
      <c r="AK13" s="79">
        <f t="shared" si="8"/>
        <v>31</v>
      </c>
      <c r="AL13" s="230">
        <f>IFERROR(VLOOKUP($A13,VENTAS!$H$2:$O$201,6,FALSE),"")</f>
        <v>67</v>
      </c>
      <c r="AM13" s="11">
        <f t="shared" si="9"/>
        <v>-36</v>
      </c>
      <c r="AN13" s="270">
        <f>VLOOKUP($A13,INICIO!$A$5:$J$72,8,FALSE)</f>
        <v>45</v>
      </c>
      <c r="AO13" s="203">
        <f t="shared" ref="AO13:AO15" si="16">IFERROR(AN13-AM13,"")</f>
        <v>81</v>
      </c>
      <c r="AP13" s="204" t="str">
        <f>IFERROR(IF(AO13&gt;0,"",AO13*VLOOKUP($A13,'VALOR I.'!$B$6:$K$418,10,FALSE)),"")</f>
        <v/>
      </c>
      <c r="AQ13" s="269">
        <f>VLOOKUP($A13,INICIO!$A$5:$J$72,8,FALSE)</f>
        <v>45</v>
      </c>
      <c r="AR13" s="232">
        <f>VLOOKUP($A13,REPOSICIONES!$A$5:$J$72,8,FALSE)</f>
        <v>15</v>
      </c>
      <c r="AS13" s="79">
        <f t="shared" si="10"/>
        <v>60</v>
      </c>
      <c r="AT13" s="230">
        <f>IFERROR(VLOOKUP($A13,VENTAS!$H$2:$O$201,7,FALSE),"")</f>
        <v>12</v>
      </c>
      <c r="AU13" s="11">
        <f t="shared" si="11"/>
        <v>48</v>
      </c>
      <c r="AV13" s="270">
        <f>VLOOKUP($A13,INICIO!$A$5:$J$72,9,FALSE)</f>
        <v>36</v>
      </c>
      <c r="AW13" s="203">
        <f t="shared" ref="AW13:AW15" si="17">IFERROR(AV13-AU13,"")</f>
        <v>-12</v>
      </c>
      <c r="AX13" s="204">
        <f>IFERROR(IF(AW13&gt;0,"",AW13*VLOOKUP($A13,'VALOR I.'!$B$6:$K$418,10,FALSE)),"")</f>
        <v>-14294.28</v>
      </c>
      <c r="AY13" s="269"/>
      <c r="AZ13" s="232"/>
      <c r="BA13" s="79"/>
      <c r="BB13" s="230"/>
      <c r="BC13" s="11"/>
      <c r="BD13" s="270"/>
      <c r="BE13" s="203"/>
      <c r="BF13" s="204"/>
    </row>
    <row r="14" spans="1:58" x14ac:dyDescent="0.25">
      <c r="A14" s="3" t="s">
        <v>76</v>
      </c>
      <c r="B14" s="214" t="s">
        <v>44</v>
      </c>
      <c r="C14" s="239">
        <f>VLOOKUP($A14,INICIO!$A$5:$J$72,3,FALSE)</f>
        <v>0</v>
      </c>
      <c r="D14" s="9">
        <f>VLOOKUP($A14,REPOSICIONES!$A$5:$J$72,3,FALSE)</f>
        <v>0</v>
      </c>
      <c r="E14" s="79">
        <f t="shared" si="0"/>
        <v>0</v>
      </c>
      <c r="F14" s="80">
        <f>IFERROR(VLOOKUP($A14,VENTAS!$H$2:$O$201,2,FALSE),"")</f>
        <v>0</v>
      </c>
      <c r="G14" s="9">
        <f t="shared" si="1"/>
        <v>0</v>
      </c>
      <c r="H14" s="9">
        <f>VLOOKUP($A14,INICIO!$A$5:$J$72,4,FALSE)</f>
        <v>4</v>
      </c>
      <c r="I14" s="203">
        <f t="shared" si="12"/>
        <v>4</v>
      </c>
      <c r="J14" s="242" t="str">
        <f>IFERROR(IF(I14&gt;0,"",I14*VLOOKUP($A14,'VALOR I.'!$B$6:$K$418,10,FALSE)),"")</f>
        <v/>
      </c>
      <c r="K14" s="276">
        <f>VLOOKUP($A14,INICIO!$A$5:$J$72,4,FALSE)</f>
        <v>4</v>
      </c>
      <c r="L14" s="232">
        <f>VLOOKUP($A14,REPOSICIONES!$A$5:$J$72,4,FALSE)</f>
        <v>0</v>
      </c>
      <c r="M14" s="79">
        <f t="shared" si="2"/>
        <v>4</v>
      </c>
      <c r="N14" s="230">
        <f>IFERROR(VLOOKUP($A14,VENTAS!$H$2:$O$201,3,FALSE),"")</f>
        <v>4</v>
      </c>
      <c r="O14" s="267">
        <f t="shared" si="3"/>
        <v>0</v>
      </c>
      <c r="P14" s="270">
        <f>VLOOKUP($A14,INICIO!$A$5:$J$72,5,FALSE)</f>
        <v>1</v>
      </c>
      <c r="Q14" s="203">
        <f t="shared" si="13"/>
        <v>1</v>
      </c>
      <c r="R14" s="242" t="str">
        <f>IFERROR(IF(Q14&gt;0,"",Q14*VLOOKUP($A14,'VALOR I.'!$B$6:$K$418,10,FALSE)),"")</f>
        <v/>
      </c>
      <c r="S14" s="276">
        <f>VLOOKUP($A14,INICIO!$A$5:$J$72,5,FALSE)</f>
        <v>1</v>
      </c>
      <c r="T14" s="232">
        <f>VLOOKUP($A14,REPOSICIONES!$A$5:$J$72,5,FALSE)</f>
        <v>4</v>
      </c>
      <c r="U14" s="79">
        <f t="shared" si="4"/>
        <v>5</v>
      </c>
      <c r="V14" s="230">
        <f>IFERROR(VLOOKUP($A14,VENTAS!$H$2:$O$201,4,FALSE),"")</f>
        <v>2</v>
      </c>
      <c r="W14" s="11">
        <f t="shared" si="5"/>
        <v>3</v>
      </c>
      <c r="X14" s="270">
        <f>VLOOKUP($A14,INICIO!$A$5:$J$72,6,FALSE)</f>
        <v>2</v>
      </c>
      <c r="Y14" s="203">
        <f t="shared" si="14"/>
        <v>-1</v>
      </c>
      <c r="Z14" s="242">
        <f>IFERROR(IF(Y14&gt;0,"",Y14*VLOOKUP($A14,'VALOR I.'!$B$6:$K$418,10,FALSE)),"")</f>
        <v>-1782.62</v>
      </c>
      <c r="AA14" s="276">
        <f>VLOOKUP($A14,INICIO!$A$5:$J$72,6,FALSE)</f>
        <v>2</v>
      </c>
      <c r="AB14" s="232">
        <f>VLOOKUP($A14,REPOSICIONES!$A$5:$J$72,6,FALSE)</f>
        <v>3</v>
      </c>
      <c r="AC14" s="79">
        <f t="shared" si="6"/>
        <v>5</v>
      </c>
      <c r="AD14" s="230">
        <f>IFERROR(VLOOKUP($A14,VENTAS!$H$2:$O$201,5,FALSE),"")</f>
        <v>1</v>
      </c>
      <c r="AE14" s="11">
        <f t="shared" si="7"/>
        <v>4</v>
      </c>
      <c r="AF14" s="270">
        <f>VLOOKUP($A14,INICIO!$A$5:$J$72,7,FALSE)</f>
        <v>2</v>
      </c>
      <c r="AG14" s="203">
        <f t="shared" si="15"/>
        <v>-2</v>
      </c>
      <c r="AH14" s="242">
        <f>IFERROR(IF(AG14&gt;0,"",AG14*VLOOKUP($A14,'VALOR I.'!$B$6:$K$418,10,FALSE)),"")</f>
        <v>-3565.24</v>
      </c>
      <c r="AI14" s="269">
        <f>VLOOKUP($A14,INICIO!$A$5:$J$72,7,FALSE)</f>
        <v>2</v>
      </c>
      <c r="AJ14" s="232">
        <f>VLOOKUP($A14,REPOSICIONES!$A$5:$J$72,7,FALSE)</f>
        <v>3</v>
      </c>
      <c r="AK14" s="79">
        <f t="shared" si="8"/>
        <v>5</v>
      </c>
      <c r="AL14" s="230">
        <f>IFERROR(VLOOKUP($A14,VENTAS!$H$2:$O$201,6,FALSE),"")</f>
        <v>2</v>
      </c>
      <c r="AM14" s="11">
        <f t="shared" si="9"/>
        <v>3</v>
      </c>
      <c r="AN14" s="270">
        <f>VLOOKUP($A14,INICIO!$A$5:$J$72,8,FALSE)</f>
        <v>4</v>
      </c>
      <c r="AO14" s="203">
        <f t="shared" si="16"/>
        <v>1</v>
      </c>
      <c r="AP14" s="204" t="str">
        <f>IFERROR(IF(AO14&gt;0,"",AO14*VLOOKUP($A14,'VALOR I.'!$B$6:$K$418,10,FALSE)),"")</f>
        <v/>
      </c>
      <c r="AQ14" s="269">
        <f>VLOOKUP($A14,INICIO!$A$5:$J$72,8,FALSE)</f>
        <v>4</v>
      </c>
      <c r="AR14" s="232">
        <f>VLOOKUP($A14,REPOSICIONES!$A$5:$J$72,8,FALSE)</f>
        <v>1</v>
      </c>
      <c r="AS14" s="79">
        <f t="shared" si="10"/>
        <v>5</v>
      </c>
      <c r="AT14" s="230">
        <f>IFERROR(VLOOKUP($A14,VENTAS!$H$2:$O$201,7,FALSE),"")</f>
        <v>2</v>
      </c>
      <c r="AU14" s="11">
        <f t="shared" si="11"/>
        <v>3</v>
      </c>
      <c r="AV14" s="270">
        <f>VLOOKUP($A14,INICIO!$A$5:$J$72,9,FALSE)</f>
        <v>2</v>
      </c>
      <c r="AW14" s="203">
        <f t="shared" si="17"/>
        <v>-1</v>
      </c>
      <c r="AX14" s="204">
        <f>IFERROR(IF(AW14&gt;0,"",AW14*VLOOKUP($A14,'VALOR I.'!$B$6:$K$418,10,FALSE)),"")</f>
        <v>-1782.62</v>
      </c>
      <c r="AY14" s="269"/>
      <c r="AZ14" s="232"/>
      <c r="BA14" s="79"/>
      <c r="BB14" s="230"/>
      <c r="BC14" s="11"/>
      <c r="BD14" s="270"/>
      <c r="BE14" s="203"/>
      <c r="BF14" s="204"/>
    </row>
    <row r="15" spans="1:58" x14ac:dyDescent="0.25">
      <c r="A15" s="66" t="s">
        <v>77</v>
      </c>
      <c r="B15" s="212" t="s">
        <v>7</v>
      </c>
      <c r="C15" s="239">
        <f>VLOOKUP($A15,INICIO!$A$5:$J$72,3,FALSE)</f>
        <v>0</v>
      </c>
      <c r="D15" s="9">
        <f>VLOOKUP($A15,REPOSICIONES!$A$5:$J$72,3,FALSE)</f>
        <v>0</v>
      </c>
      <c r="E15" s="79">
        <f t="shared" si="0"/>
        <v>0</v>
      </c>
      <c r="F15" s="80">
        <f>IFERROR(VLOOKUP($A15,VENTAS!$H$2:$O$201,2,FALSE),"")</f>
        <v>0</v>
      </c>
      <c r="G15" s="9">
        <f t="shared" si="1"/>
        <v>0</v>
      </c>
      <c r="H15" s="9">
        <f>VLOOKUP($A15,INICIO!$A$5:$J$72,4,FALSE)</f>
        <v>10</v>
      </c>
      <c r="I15" s="203">
        <f t="shared" si="12"/>
        <v>10</v>
      </c>
      <c r="J15" s="242" t="str">
        <f>IFERROR(IF(I15&gt;0,"",I15*VLOOKUP($A15,'VALOR I.'!$B$6:$K$418,10,FALSE)),"")</f>
        <v/>
      </c>
      <c r="K15" s="276">
        <f>VLOOKUP($A15,INICIO!$A$5:$J$72,4,FALSE)</f>
        <v>10</v>
      </c>
      <c r="L15" s="232">
        <f>VLOOKUP($A15,REPOSICIONES!$A$5:$J$72,4,FALSE)</f>
        <v>4</v>
      </c>
      <c r="M15" s="79">
        <f t="shared" si="2"/>
        <v>14</v>
      </c>
      <c r="N15" s="230">
        <f>IFERROR(VLOOKUP($A15,VENTAS!$H$2:$O$201,3,FALSE),"")</f>
        <v>0</v>
      </c>
      <c r="O15" s="267">
        <f t="shared" si="3"/>
        <v>14</v>
      </c>
      <c r="P15" s="270">
        <f>VLOOKUP($A15,INICIO!$A$5:$J$72,5,FALSE)</f>
        <v>1</v>
      </c>
      <c r="Q15" s="203">
        <f t="shared" si="13"/>
        <v>-13</v>
      </c>
      <c r="R15" s="242">
        <f>IFERROR(IF(Q15&gt;0,"",Q15*VLOOKUP($A15,'VALOR I.'!$B$6:$K$418,10,FALSE)),"")</f>
        <v>-18517.59</v>
      </c>
      <c r="S15" s="276">
        <f>VLOOKUP($A15,INICIO!$A$5:$J$72,5,FALSE)</f>
        <v>1</v>
      </c>
      <c r="T15" s="232">
        <f>VLOOKUP($A15,REPOSICIONES!$A$5:$J$72,5,FALSE)</f>
        <v>0</v>
      </c>
      <c r="U15" s="79">
        <f t="shared" si="4"/>
        <v>1</v>
      </c>
      <c r="V15" s="230">
        <f>IFERROR(VLOOKUP($A15,VENTAS!$H$2:$O$201,4,FALSE),"")</f>
        <v>0</v>
      </c>
      <c r="W15" s="11">
        <f t="shared" si="5"/>
        <v>1</v>
      </c>
      <c r="X15" s="270">
        <f>VLOOKUP($A15,INICIO!$A$5:$J$72,6,FALSE)</f>
        <v>1</v>
      </c>
      <c r="Y15" s="203">
        <f t="shared" si="14"/>
        <v>0</v>
      </c>
      <c r="Z15" s="242">
        <f>IFERROR(IF(Y15&gt;0,"",Y15*VLOOKUP($A15,'VALOR I.'!$B$6:$K$418,10,FALSE)),"")</f>
        <v>0</v>
      </c>
      <c r="AA15" s="276">
        <f>VLOOKUP($A15,INICIO!$A$5:$J$72,6,FALSE)</f>
        <v>1</v>
      </c>
      <c r="AB15" s="232">
        <f>VLOOKUP($A15,REPOSICIONES!$A$5:$J$72,6,FALSE)</f>
        <v>20</v>
      </c>
      <c r="AC15" s="79">
        <f t="shared" si="6"/>
        <v>21</v>
      </c>
      <c r="AD15" s="230">
        <f>IFERROR(VLOOKUP($A15,VENTAS!$H$2:$O$201,5,FALSE),"")</f>
        <v>2</v>
      </c>
      <c r="AE15" s="11">
        <f t="shared" si="7"/>
        <v>19</v>
      </c>
      <c r="AF15" s="270">
        <f>VLOOKUP($A15,INICIO!$A$5:$J$72,7,FALSE)</f>
        <v>19</v>
      </c>
      <c r="AG15" s="203">
        <f t="shared" si="15"/>
        <v>0</v>
      </c>
      <c r="AH15" s="242">
        <f>IFERROR(IF(AG15&gt;0,"",AG15*VLOOKUP($A15,'VALOR I.'!$B$6:$K$418,10,FALSE)),"")</f>
        <v>0</v>
      </c>
      <c r="AI15" s="269">
        <f>VLOOKUP($A15,INICIO!$A$5:$J$72,7,FALSE)</f>
        <v>19</v>
      </c>
      <c r="AJ15" s="232">
        <f>VLOOKUP($A15,REPOSICIONES!$A$5:$J$72,7,FALSE)</f>
        <v>6</v>
      </c>
      <c r="AK15" s="79">
        <f t="shared" si="8"/>
        <v>25</v>
      </c>
      <c r="AL15" s="230">
        <f>IFERROR(VLOOKUP($A15,VENTAS!$H$2:$O$201,6,FALSE),"")</f>
        <v>14</v>
      </c>
      <c r="AM15" s="11">
        <f t="shared" si="9"/>
        <v>11</v>
      </c>
      <c r="AN15" s="270">
        <f>VLOOKUP($A15,INICIO!$A$5:$J$72,8,FALSE)</f>
        <v>15</v>
      </c>
      <c r="AO15" s="203">
        <f t="shared" si="16"/>
        <v>4</v>
      </c>
      <c r="AP15" s="204" t="str">
        <f>IFERROR(IF(AO15&gt;0,"",AO15*VLOOKUP($A15,'VALOR I.'!$B$6:$K$418,10,FALSE)),"")</f>
        <v/>
      </c>
      <c r="AQ15" s="269">
        <f>VLOOKUP($A15,INICIO!$A$5:$J$72,8,FALSE)</f>
        <v>15</v>
      </c>
      <c r="AR15" s="232">
        <f>VLOOKUP($A15,REPOSICIONES!$A$5:$J$72,8,FALSE)</f>
        <v>10</v>
      </c>
      <c r="AS15" s="79">
        <f t="shared" si="10"/>
        <v>25</v>
      </c>
      <c r="AT15" s="230">
        <f>IFERROR(VLOOKUP($A15,VENTAS!$H$2:$O$201,7,FALSE),"")</f>
        <v>0</v>
      </c>
      <c r="AU15" s="11">
        <f t="shared" si="11"/>
        <v>25</v>
      </c>
      <c r="AV15" s="270">
        <f>VLOOKUP($A15,INICIO!$A$5:$J$72,9,FALSE)</f>
        <v>25</v>
      </c>
      <c r="AW15" s="203">
        <f t="shared" si="17"/>
        <v>0</v>
      </c>
      <c r="AX15" s="204">
        <f>IFERROR(IF(AW15&gt;0,"",AW15*VLOOKUP($A15,'VALOR I.'!$B$6:$K$418,10,FALSE)),"")</f>
        <v>0</v>
      </c>
      <c r="AY15" s="269"/>
      <c r="AZ15" s="232"/>
      <c r="BA15" s="79"/>
      <c r="BB15" s="230"/>
      <c r="BC15" s="11"/>
      <c r="BD15" s="270"/>
      <c r="BE15" s="203"/>
      <c r="BF15" s="204"/>
    </row>
    <row r="16" spans="1:58" ht="15.75" hidden="1" customHeight="1" x14ac:dyDescent="0.25">
      <c r="A16" s="67"/>
      <c r="B16" s="212"/>
      <c r="C16" s="239" t="e">
        <f>VLOOKUP($A16,INICIO!$A$5:$J$72,3,FALSE)</f>
        <v>#N/A</v>
      </c>
      <c r="D16" s="9" t="e">
        <f>VLOOKUP($A16,REPOSICIONES!$A$5:$J$72,3,FALSE)</f>
        <v>#N/A</v>
      </c>
      <c r="E16" s="79" t="e">
        <f t="shared" si="0"/>
        <v>#N/A</v>
      </c>
      <c r="F16" s="80" t="str">
        <f>IFERROR(VLOOKUP($A16,VENTAS!$H$2:$O$201,2,FALSE),"")</f>
        <v/>
      </c>
      <c r="G16" s="9" t="str">
        <f t="shared" si="1"/>
        <v/>
      </c>
      <c r="H16" s="9" t="e">
        <f>VLOOKUP($A16,INICIO!$A$5:$J$72,4,FALSE)</f>
        <v>#N/A</v>
      </c>
      <c r="I16" s="227"/>
      <c r="J16" s="289" t="str">
        <f>IFERROR(IF(I16&gt;0,"",I16*VLOOKUP($A16,'VALOR I.'!$B$6:$K$418,10,FALSE)),"")</f>
        <v/>
      </c>
      <c r="K16" s="276" t="e">
        <f>VLOOKUP($A16,INICIO!$A$5:$J$72,4,FALSE)</f>
        <v>#N/A</v>
      </c>
      <c r="L16" s="232" t="e">
        <f>VLOOKUP($A16,REPOSICIONES!$A$5:$J$72,4,FALSE)</f>
        <v>#N/A</v>
      </c>
      <c r="M16" s="79" t="e">
        <f t="shared" si="2"/>
        <v>#N/A</v>
      </c>
      <c r="N16" s="230" t="str">
        <f>IFERROR(VLOOKUP($A16,VENTAS!$H$2:$O$201,3,FALSE),"")</f>
        <v/>
      </c>
      <c r="O16" s="267" t="str">
        <f t="shared" si="3"/>
        <v/>
      </c>
      <c r="P16" s="270" t="e">
        <f>VLOOKUP($A16,INICIO!$A$5:$J$72,5,FALSE)</f>
        <v>#N/A</v>
      </c>
      <c r="Q16" s="11"/>
      <c r="R16" s="242" t="str">
        <f>IFERROR(IF(Q16&gt;0,"",Q16*VLOOKUP($A16,'VALOR I.'!$B$6:$K$418,10,FALSE)),"")</f>
        <v/>
      </c>
      <c r="S16" s="276" t="e">
        <f>VLOOKUP($A16,INICIO!$A$5:$J$72,5,FALSE)</f>
        <v>#N/A</v>
      </c>
      <c r="T16" s="232" t="e">
        <f>VLOOKUP($A16,REPOSICIONES!$A$5:$J$72,5,FALSE)</f>
        <v>#N/A</v>
      </c>
      <c r="U16" s="79" t="e">
        <f t="shared" si="4"/>
        <v>#N/A</v>
      </c>
      <c r="V16" s="230" t="str">
        <f>IFERROR(VLOOKUP($A16,VENTAS!$H$2:$O$201,4,FALSE),"")</f>
        <v/>
      </c>
      <c r="W16" s="11" t="str">
        <f t="shared" si="5"/>
        <v/>
      </c>
      <c r="X16" s="270" t="e">
        <f>VLOOKUP($A16,INICIO!$A$5:$J$72,6,FALSE)</f>
        <v>#N/A</v>
      </c>
      <c r="Y16" s="11"/>
      <c r="Z16" s="242" t="str">
        <f>IFERROR(IF(Y16&gt;0,"",Y16*VLOOKUP($A16,'VALOR I.'!$B$6:$K$418,10,FALSE)),"")</f>
        <v/>
      </c>
      <c r="AA16" s="276" t="e">
        <f>VLOOKUP($A16,INICIO!$A$5:$J$72,6,FALSE)</f>
        <v>#N/A</v>
      </c>
      <c r="AB16" s="232" t="e">
        <f>VLOOKUP($A16,REPOSICIONES!$A$5:$J$72,6,FALSE)</f>
        <v>#N/A</v>
      </c>
      <c r="AC16" s="79" t="e">
        <f t="shared" si="6"/>
        <v>#N/A</v>
      </c>
      <c r="AD16" s="230" t="str">
        <f>IFERROR(VLOOKUP($A16,VENTAS!$H$2:$O$201,5,FALSE),"")</f>
        <v/>
      </c>
      <c r="AE16" s="11" t="str">
        <f t="shared" si="7"/>
        <v/>
      </c>
      <c r="AF16" s="270" t="e">
        <f>VLOOKUP($A16,INICIO!$A$5:$J$72,7,FALSE)</f>
        <v>#N/A</v>
      </c>
      <c r="AG16" s="11"/>
      <c r="AH16" s="242" t="str">
        <f>IFERROR(IF(AG16&gt;0,"",AG16*VLOOKUP($A16,'VALOR I.'!$B$6:$K$418,10,FALSE)),"")</f>
        <v/>
      </c>
      <c r="AI16" s="269" t="e">
        <f>VLOOKUP($A16,INICIO!$A$5:$J$72,7,FALSE)</f>
        <v>#N/A</v>
      </c>
      <c r="AJ16" s="232" t="e">
        <f>VLOOKUP($A16,REPOSICIONES!$A$5:$J$72,7,FALSE)</f>
        <v>#N/A</v>
      </c>
      <c r="AK16" s="79" t="e">
        <f t="shared" si="8"/>
        <v>#N/A</v>
      </c>
      <c r="AL16" s="230" t="str">
        <f>IFERROR(VLOOKUP($A16,VENTAS!$H$2:$O$201,6,FALSE),"")</f>
        <v/>
      </c>
      <c r="AM16" s="11" t="str">
        <f t="shared" si="9"/>
        <v/>
      </c>
      <c r="AN16" s="270" t="e">
        <f>VLOOKUP($A16,INICIO!$A$5:$J$72,8,FALSE)</f>
        <v>#N/A</v>
      </c>
      <c r="AO16" s="11"/>
      <c r="AP16" s="204" t="str">
        <f>IFERROR(IF(AO16&gt;0,"",AO16*VLOOKUP($A16,'VALOR I.'!$B$6:$K$418,10,FALSE)),"")</f>
        <v/>
      </c>
      <c r="AQ16" s="269" t="e">
        <f>VLOOKUP($A16,INICIO!$A$5:$J$72,8,FALSE)</f>
        <v>#N/A</v>
      </c>
      <c r="AR16" s="232" t="e">
        <f>VLOOKUP($A16,REPOSICIONES!$A$5:$J$72,8,FALSE)</f>
        <v>#N/A</v>
      </c>
      <c r="AS16" s="79" t="e">
        <f t="shared" si="10"/>
        <v>#N/A</v>
      </c>
      <c r="AT16" s="230" t="str">
        <f>IFERROR(VLOOKUP($A16,VENTAS!$H$2:$O$201,7,FALSE),"")</f>
        <v/>
      </c>
      <c r="AU16" s="11" t="str">
        <f t="shared" si="11"/>
        <v/>
      </c>
      <c r="AV16" s="270" t="e">
        <f>VLOOKUP($A16,INICIO!$A$5:$J$72,9,FALSE)</f>
        <v>#N/A</v>
      </c>
      <c r="AW16" s="11"/>
      <c r="AX16" s="204" t="str">
        <f>IFERROR(IF(AW16&gt;0,"",AW16*VLOOKUP($A16,'VALOR I.'!$B$6:$K$418,10,FALSE)),"")</f>
        <v/>
      </c>
      <c r="AY16" s="269" t="e">
        <f>VLOOKUP($A16,INICIO!$A$5:$J$72,9,FALSE)</f>
        <v>#N/A</v>
      </c>
      <c r="AZ16" s="232" t="e">
        <f>VLOOKUP($A16,REPOSICIONES!$A$5:$J$72,9,FALSE)</f>
        <v>#N/A</v>
      </c>
      <c r="BA16" s="79" t="e">
        <f t="shared" ref="BA16:BA73" si="18">AY16+AZ16</f>
        <v>#N/A</v>
      </c>
      <c r="BB16" s="230" t="str">
        <f>IFERROR(VLOOKUP($A16,VENTAS!$H$2:$O$201,8,FALSE),"")</f>
        <v/>
      </c>
      <c r="BC16" s="11" t="str">
        <f t="shared" ref="BC16:BC73" si="19">IFERROR((BA16-BB16),"")</f>
        <v/>
      </c>
      <c r="BD16" s="270" t="e">
        <f>VLOOKUP($A16,INICIO!$A$5:$J$72,10,FALSE)</f>
        <v>#N/A</v>
      </c>
      <c r="BE16" s="11"/>
      <c r="BF16" s="204" t="str">
        <f>IFERROR(IF(BE16&gt;0,"",BE16*VLOOKUP($A16,'VALOR I.'!$B$6:$K$418,10,FALSE)),"")</f>
        <v/>
      </c>
    </row>
    <row r="17" spans="1:58" s="5" customFormat="1" x14ac:dyDescent="0.25">
      <c r="A17" s="68" t="s">
        <v>79</v>
      </c>
      <c r="B17" s="215" t="s">
        <v>10</v>
      </c>
      <c r="C17" s="239">
        <f>VLOOKUP($A17,INICIO!$A$5:$J$72,3,FALSE)</f>
        <v>0</v>
      </c>
      <c r="D17" s="9">
        <f>VLOOKUP($A17,REPOSICIONES!$A$5:$J$72,3,FALSE)</f>
        <v>0</v>
      </c>
      <c r="E17" s="79">
        <f t="shared" si="0"/>
        <v>0</v>
      </c>
      <c r="F17" s="80">
        <f>IFERROR(VLOOKUP($A17,VENTAS!$H$2:$O$201,2,FALSE),"")</f>
        <v>0</v>
      </c>
      <c r="G17" s="9">
        <f t="shared" si="1"/>
        <v>0</v>
      </c>
      <c r="H17" s="9">
        <f>VLOOKUP($A17,INICIO!$A$5:$J$72,4,FALSE)</f>
        <v>14</v>
      </c>
      <c r="I17" s="203">
        <f t="shared" si="12"/>
        <v>14</v>
      </c>
      <c r="J17" s="242" t="str">
        <f>IFERROR(IF(I17&gt;0,"",I17*VLOOKUP($A17,'VALOR I.'!$B$6:$K$418,10,FALSE)),"")</f>
        <v/>
      </c>
      <c r="K17" s="276">
        <f>VLOOKUP($A17,INICIO!$A$5:$J$72,4,FALSE)</f>
        <v>14</v>
      </c>
      <c r="L17" s="232">
        <f>VLOOKUP($A17,REPOSICIONES!$A$5:$J$72,4,FALSE)</f>
        <v>0</v>
      </c>
      <c r="M17" s="79">
        <f t="shared" si="2"/>
        <v>14</v>
      </c>
      <c r="N17" s="230">
        <f>IFERROR(VLOOKUP($A17,VENTAS!$H$2:$O$201,3,FALSE),"")</f>
        <v>1</v>
      </c>
      <c r="O17" s="267">
        <f t="shared" si="3"/>
        <v>13</v>
      </c>
      <c r="P17" s="270">
        <f>VLOOKUP($A17,INICIO!$A$5:$J$72,5,FALSE)</f>
        <v>17</v>
      </c>
      <c r="Q17" s="203">
        <f t="shared" ref="Q17" si="20">IFERROR(P17-O17,"")</f>
        <v>4</v>
      </c>
      <c r="R17" s="242" t="str">
        <f>IFERROR(IF(Q17&gt;0,"",Q17*VLOOKUP($A17,'VALOR I.'!$B$6:$K$418,10,FALSE)),"")</f>
        <v/>
      </c>
      <c r="S17" s="276">
        <f>VLOOKUP($A17,INICIO!$A$5:$J$72,5,FALSE)</f>
        <v>17</v>
      </c>
      <c r="T17" s="232">
        <f>VLOOKUP($A17,REPOSICIONES!$A$5:$J$72,5,FALSE)</f>
        <v>0</v>
      </c>
      <c r="U17" s="79">
        <f t="shared" si="4"/>
        <v>17</v>
      </c>
      <c r="V17" s="230">
        <f>IFERROR(VLOOKUP($A17,VENTAS!$H$2:$O$201,4,FALSE),"")</f>
        <v>2</v>
      </c>
      <c r="W17" s="10">
        <f t="shared" si="5"/>
        <v>15</v>
      </c>
      <c r="X17" s="270">
        <f>VLOOKUP($A17,INICIO!$A$5:$J$72,6,FALSE)</f>
        <v>15</v>
      </c>
      <c r="Y17" s="203">
        <f t="shared" ref="Y17" si="21">IFERROR(X17-W17,"")</f>
        <v>0</v>
      </c>
      <c r="Z17" s="242">
        <f>IFERROR(IF(Y17&gt;0,"",Y17*VLOOKUP($A17,'VALOR I.'!$B$6:$K$418,10,FALSE)),"")</f>
        <v>0</v>
      </c>
      <c r="AA17" s="276">
        <f>VLOOKUP($A17,INICIO!$A$5:$J$72,6,FALSE)</f>
        <v>15</v>
      </c>
      <c r="AB17" s="232">
        <f>VLOOKUP($A17,REPOSICIONES!$A$5:$J$72,6,FALSE)</f>
        <v>0</v>
      </c>
      <c r="AC17" s="79">
        <f t="shared" si="6"/>
        <v>15</v>
      </c>
      <c r="AD17" s="230">
        <f>IFERROR(VLOOKUP($A17,VENTAS!$H$2:$O$201,5,FALSE),"")</f>
        <v>0</v>
      </c>
      <c r="AE17" s="10">
        <f t="shared" si="7"/>
        <v>15</v>
      </c>
      <c r="AF17" s="270">
        <f>VLOOKUP($A17,INICIO!$A$5:$J$72,7,FALSE)</f>
        <v>15</v>
      </c>
      <c r="AG17" s="203">
        <f t="shared" ref="AG17" si="22">IFERROR(AF17-AE17,"")</f>
        <v>0</v>
      </c>
      <c r="AH17" s="242">
        <f>IFERROR(IF(AG17&gt;0,"",AG17*VLOOKUP($A17,'VALOR I.'!$B$6:$K$418,10,FALSE)),"")</f>
        <v>0</v>
      </c>
      <c r="AI17" s="269">
        <f>VLOOKUP($A17,INICIO!$A$5:$J$72,7,FALSE)</f>
        <v>15</v>
      </c>
      <c r="AJ17" s="232">
        <f>VLOOKUP($A17,REPOSICIONES!$A$5:$J$72,7,FALSE)</f>
        <v>5</v>
      </c>
      <c r="AK17" s="79">
        <f t="shared" si="8"/>
        <v>20</v>
      </c>
      <c r="AL17" s="230">
        <f>IFERROR(VLOOKUP($A17,VENTAS!$H$2:$O$201,6,FALSE),"")</f>
        <v>4</v>
      </c>
      <c r="AM17" s="10">
        <f t="shared" si="9"/>
        <v>16</v>
      </c>
      <c r="AN17" s="270">
        <f>VLOOKUP($A17,INICIO!$A$5:$J$72,8,FALSE)</f>
        <v>15</v>
      </c>
      <c r="AO17" s="203">
        <f t="shared" ref="AO17" si="23">IFERROR(AN17-AM17,"")</f>
        <v>-1</v>
      </c>
      <c r="AP17" s="204">
        <f>IFERROR(IF(AO17&gt;0,"",AO17*VLOOKUP($A17,'VALOR I.'!$B$6:$K$418,10,FALSE)),"")</f>
        <v>-2614.4299999999998</v>
      </c>
      <c r="AQ17" s="269">
        <f>VLOOKUP($A17,INICIO!$A$5:$J$72,8,FALSE)</f>
        <v>15</v>
      </c>
      <c r="AR17" s="232">
        <f>VLOOKUP($A17,REPOSICIONES!$A$5:$J$72,8,FALSE)</f>
        <v>5</v>
      </c>
      <c r="AS17" s="79">
        <f t="shared" si="10"/>
        <v>20</v>
      </c>
      <c r="AT17" s="230">
        <f>IFERROR(VLOOKUP($A17,VENTAS!$H$2:$O$201,7,FALSE),"")</f>
        <v>2</v>
      </c>
      <c r="AU17" s="10">
        <f t="shared" si="11"/>
        <v>18</v>
      </c>
      <c r="AV17" s="270">
        <f>VLOOKUP($A17,INICIO!$A$5:$J$72,9,FALSE)</f>
        <v>18</v>
      </c>
      <c r="AW17" s="203">
        <f t="shared" ref="AW17" si="24">IFERROR(AV17-AU17,"")</f>
        <v>0</v>
      </c>
      <c r="AX17" s="204">
        <f>IFERROR(IF(AW17&gt;0,"",AW17*VLOOKUP($A17,'VALOR I.'!$B$6:$K$418,10,FALSE)),"")</f>
        <v>0</v>
      </c>
      <c r="AY17" s="269"/>
      <c r="AZ17" s="232"/>
      <c r="BA17" s="79"/>
      <c r="BB17" s="230"/>
      <c r="BC17" s="10"/>
      <c r="BD17" s="270"/>
      <c r="BE17" s="203"/>
      <c r="BF17" s="204"/>
    </row>
    <row r="18" spans="1:58" s="5" customFormat="1" ht="15.75" hidden="1" customHeight="1" x14ac:dyDescent="0.25">
      <c r="A18" s="66"/>
      <c r="B18" s="215"/>
      <c r="C18" s="239" t="e">
        <f>VLOOKUP($A18,INICIO!$A$5:$J$72,3,FALSE)</f>
        <v>#N/A</v>
      </c>
      <c r="D18" s="9" t="e">
        <f>VLOOKUP($A18,REPOSICIONES!$A$5:$J$72,3,FALSE)</f>
        <v>#N/A</v>
      </c>
      <c r="E18" s="79" t="e">
        <f t="shared" si="0"/>
        <v>#N/A</v>
      </c>
      <c r="F18" s="80" t="str">
        <f>IFERROR(VLOOKUP($A18,VENTAS!$H$2:$O$201,2,FALSE),"")</f>
        <v/>
      </c>
      <c r="G18" s="9" t="str">
        <f t="shared" si="1"/>
        <v/>
      </c>
      <c r="H18" s="9" t="e">
        <f>VLOOKUP($A18,INICIO!$A$5:$J$72,4,FALSE)</f>
        <v>#N/A</v>
      </c>
      <c r="I18" s="227"/>
      <c r="J18" s="289" t="str">
        <f>IFERROR(IF(I18&gt;0,"",I18*VLOOKUP($A18,'VALOR I.'!$B$6:$K$418,10,FALSE)),"")</f>
        <v/>
      </c>
      <c r="K18" s="276" t="e">
        <f>VLOOKUP($A18,INICIO!$A$5:$J$72,4,FALSE)</f>
        <v>#N/A</v>
      </c>
      <c r="L18" s="232" t="e">
        <f>VLOOKUP($A18,REPOSICIONES!$A$5:$J$72,4,FALSE)</f>
        <v>#N/A</v>
      </c>
      <c r="M18" s="79" t="e">
        <f t="shared" si="2"/>
        <v>#N/A</v>
      </c>
      <c r="N18" s="230" t="str">
        <f>IFERROR(VLOOKUP($A18,VENTAS!$H$2:$O$201,3,FALSE),"")</f>
        <v/>
      </c>
      <c r="O18" s="267" t="str">
        <f t="shared" si="3"/>
        <v/>
      </c>
      <c r="P18" s="270" t="e">
        <f>VLOOKUP($A18,INICIO!$A$5:$J$72,5,FALSE)</f>
        <v>#N/A</v>
      </c>
      <c r="Q18" s="11"/>
      <c r="R18" s="242" t="str">
        <f>IFERROR(IF(Q18&gt;0,"",Q18*VLOOKUP($A18,'VALOR I.'!$B$6:$K$418,10,FALSE)),"")</f>
        <v/>
      </c>
      <c r="S18" s="276" t="e">
        <f>VLOOKUP($A18,INICIO!$A$5:$J$72,5,FALSE)</f>
        <v>#N/A</v>
      </c>
      <c r="T18" s="232" t="e">
        <f>VLOOKUP($A18,REPOSICIONES!$A$5:$J$72,5,FALSE)</f>
        <v>#N/A</v>
      </c>
      <c r="U18" s="79" t="e">
        <f t="shared" si="4"/>
        <v>#N/A</v>
      </c>
      <c r="V18" s="230" t="str">
        <f>IFERROR(VLOOKUP($A18,VENTAS!$H$2:$O$201,4,FALSE),"")</f>
        <v/>
      </c>
      <c r="W18" s="10" t="str">
        <f t="shared" si="5"/>
        <v/>
      </c>
      <c r="X18" s="270" t="e">
        <f>VLOOKUP($A18,INICIO!$A$5:$J$72,6,FALSE)</f>
        <v>#N/A</v>
      </c>
      <c r="Y18" s="11"/>
      <c r="Z18" s="242" t="str">
        <f>IFERROR(IF(Y18&gt;0,"",Y18*VLOOKUP($A18,'VALOR I.'!$B$6:$K$418,10,FALSE)),"")</f>
        <v/>
      </c>
      <c r="AA18" s="276" t="e">
        <f>VLOOKUP($A18,INICIO!$A$5:$J$72,6,FALSE)</f>
        <v>#N/A</v>
      </c>
      <c r="AB18" s="232" t="e">
        <f>VLOOKUP($A18,REPOSICIONES!$A$5:$J$72,6,FALSE)</f>
        <v>#N/A</v>
      </c>
      <c r="AC18" s="79" t="e">
        <f t="shared" si="6"/>
        <v>#N/A</v>
      </c>
      <c r="AD18" s="230" t="str">
        <f>IFERROR(VLOOKUP($A18,VENTAS!$H$2:$O$201,5,FALSE),"")</f>
        <v/>
      </c>
      <c r="AE18" s="10" t="str">
        <f t="shared" si="7"/>
        <v/>
      </c>
      <c r="AF18" s="270" t="e">
        <f>VLOOKUP($A18,INICIO!$A$5:$J$72,7,FALSE)</f>
        <v>#N/A</v>
      </c>
      <c r="AG18" s="11"/>
      <c r="AH18" s="242" t="str">
        <f>IFERROR(IF(AG18&gt;0,"",AG18*VLOOKUP($A18,'VALOR I.'!$B$6:$K$418,10,FALSE)),"")</f>
        <v/>
      </c>
      <c r="AI18" s="269" t="e">
        <f>VLOOKUP($A18,INICIO!$A$5:$J$72,7,FALSE)</f>
        <v>#N/A</v>
      </c>
      <c r="AJ18" s="232" t="e">
        <f>VLOOKUP($A18,REPOSICIONES!$A$5:$J$72,7,FALSE)</f>
        <v>#N/A</v>
      </c>
      <c r="AK18" s="79" t="e">
        <f t="shared" si="8"/>
        <v>#N/A</v>
      </c>
      <c r="AL18" s="230" t="str">
        <f>IFERROR(VLOOKUP($A18,VENTAS!$H$2:$O$201,6,FALSE),"")</f>
        <v/>
      </c>
      <c r="AM18" s="10" t="str">
        <f t="shared" si="9"/>
        <v/>
      </c>
      <c r="AN18" s="270" t="e">
        <f>VLOOKUP($A18,INICIO!$A$5:$J$72,8,FALSE)</f>
        <v>#N/A</v>
      </c>
      <c r="AO18" s="11"/>
      <c r="AP18" s="204" t="str">
        <f>IFERROR(IF(AO18&gt;0,"",AO18*VLOOKUP($A18,'VALOR I.'!$B$6:$K$418,10,FALSE)),"")</f>
        <v/>
      </c>
      <c r="AQ18" s="269" t="e">
        <f>VLOOKUP($A18,INICIO!$A$5:$J$72,8,FALSE)</f>
        <v>#N/A</v>
      </c>
      <c r="AR18" s="232" t="e">
        <f>VLOOKUP($A18,REPOSICIONES!$A$5:$J$72,8,FALSE)</f>
        <v>#N/A</v>
      </c>
      <c r="AS18" s="79" t="e">
        <f t="shared" si="10"/>
        <v>#N/A</v>
      </c>
      <c r="AT18" s="230" t="str">
        <f>IFERROR(VLOOKUP($A18,VENTAS!$H$2:$O$201,7,FALSE),"")</f>
        <v/>
      </c>
      <c r="AU18" s="10" t="str">
        <f t="shared" si="11"/>
        <v/>
      </c>
      <c r="AV18" s="270" t="e">
        <f>VLOOKUP($A18,INICIO!$A$5:$J$72,9,FALSE)</f>
        <v>#N/A</v>
      </c>
      <c r="AW18" s="11"/>
      <c r="AX18" s="204" t="str">
        <f>IFERROR(IF(AW18&gt;0,"",AW18*VLOOKUP($A18,'VALOR I.'!$B$6:$K$418,10,FALSE)),"")</f>
        <v/>
      </c>
      <c r="AY18" s="269" t="e">
        <f>VLOOKUP($A18,INICIO!$A$5:$J$72,9,FALSE)</f>
        <v>#N/A</v>
      </c>
      <c r="AZ18" s="232" t="e">
        <f>VLOOKUP($A18,REPOSICIONES!$A$5:$J$72,9,FALSE)</f>
        <v>#N/A</v>
      </c>
      <c r="BA18" s="79" t="e">
        <f t="shared" si="18"/>
        <v>#N/A</v>
      </c>
      <c r="BB18" s="230" t="str">
        <f>IFERROR(VLOOKUP($A18,VENTAS!$H$2:$O$201,8,FALSE),"")</f>
        <v/>
      </c>
      <c r="BC18" s="10" t="str">
        <f t="shared" si="19"/>
        <v/>
      </c>
      <c r="BD18" s="270" t="e">
        <f>VLOOKUP($A18,INICIO!$A$5:$J$72,10,FALSE)</f>
        <v>#N/A</v>
      </c>
      <c r="BE18" s="11"/>
      <c r="BF18" s="204" t="str">
        <f>IFERROR(IF(BE18&gt;0,"",BE18*VLOOKUP($A18,'VALOR I.'!$B$6:$K$418,10,FALSE)),"")</f>
        <v/>
      </c>
    </row>
    <row r="19" spans="1:58" s="5" customFormat="1" x14ac:dyDescent="0.25">
      <c r="A19" s="66" t="s">
        <v>81</v>
      </c>
      <c r="B19" s="216" t="s">
        <v>6</v>
      </c>
      <c r="C19" s="239">
        <f>VLOOKUP($A19,INICIO!$A$5:$J$72,3,FALSE)</f>
        <v>0</v>
      </c>
      <c r="D19" s="9">
        <f>VLOOKUP($A19,REPOSICIONES!$A$5:$J$72,3,FALSE)</f>
        <v>0</v>
      </c>
      <c r="E19" s="79">
        <f t="shared" si="0"/>
        <v>0</v>
      </c>
      <c r="F19" s="80">
        <f>IFERROR(VLOOKUP($A19,VENTAS!$H$2:$O$201,2,FALSE),"")</f>
        <v>0</v>
      </c>
      <c r="G19" s="9">
        <f t="shared" si="1"/>
        <v>0</v>
      </c>
      <c r="H19" s="9">
        <f>VLOOKUP($A19,INICIO!$A$5:$J$72,4,FALSE)</f>
        <v>19</v>
      </c>
      <c r="I19" s="203">
        <f t="shared" si="12"/>
        <v>19</v>
      </c>
      <c r="J19" s="242" t="str">
        <f>IFERROR(IF(I19&gt;0,"",I19*VLOOKUP($A19,'VALOR I.'!$B$6:$K$418,10,FALSE)),"")</f>
        <v/>
      </c>
      <c r="K19" s="276">
        <f>VLOOKUP($A19,INICIO!$A$5:$J$72,4,FALSE)</f>
        <v>19</v>
      </c>
      <c r="L19" s="232">
        <f>VLOOKUP($A19,REPOSICIONES!$A$5:$J$72,4,FALSE)</f>
        <v>0</v>
      </c>
      <c r="M19" s="79">
        <f t="shared" si="2"/>
        <v>19</v>
      </c>
      <c r="N19" s="230">
        <f>IFERROR(VLOOKUP($A19,VENTAS!$H$2:$O$201,3,FALSE),"")</f>
        <v>2</v>
      </c>
      <c r="O19" s="267">
        <f t="shared" si="3"/>
        <v>17</v>
      </c>
      <c r="P19" s="270">
        <f>VLOOKUP($A19,INICIO!$A$5:$J$72,5,FALSE)</f>
        <v>15</v>
      </c>
      <c r="Q19" s="203">
        <f t="shared" ref="Q19:Q20" si="25">IFERROR(P19-O19,"")</f>
        <v>-2</v>
      </c>
      <c r="R19" s="242">
        <f>IFERROR(IF(Q19&gt;0,"",Q19*VLOOKUP($A19,'VALOR I.'!$B$6:$K$418,10,FALSE)),"")</f>
        <v>-1752.2750000000001</v>
      </c>
      <c r="S19" s="276">
        <f>VLOOKUP($A19,INICIO!$A$5:$J$72,5,FALSE)</f>
        <v>15</v>
      </c>
      <c r="T19" s="232">
        <f>VLOOKUP($A19,REPOSICIONES!$A$5:$J$72,5,FALSE)</f>
        <v>0</v>
      </c>
      <c r="U19" s="79">
        <f t="shared" si="4"/>
        <v>15</v>
      </c>
      <c r="V19" s="230">
        <f>IFERROR(VLOOKUP($A19,VENTAS!$H$2:$O$201,4,FALSE),"")</f>
        <v>1</v>
      </c>
      <c r="W19" s="10">
        <f t="shared" si="5"/>
        <v>14</v>
      </c>
      <c r="X19" s="270">
        <f>VLOOKUP($A19,INICIO!$A$5:$J$72,6,FALSE)</f>
        <v>14</v>
      </c>
      <c r="Y19" s="203">
        <f t="shared" ref="Y19:Y20" si="26">IFERROR(X19-W19,"")</f>
        <v>0</v>
      </c>
      <c r="Z19" s="242">
        <f>IFERROR(IF(Y19&gt;0,"",Y19*VLOOKUP($A19,'VALOR I.'!$B$6:$K$418,10,FALSE)),"")</f>
        <v>0</v>
      </c>
      <c r="AA19" s="276">
        <f>VLOOKUP($A19,INICIO!$A$5:$J$72,6,FALSE)</f>
        <v>14</v>
      </c>
      <c r="AB19" s="232">
        <f>VLOOKUP($A19,REPOSICIONES!$A$5:$J$72,6,FALSE)</f>
        <v>0</v>
      </c>
      <c r="AC19" s="79">
        <f t="shared" si="6"/>
        <v>14</v>
      </c>
      <c r="AD19" s="230">
        <f>IFERROR(VLOOKUP($A19,VENTAS!$H$2:$O$201,5,FALSE),"")</f>
        <v>1</v>
      </c>
      <c r="AE19" s="10">
        <f t="shared" si="7"/>
        <v>13</v>
      </c>
      <c r="AF19" s="270">
        <f>VLOOKUP($A19,INICIO!$A$5:$J$72,7,FALSE)</f>
        <v>6</v>
      </c>
      <c r="AG19" s="203">
        <f t="shared" ref="AG19:AG20" si="27">IFERROR(AF19-AE19,"")</f>
        <v>-7</v>
      </c>
      <c r="AH19" s="242">
        <f>IFERROR(IF(AG19&gt;0,"",AG19*VLOOKUP($A19,'VALOR I.'!$B$6:$K$418,10,FALSE)),"")</f>
        <v>-6132.9625000000005</v>
      </c>
      <c r="AI19" s="269">
        <f>VLOOKUP($A19,INICIO!$A$5:$J$72,7,FALSE)</f>
        <v>6</v>
      </c>
      <c r="AJ19" s="232">
        <f>VLOOKUP($A19,REPOSICIONES!$A$5:$J$72,7,FALSE)</f>
        <v>3</v>
      </c>
      <c r="AK19" s="79">
        <f t="shared" si="8"/>
        <v>9</v>
      </c>
      <c r="AL19" s="230">
        <f>IFERROR(VLOOKUP($A19,VENTAS!$H$2:$O$201,6,FALSE),"")</f>
        <v>4</v>
      </c>
      <c r="AM19" s="10">
        <f t="shared" si="9"/>
        <v>5</v>
      </c>
      <c r="AN19" s="270">
        <f>VLOOKUP($A19,INICIO!$A$5:$J$72,8,FALSE)</f>
        <v>3</v>
      </c>
      <c r="AO19" s="203">
        <f t="shared" ref="AO19:AO20" si="28">IFERROR(AN19-AM19,"")</f>
        <v>-2</v>
      </c>
      <c r="AP19" s="204">
        <f>IFERROR(IF(AO19&gt;0,"",AO19*VLOOKUP($A19,'VALOR I.'!$B$6:$K$418,10,FALSE)),"")</f>
        <v>-1752.2750000000001</v>
      </c>
      <c r="AQ19" s="269">
        <f>VLOOKUP($A19,INICIO!$A$5:$J$72,8,FALSE)</f>
        <v>3</v>
      </c>
      <c r="AR19" s="232">
        <f>VLOOKUP($A19,REPOSICIONES!$A$5:$J$72,8,FALSE)</f>
        <v>10</v>
      </c>
      <c r="AS19" s="79">
        <f t="shared" si="10"/>
        <v>13</v>
      </c>
      <c r="AT19" s="230">
        <f>IFERROR(VLOOKUP($A19,VENTAS!$H$2:$O$201,7,FALSE),"")</f>
        <v>0</v>
      </c>
      <c r="AU19" s="10">
        <f t="shared" si="11"/>
        <v>13</v>
      </c>
      <c r="AV19" s="270">
        <f>VLOOKUP($A19,INICIO!$A$5:$J$72,9,FALSE)</f>
        <v>9</v>
      </c>
      <c r="AW19" s="203">
        <f t="shared" ref="AW19:AW20" si="29">IFERROR(AV19-AU19,"")</f>
        <v>-4</v>
      </c>
      <c r="AX19" s="204">
        <f>IFERROR(IF(AW19&gt;0,"",AW19*VLOOKUP($A19,'VALOR I.'!$B$6:$K$418,10,FALSE)),"")</f>
        <v>-3504.55</v>
      </c>
      <c r="AY19" s="269"/>
      <c r="AZ19" s="232"/>
      <c r="BA19" s="79"/>
      <c r="BB19" s="230"/>
      <c r="BC19" s="10"/>
      <c r="BD19" s="270"/>
      <c r="BE19" s="203"/>
      <c r="BF19" s="204"/>
    </row>
    <row r="20" spans="1:58" s="5" customFormat="1" x14ac:dyDescent="0.25">
      <c r="A20" s="66" t="s">
        <v>82</v>
      </c>
      <c r="B20" s="215" t="s">
        <v>54</v>
      </c>
      <c r="C20" s="239">
        <f>VLOOKUP($A20,INICIO!$A$5:$J$72,3,FALSE)</f>
        <v>0</v>
      </c>
      <c r="D20" s="9">
        <f>VLOOKUP($A20,REPOSICIONES!$A$5:$J$72,3,FALSE)</f>
        <v>0</v>
      </c>
      <c r="E20" s="79">
        <f t="shared" si="0"/>
        <v>0</v>
      </c>
      <c r="F20" s="80">
        <f>IFERROR(VLOOKUP($A20,VENTAS!$H$2:$O$201,2,FALSE),"")</f>
        <v>0</v>
      </c>
      <c r="G20" s="9">
        <f t="shared" si="1"/>
        <v>0</v>
      </c>
      <c r="H20" s="9">
        <f>VLOOKUP($A20,INICIO!$A$5:$J$72,4,FALSE)</f>
        <v>15</v>
      </c>
      <c r="I20" s="203">
        <f t="shared" si="12"/>
        <v>15</v>
      </c>
      <c r="J20" s="242" t="str">
        <f>IFERROR(IF(I20&gt;0,"",I20*VLOOKUP($A20,'VALOR I.'!$B$6:$K$418,10,FALSE)),"")</f>
        <v/>
      </c>
      <c r="K20" s="276">
        <f>VLOOKUP($A20,INICIO!$A$5:$J$72,4,FALSE)</f>
        <v>15</v>
      </c>
      <c r="L20" s="232">
        <f>VLOOKUP($A20,REPOSICIONES!$A$5:$J$72,4,FALSE)</f>
        <v>0</v>
      </c>
      <c r="M20" s="79">
        <f t="shared" si="2"/>
        <v>15</v>
      </c>
      <c r="N20" s="230">
        <f>IFERROR(VLOOKUP($A20,VENTAS!$H$2:$O$201,3,FALSE),"")</f>
        <v>1</v>
      </c>
      <c r="O20" s="267">
        <f t="shared" si="3"/>
        <v>14</v>
      </c>
      <c r="P20" s="270">
        <f>VLOOKUP($A20,INICIO!$A$5:$J$72,5,FALSE)</f>
        <v>17</v>
      </c>
      <c r="Q20" s="203">
        <f t="shared" si="25"/>
        <v>3</v>
      </c>
      <c r="R20" s="242" t="str">
        <f>IFERROR(IF(Q20&gt;0,"",Q20*VLOOKUP($A20,'VALOR I.'!$B$6:$K$418,10,FALSE)),"")</f>
        <v/>
      </c>
      <c r="S20" s="276">
        <f>VLOOKUP($A20,INICIO!$A$5:$J$72,5,FALSE)</f>
        <v>17</v>
      </c>
      <c r="T20" s="232">
        <f>VLOOKUP($A20,REPOSICIONES!$A$5:$J$72,5,FALSE)</f>
        <v>0</v>
      </c>
      <c r="U20" s="79">
        <f t="shared" si="4"/>
        <v>17</v>
      </c>
      <c r="V20" s="230">
        <f>IFERROR(VLOOKUP($A20,VENTAS!$H$2:$O$201,4,FALSE),"")</f>
        <v>0</v>
      </c>
      <c r="W20" s="10">
        <f t="shared" si="5"/>
        <v>17</v>
      </c>
      <c r="X20" s="270">
        <f>VLOOKUP($A20,INICIO!$A$5:$J$72,6,FALSE)</f>
        <v>17</v>
      </c>
      <c r="Y20" s="203">
        <f t="shared" si="26"/>
        <v>0</v>
      </c>
      <c r="Z20" s="242">
        <f>IFERROR(IF(Y20&gt;0,"",Y20*VLOOKUP($A20,'VALOR I.'!$B$6:$K$418,10,FALSE)),"")</f>
        <v>0</v>
      </c>
      <c r="AA20" s="276">
        <f>VLOOKUP($A20,INICIO!$A$5:$J$72,6,FALSE)</f>
        <v>17</v>
      </c>
      <c r="AB20" s="232">
        <f>VLOOKUP($A20,REPOSICIONES!$A$5:$J$72,6,FALSE)</f>
        <v>0</v>
      </c>
      <c r="AC20" s="79">
        <f t="shared" si="6"/>
        <v>17</v>
      </c>
      <c r="AD20" s="230">
        <f>IFERROR(VLOOKUP($A20,VENTAS!$H$2:$O$201,5,FALSE),"")</f>
        <v>1</v>
      </c>
      <c r="AE20" s="10">
        <f t="shared" si="7"/>
        <v>16</v>
      </c>
      <c r="AF20" s="270">
        <f>VLOOKUP($A20,INICIO!$A$5:$J$72,7,FALSE)</f>
        <v>20</v>
      </c>
      <c r="AG20" s="203">
        <f t="shared" si="27"/>
        <v>4</v>
      </c>
      <c r="AH20" s="242" t="str">
        <f>IFERROR(IF(AG20&gt;0,"",AG20*VLOOKUP($A20,'VALOR I.'!$B$6:$K$418,10,FALSE)),"")</f>
        <v/>
      </c>
      <c r="AI20" s="269">
        <f>VLOOKUP($A20,INICIO!$A$5:$J$72,7,FALSE)</f>
        <v>20</v>
      </c>
      <c r="AJ20" s="232">
        <f>VLOOKUP($A20,REPOSICIONES!$A$5:$J$72,7,FALSE)</f>
        <v>0</v>
      </c>
      <c r="AK20" s="79">
        <f t="shared" si="8"/>
        <v>20</v>
      </c>
      <c r="AL20" s="230">
        <f>IFERROR(VLOOKUP($A20,VENTAS!$H$2:$O$201,6,FALSE),"")</f>
        <v>3</v>
      </c>
      <c r="AM20" s="10">
        <f t="shared" si="9"/>
        <v>17</v>
      </c>
      <c r="AN20" s="270">
        <f>VLOOKUP($A20,INICIO!$A$5:$J$72,8,FALSE)</f>
        <v>17</v>
      </c>
      <c r="AO20" s="203">
        <f t="shared" si="28"/>
        <v>0</v>
      </c>
      <c r="AP20" s="204">
        <f>IFERROR(IF(AO20&gt;0,"",AO20*VLOOKUP($A20,'VALOR I.'!$B$6:$K$418,10,FALSE)),"")</f>
        <v>0</v>
      </c>
      <c r="AQ20" s="269">
        <f>VLOOKUP($A20,INICIO!$A$5:$J$72,8,FALSE)</f>
        <v>17</v>
      </c>
      <c r="AR20" s="232">
        <f>VLOOKUP($A20,REPOSICIONES!$A$5:$J$72,8,FALSE)</f>
        <v>0</v>
      </c>
      <c r="AS20" s="79">
        <f t="shared" si="10"/>
        <v>17</v>
      </c>
      <c r="AT20" s="230">
        <f>IFERROR(VLOOKUP($A20,VENTAS!$H$2:$O$201,7,FALSE),"")</f>
        <v>1</v>
      </c>
      <c r="AU20" s="10">
        <f t="shared" si="11"/>
        <v>16</v>
      </c>
      <c r="AV20" s="270">
        <f>VLOOKUP($A20,INICIO!$A$5:$J$72,9,FALSE)</f>
        <v>12</v>
      </c>
      <c r="AW20" s="203">
        <f t="shared" si="29"/>
        <v>-4</v>
      </c>
      <c r="AX20" s="204">
        <f>IFERROR(IF(AW20&gt;0,"",AW20*VLOOKUP($A20,'VALOR I.'!$B$6:$K$418,10,FALSE)),"")</f>
        <v>-1251.0232000000001</v>
      </c>
      <c r="AY20" s="269"/>
      <c r="AZ20" s="232"/>
      <c r="BA20" s="79"/>
      <c r="BB20" s="230"/>
      <c r="BC20" s="10"/>
      <c r="BD20" s="270"/>
      <c r="BE20" s="203"/>
      <c r="BF20" s="204"/>
    </row>
    <row r="21" spans="1:58" s="5" customFormat="1" ht="15.75" hidden="1" customHeight="1" x14ac:dyDescent="0.25">
      <c r="A21" s="67"/>
      <c r="B21" s="215"/>
      <c r="C21" s="239" t="e">
        <f>VLOOKUP($A21,INICIO!$A$5:$J$72,3,FALSE)</f>
        <v>#N/A</v>
      </c>
      <c r="D21" s="9" t="e">
        <f>VLOOKUP($A21,REPOSICIONES!$A$5:$J$72,3,FALSE)</f>
        <v>#N/A</v>
      </c>
      <c r="E21" s="79" t="e">
        <f t="shared" si="0"/>
        <v>#N/A</v>
      </c>
      <c r="F21" s="80" t="str">
        <f>IFERROR(VLOOKUP($A21,VENTAS!$H$2:$O$201,2,FALSE),"")</f>
        <v/>
      </c>
      <c r="G21" s="9" t="str">
        <f t="shared" si="1"/>
        <v/>
      </c>
      <c r="H21" s="9" t="e">
        <f>VLOOKUP($A21,INICIO!$A$5:$J$72,4,FALSE)</f>
        <v>#N/A</v>
      </c>
      <c r="I21" s="227"/>
      <c r="J21" s="289" t="str">
        <f>IFERROR(IF(I21&gt;0,"",I21*VLOOKUP($A21,'VALOR I.'!$B$6:$K$418,10,FALSE)),"")</f>
        <v/>
      </c>
      <c r="K21" s="276" t="e">
        <f>VLOOKUP($A21,INICIO!$A$5:$J$72,4,FALSE)</f>
        <v>#N/A</v>
      </c>
      <c r="L21" s="232" t="e">
        <f>VLOOKUP($A21,REPOSICIONES!$A$5:$J$72,4,FALSE)</f>
        <v>#N/A</v>
      </c>
      <c r="M21" s="79" t="e">
        <f t="shared" si="2"/>
        <v>#N/A</v>
      </c>
      <c r="N21" s="230" t="str">
        <f>IFERROR(VLOOKUP($A21,VENTAS!$H$2:$O$201,3,FALSE),"")</f>
        <v/>
      </c>
      <c r="O21" s="267" t="str">
        <f t="shared" si="3"/>
        <v/>
      </c>
      <c r="P21" s="270" t="e">
        <f>VLOOKUP($A21,INICIO!$A$5:$J$72,5,FALSE)</f>
        <v>#N/A</v>
      </c>
      <c r="Q21" s="11"/>
      <c r="R21" s="242" t="str">
        <f>IFERROR(IF(Q21&gt;0,"",Q21*VLOOKUP($A21,'VALOR I.'!$B$6:$K$418,10,FALSE)),"")</f>
        <v/>
      </c>
      <c r="S21" s="276" t="e">
        <f>VLOOKUP($A21,INICIO!$A$5:$J$72,5,FALSE)</f>
        <v>#N/A</v>
      </c>
      <c r="T21" s="232" t="e">
        <f>VLOOKUP($A21,REPOSICIONES!$A$5:$J$72,5,FALSE)</f>
        <v>#N/A</v>
      </c>
      <c r="U21" s="79" t="e">
        <f t="shared" si="4"/>
        <v>#N/A</v>
      </c>
      <c r="V21" s="230" t="str">
        <f>IFERROR(VLOOKUP($A21,VENTAS!$H$2:$O$201,4,FALSE),"")</f>
        <v/>
      </c>
      <c r="W21" s="10" t="str">
        <f t="shared" si="5"/>
        <v/>
      </c>
      <c r="X21" s="270" t="e">
        <f>VLOOKUP($A21,INICIO!$A$5:$J$72,6,FALSE)</f>
        <v>#N/A</v>
      </c>
      <c r="Y21" s="11"/>
      <c r="Z21" s="242" t="str">
        <f>IFERROR(IF(Y21&gt;0,"",Y21*VLOOKUP($A21,'VALOR I.'!$B$6:$K$418,10,FALSE)),"")</f>
        <v/>
      </c>
      <c r="AA21" s="276" t="e">
        <f>VLOOKUP($A21,INICIO!$A$5:$J$72,6,FALSE)</f>
        <v>#N/A</v>
      </c>
      <c r="AB21" s="232" t="e">
        <f>VLOOKUP($A21,REPOSICIONES!$A$5:$J$72,6,FALSE)</f>
        <v>#N/A</v>
      </c>
      <c r="AC21" s="79" t="e">
        <f t="shared" si="6"/>
        <v>#N/A</v>
      </c>
      <c r="AD21" s="230" t="str">
        <f>IFERROR(VLOOKUP($A21,VENTAS!$H$2:$O$201,5,FALSE),"")</f>
        <v/>
      </c>
      <c r="AE21" s="10" t="str">
        <f t="shared" si="7"/>
        <v/>
      </c>
      <c r="AF21" s="270" t="e">
        <f>VLOOKUP($A21,INICIO!$A$5:$J$72,7,FALSE)</f>
        <v>#N/A</v>
      </c>
      <c r="AG21" s="11"/>
      <c r="AH21" s="242" t="str">
        <f>IFERROR(IF(AG21&gt;0,"",AG21*VLOOKUP($A21,'VALOR I.'!$B$6:$K$418,10,FALSE)),"")</f>
        <v/>
      </c>
      <c r="AI21" s="269" t="e">
        <f>VLOOKUP($A21,INICIO!$A$5:$J$72,7,FALSE)</f>
        <v>#N/A</v>
      </c>
      <c r="AJ21" s="232" t="e">
        <f>VLOOKUP($A21,REPOSICIONES!$A$5:$J$72,7,FALSE)</f>
        <v>#N/A</v>
      </c>
      <c r="AK21" s="79" t="e">
        <f t="shared" si="8"/>
        <v>#N/A</v>
      </c>
      <c r="AL21" s="230" t="str">
        <f>IFERROR(VLOOKUP($A21,VENTAS!$H$2:$O$201,6,FALSE),"")</f>
        <v/>
      </c>
      <c r="AM21" s="10" t="str">
        <f t="shared" si="9"/>
        <v/>
      </c>
      <c r="AN21" s="270" t="e">
        <f>VLOOKUP($A21,INICIO!$A$5:$J$72,8,FALSE)</f>
        <v>#N/A</v>
      </c>
      <c r="AO21" s="11"/>
      <c r="AP21" s="204" t="str">
        <f>IFERROR(IF(AO21&gt;0,"",AO21*VLOOKUP($A21,'VALOR I.'!$B$6:$K$418,10,FALSE)),"")</f>
        <v/>
      </c>
      <c r="AQ21" s="269" t="e">
        <f>VLOOKUP($A21,INICIO!$A$5:$J$72,8,FALSE)</f>
        <v>#N/A</v>
      </c>
      <c r="AR21" s="232" t="e">
        <f>VLOOKUP($A21,REPOSICIONES!$A$5:$J$72,8,FALSE)</f>
        <v>#N/A</v>
      </c>
      <c r="AS21" s="79" t="e">
        <f t="shared" si="10"/>
        <v>#N/A</v>
      </c>
      <c r="AT21" s="230" t="str">
        <f>IFERROR(VLOOKUP($A21,VENTAS!$H$2:$O$201,7,FALSE),"")</f>
        <v/>
      </c>
      <c r="AU21" s="10" t="str">
        <f t="shared" si="11"/>
        <v/>
      </c>
      <c r="AV21" s="270" t="e">
        <f>VLOOKUP($A21,INICIO!$A$5:$J$72,9,FALSE)</f>
        <v>#N/A</v>
      </c>
      <c r="AW21" s="11"/>
      <c r="AX21" s="204" t="str">
        <f>IFERROR(IF(AW21&gt;0,"",AW21*VLOOKUP($A21,'VALOR I.'!$B$6:$K$418,10,FALSE)),"")</f>
        <v/>
      </c>
      <c r="AY21" s="269" t="e">
        <f>VLOOKUP($A21,INICIO!$A$5:$J$72,9,FALSE)</f>
        <v>#N/A</v>
      </c>
      <c r="AZ21" s="232" t="e">
        <f>VLOOKUP($A21,REPOSICIONES!$A$5:$J$72,9,FALSE)</f>
        <v>#N/A</v>
      </c>
      <c r="BA21" s="79" t="e">
        <f t="shared" si="18"/>
        <v>#N/A</v>
      </c>
      <c r="BB21" s="230" t="str">
        <f>IFERROR(VLOOKUP($A21,VENTAS!$H$2:$O$201,8,FALSE),"")</f>
        <v/>
      </c>
      <c r="BC21" s="10" t="str">
        <f t="shared" si="19"/>
        <v/>
      </c>
      <c r="BD21" s="270" t="e">
        <f>VLOOKUP($A21,INICIO!$A$5:$J$72,10,FALSE)</f>
        <v>#N/A</v>
      </c>
      <c r="BE21" s="11"/>
      <c r="BF21" s="204" t="str">
        <f>IFERROR(IF(BE21&gt;0,"",BE21*VLOOKUP($A21,'VALOR I.'!$B$6:$K$418,10,FALSE)),"")</f>
        <v/>
      </c>
    </row>
    <row r="22" spans="1:58" x14ac:dyDescent="0.25">
      <c r="A22" s="68"/>
      <c r="B22" s="217" t="s">
        <v>42</v>
      </c>
      <c r="C22" s="271"/>
      <c r="D22" s="55"/>
      <c r="E22" s="55"/>
      <c r="F22" s="55"/>
      <c r="G22" s="55"/>
      <c r="H22" s="55"/>
      <c r="I22" s="55"/>
      <c r="J22" s="272"/>
      <c r="K22" s="271"/>
      <c r="L22" s="55"/>
      <c r="M22" s="55"/>
      <c r="N22" s="55"/>
      <c r="O22" s="55"/>
      <c r="P22" s="55"/>
      <c r="Q22" s="55"/>
      <c r="R22" s="272"/>
      <c r="S22" s="271"/>
      <c r="T22" s="55"/>
      <c r="U22" s="55"/>
      <c r="V22" s="55"/>
      <c r="W22" s="55"/>
      <c r="X22" s="55"/>
      <c r="Y22" s="55"/>
      <c r="Z22" s="272"/>
      <c r="AA22" s="271"/>
      <c r="AB22" s="55"/>
      <c r="AC22" s="55"/>
      <c r="AD22" s="55"/>
      <c r="AE22" s="55"/>
      <c r="AF22" s="55"/>
      <c r="AG22" s="55"/>
      <c r="AH22" s="272"/>
      <c r="AI22" s="220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</row>
    <row r="23" spans="1:58" x14ac:dyDescent="0.25">
      <c r="A23" s="66" t="s">
        <v>83</v>
      </c>
      <c r="B23" s="214" t="s">
        <v>13</v>
      </c>
      <c r="C23" s="239">
        <f>VLOOKUP($A23,INICIO!$A$5:$J$72,3,FALSE)</f>
        <v>0</v>
      </c>
      <c r="D23" s="9">
        <f>VLOOKUP($A23,REPOSICIONES!$A$5:$J$72,3,FALSE)</f>
        <v>0</v>
      </c>
      <c r="E23" s="79">
        <f t="shared" si="0"/>
        <v>0</v>
      </c>
      <c r="F23" s="80">
        <f>IFERROR(VLOOKUP($A23,VENTAS!$H$2:$O$201,2,FALSE),"")</f>
        <v>0</v>
      </c>
      <c r="G23" s="9">
        <f t="shared" si="1"/>
        <v>0</v>
      </c>
      <c r="H23" s="9">
        <f>VLOOKUP($A23,INICIO!$A$5:$J$72,4,FALSE)</f>
        <v>40</v>
      </c>
      <c r="I23" s="203">
        <f>IFERROR(H23-G23,"")</f>
        <v>40</v>
      </c>
      <c r="J23" s="242" t="str">
        <f>IFERROR(IF(I23&gt;0,"",I23*VLOOKUP($A23,'VALOR I.'!$B$6:$K$418,10,FALSE)),"")</f>
        <v/>
      </c>
      <c r="K23" s="276">
        <f>VLOOKUP($A23,INICIO!$A$5:$J$72,4,FALSE)</f>
        <v>40</v>
      </c>
      <c r="L23" s="232">
        <f>VLOOKUP($A23,REPOSICIONES!$A$5:$J$72,4,FALSE)</f>
        <v>0</v>
      </c>
      <c r="M23" s="79">
        <f t="shared" si="2"/>
        <v>40</v>
      </c>
      <c r="N23" s="230">
        <f>IFERROR(VLOOKUP($A23,VENTAS!$H$2:$O$201,3,FALSE),"")</f>
        <v>4</v>
      </c>
      <c r="O23" s="267">
        <f t="shared" si="3"/>
        <v>36</v>
      </c>
      <c r="P23" s="270">
        <f>VLOOKUP($A23,INICIO!$A$5:$J$72,5,FALSE)</f>
        <v>32</v>
      </c>
      <c r="Q23" s="203">
        <f>IFERROR(P23-O23,"")</f>
        <v>-4</v>
      </c>
      <c r="R23" s="242">
        <f>IFERROR(IF(Q23&gt;0,"",Q23*VLOOKUP($A23,'VALOR I.'!$B$6:$K$418,10,FALSE)),"")</f>
        <v>-3979.36</v>
      </c>
      <c r="S23" s="276">
        <f>VLOOKUP($A23,INICIO!$A$5:$J$72,5,FALSE)</f>
        <v>32</v>
      </c>
      <c r="T23" s="232">
        <f>VLOOKUP($A23,REPOSICIONES!$A$5:$J$72,5,FALSE)</f>
        <v>8</v>
      </c>
      <c r="U23" s="79">
        <f t="shared" si="4"/>
        <v>40</v>
      </c>
      <c r="V23" s="230">
        <f>IFERROR(VLOOKUP($A23,VENTAS!$H$2:$O$201,4,FALSE),"")</f>
        <v>0</v>
      </c>
      <c r="W23" s="11">
        <f t="shared" si="5"/>
        <v>40</v>
      </c>
      <c r="X23" s="270">
        <f>VLOOKUP($A23,INICIO!$A$5:$J$72,6,FALSE)</f>
        <v>36</v>
      </c>
      <c r="Y23" s="203">
        <f>IFERROR(X23-W23,"")</f>
        <v>-4</v>
      </c>
      <c r="Z23" s="242">
        <f>IFERROR(IF(Y23&gt;0,"",Y23*VLOOKUP($A23,'VALOR I.'!$B$6:$K$418,10,FALSE)),"")</f>
        <v>-3979.36</v>
      </c>
      <c r="AA23" s="276">
        <f>VLOOKUP($A23,INICIO!$A$5:$J$72,6,FALSE)</f>
        <v>36</v>
      </c>
      <c r="AB23" s="232">
        <f>VLOOKUP($A23,REPOSICIONES!$A$5:$J$72,6,FALSE)</f>
        <v>4</v>
      </c>
      <c r="AC23" s="79">
        <f t="shared" si="6"/>
        <v>40</v>
      </c>
      <c r="AD23" s="230">
        <f>IFERROR(VLOOKUP($A23,VENTAS!$H$2:$O$201,5,FALSE),"")</f>
        <v>8</v>
      </c>
      <c r="AE23" s="11">
        <f t="shared" si="7"/>
        <v>32</v>
      </c>
      <c r="AF23" s="270">
        <f>VLOOKUP($A23,INICIO!$A$5:$J$72,7,FALSE)</f>
        <v>32</v>
      </c>
      <c r="AG23" s="203">
        <f>IFERROR(AF23-AE23,"")</f>
        <v>0</v>
      </c>
      <c r="AH23" s="242">
        <f>IFERROR(IF(AG23&gt;0,"",AG23*VLOOKUP($A23,'VALOR I.'!$B$6:$K$418,10,FALSE)),"")</f>
        <v>0</v>
      </c>
      <c r="AI23" s="269">
        <f>VLOOKUP($A23,INICIO!$A$5:$J$72,7,FALSE)</f>
        <v>32</v>
      </c>
      <c r="AJ23" s="232">
        <f>VLOOKUP($A23,REPOSICIONES!$A$5:$J$72,7,FALSE)</f>
        <v>0</v>
      </c>
      <c r="AK23" s="79">
        <f t="shared" si="8"/>
        <v>32</v>
      </c>
      <c r="AL23" s="230">
        <f>IFERROR(VLOOKUP($A23,VENTAS!$H$2:$O$201,6,FALSE),"")</f>
        <v>4</v>
      </c>
      <c r="AM23" s="11">
        <f t="shared" si="9"/>
        <v>28</v>
      </c>
      <c r="AN23" s="270">
        <f>VLOOKUP($A23,INICIO!$A$5:$J$72,8,FALSE)</f>
        <v>28</v>
      </c>
      <c r="AO23" s="203">
        <f>IFERROR(AN23-AM23,"")</f>
        <v>0</v>
      </c>
      <c r="AP23" s="204">
        <f>IFERROR(IF(AO23&gt;0,"",AO23*VLOOKUP($A23,'VALOR I.'!$B$6:$K$418,10,FALSE)),"")</f>
        <v>0</v>
      </c>
      <c r="AQ23" s="269">
        <f>VLOOKUP($A23,INICIO!$A$5:$J$72,8,FALSE)</f>
        <v>28</v>
      </c>
      <c r="AR23" s="232">
        <f>VLOOKUP($A23,REPOSICIONES!$A$5:$J$72,8,FALSE)</f>
        <v>0</v>
      </c>
      <c r="AS23" s="79">
        <f t="shared" si="10"/>
        <v>28</v>
      </c>
      <c r="AT23" s="230">
        <f>IFERROR(VLOOKUP($A23,VENTAS!$H$2:$O$201,7,FALSE),"")</f>
        <v>0</v>
      </c>
      <c r="AU23" s="11">
        <f t="shared" si="11"/>
        <v>28</v>
      </c>
      <c r="AV23" s="270">
        <f>VLOOKUP($A23,INICIO!$A$5:$J$72,9,FALSE)</f>
        <v>28</v>
      </c>
      <c r="AW23" s="203">
        <f>IFERROR(AV23-AU23,"")</f>
        <v>0</v>
      </c>
      <c r="AX23" s="204">
        <f>IFERROR(IF(AW23&gt;0,"",AW23*VLOOKUP($A23,'VALOR I.'!$B$6:$K$418,10,FALSE)),"")</f>
        <v>0</v>
      </c>
      <c r="AY23" s="269"/>
      <c r="AZ23" s="232"/>
      <c r="BA23" s="79"/>
      <c r="BB23" s="230"/>
      <c r="BC23" s="11"/>
      <c r="BD23" s="270"/>
      <c r="BE23" s="203"/>
      <c r="BF23" s="204"/>
    </row>
    <row r="24" spans="1:58" x14ac:dyDescent="0.25">
      <c r="A24" s="3" t="s">
        <v>84</v>
      </c>
      <c r="B24" s="212" t="s">
        <v>12</v>
      </c>
      <c r="C24" s="239">
        <f>VLOOKUP($A24,INICIO!$A$5:$J$72,3,FALSE)</f>
        <v>0</v>
      </c>
      <c r="D24" s="9">
        <f>VLOOKUP($A24,REPOSICIONES!$A$5:$J$72,3,FALSE)</f>
        <v>0</v>
      </c>
      <c r="E24" s="79">
        <f t="shared" si="0"/>
        <v>0</v>
      </c>
      <c r="F24" s="80">
        <f>IFERROR(VLOOKUP($A24,VENTAS!$H$2:$O$201,2,FALSE),"")</f>
        <v>0</v>
      </c>
      <c r="G24" s="9">
        <f t="shared" si="1"/>
        <v>0</v>
      </c>
      <c r="H24" s="9">
        <f>VLOOKUP($A24,INICIO!$A$5:$J$72,4,FALSE)</f>
        <v>31</v>
      </c>
      <c r="I24" s="203">
        <f>IFERROR(H24-G24,"")</f>
        <v>31</v>
      </c>
      <c r="J24" s="242" t="str">
        <f>IFERROR(IF(I24&gt;0,"",I24*VLOOKUP($A24,'VALOR I.'!$B$6:$K$418,10,FALSE)),"")</f>
        <v/>
      </c>
      <c r="K24" s="276">
        <f>VLOOKUP($A24,INICIO!$A$5:$J$72,4,FALSE)</f>
        <v>31</v>
      </c>
      <c r="L24" s="232">
        <f>VLOOKUP($A24,REPOSICIONES!$A$5:$J$72,4,FALSE)</f>
        <v>0</v>
      </c>
      <c r="M24" s="79">
        <f t="shared" si="2"/>
        <v>31</v>
      </c>
      <c r="N24" s="230">
        <f>IFERROR(VLOOKUP($A24,VENTAS!$H$2:$O$201,3,FALSE),"")</f>
        <v>2</v>
      </c>
      <c r="O24" s="267">
        <f t="shared" si="3"/>
        <v>29</v>
      </c>
      <c r="P24" s="270">
        <f>VLOOKUP($A24,INICIO!$A$5:$J$72,5,FALSE)</f>
        <v>37</v>
      </c>
      <c r="Q24" s="203">
        <f>IFERROR(P24-O24,"")</f>
        <v>8</v>
      </c>
      <c r="R24" s="242" t="str">
        <f>IFERROR(IF(Q24&gt;0,"",Q24*VLOOKUP($A24,'VALOR I.'!$B$6:$K$418,10,FALSE)),"")</f>
        <v/>
      </c>
      <c r="S24" s="276">
        <f>VLOOKUP($A24,INICIO!$A$5:$J$72,5,FALSE)</f>
        <v>37</v>
      </c>
      <c r="T24" s="232">
        <f>VLOOKUP($A24,REPOSICIONES!$A$5:$J$72,5,FALSE)</f>
        <v>0</v>
      </c>
      <c r="U24" s="79">
        <f t="shared" si="4"/>
        <v>37</v>
      </c>
      <c r="V24" s="230">
        <f>IFERROR(VLOOKUP($A24,VENTAS!$H$2:$O$201,4,FALSE),"")</f>
        <v>6</v>
      </c>
      <c r="W24" s="11">
        <f t="shared" si="5"/>
        <v>31</v>
      </c>
      <c r="X24" s="270">
        <f>VLOOKUP($A24,INICIO!$A$5:$J$72,6,FALSE)</f>
        <v>31</v>
      </c>
      <c r="Y24" s="203">
        <f>IFERROR(X24-W24,"")</f>
        <v>0</v>
      </c>
      <c r="Z24" s="242">
        <f>IFERROR(IF(Y24&gt;0,"",Y24*VLOOKUP($A24,'VALOR I.'!$B$6:$K$418,10,FALSE)),"")</f>
        <v>0</v>
      </c>
      <c r="AA24" s="276">
        <f>VLOOKUP($A24,INICIO!$A$5:$J$72,6,FALSE)</f>
        <v>31</v>
      </c>
      <c r="AB24" s="232">
        <f>VLOOKUP($A24,REPOSICIONES!$A$5:$J$72,6,FALSE)</f>
        <v>0</v>
      </c>
      <c r="AC24" s="79">
        <f t="shared" si="6"/>
        <v>31</v>
      </c>
      <c r="AD24" s="230">
        <f>IFERROR(VLOOKUP($A24,VENTAS!$H$2:$O$201,5,FALSE),"")</f>
        <v>4</v>
      </c>
      <c r="AE24" s="11">
        <f t="shared" si="7"/>
        <v>27</v>
      </c>
      <c r="AF24" s="270">
        <f>VLOOKUP($A24,INICIO!$A$5:$J$72,7,FALSE)</f>
        <v>27</v>
      </c>
      <c r="AG24" s="203">
        <f>IFERROR(AF24-AE24,"")</f>
        <v>0</v>
      </c>
      <c r="AH24" s="242">
        <f>IFERROR(IF(AG24&gt;0,"",AG24*VLOOKUP($A24,'VALOR I.'!$B$6:$K$418,10,FALSE)),"")</f>
        <v>0</v>
      </c>
      <c r="AI24" s="269">
        <f>VLOOKUP($A24,INICIO!$A$5:$J$72,7,FALSE)</f>
        <v>27</v>
      </c>
      <c r="AJ24" s="232">
        <f>VLOOKUP($A24,REPOSICIONES!$A$5:$J$72,7,FALSE)</f>
        <v>0</v>
      </c>
      <c r="AK24" s="79">
        <f t="shared" si="8"/>
        <v>27</v>
      </c>
      <c r="AL24" s="230">
        <f>IFERROR(VLOOKUP($A24,VENTAS!$H$2:$O$201,6,FALSE),"")</f>
        <v>2</v>
      </c>
      <c r="AM24" s="11">
        <f t="shared" si="9"/>
        <v>25</v>
      </c>
      <c r="AN24" s="270">
        <f>VLOOKUP($A24,INICIO!$A$5:$J$72,8,FALSE)</f>
        <v>34</v>
      </c>
      <c r="AO24" s="203">
        <f>IFERROR(AN24-AM24,"")</f>
        <v>9</v>
      </c>
      <c r="AP24" s="204" t="str">
        <f>IFERROR(IF(AO24&gt;0,"",AO24*VLOOKUP($A24,'VALOR I.'!$B$6:$K$418,10,FALSE)),"")</f>
        <v/>
      </c>
      <c r="AQ24" s="269">
        <f>VLOOKUP($A24,INICIO!$A$5:$J$72,8,FALSE)</f>
        <v>34</v>
      </c>
      <c r="AR24" s="232">
        <f>VLOOKUP($A24,REPOSICIONES!$A$5:$J$72,8,FALSE)</f>
        <v>0</v>
      </c>
      <c r="AS24" s="79">
        <f t="shared" si="10"/>
        <v>34</v>
      </c>
      <c r="AT24" s="230">
        <f>IFERROR(VLOOKUP($A24,VENTAS!$H$2:$O$201,7,FALSE),"")</f>
        <v>2</v>
      </c>
      <c r="AU24" s="11">
        <f t="shared" si="11"/>
        <v>32</v>
      </c>
      <c r="AV24" s="270">
        <f>VLOOKUP($A24,INICIO!$A$5:$J$72,9,FALSE)</f>
        <v>23</v>
      </c>
      <c r="AW24" s="203">
        <f>IFERROR(AV24-AU24,"")</f>
        <v>-9</v>
      </c>
      <c r="AX24" s="204">
        <f>IFERROR(IF(AW24&gt;0,"",AW24*VLOOKUP($A24,'VALOR I.'!$B$6:$K$418,10,FALSE)),"")</f>
        <v>-8953.56</v>
      </c>
      <c r="AY24" s="269"/>
      <c r="AZ24" s="232"/>
      <c r="BA24" s="79"/>
      <c r="BB24" s="230"/>
      <c r="BC24" s="11"/>
      <c r="BD24" s="270"/>
      <c r="BE24" s="203"/>
      <c r="BF24" s="204"/>
    </row>
    <row r="25" spans="1:58" x14ac:dyDescent="0.25">
      <c r="A25" s="3" t="s">
        <v>85</v>
      </c>
      <c r="B25" s="214" t="s">
        <v>11</v>
      </c>
      <c r="C25" s="239">
        <f>VLOOKUP($A25,INICIO!$A$5:$J$72,3,FALSE)</f>
        <v>0</v>
      </c>
      <c r="D25" s="9">
        <f>VLOOKUP($A25,REPOSICIONES!$A$5:$J$72,3,FALSE)</f>
        <v>0</v>
      </c>
      <c r="E25" s="79">
        <f t="shared" si="0"/>
        <v>0</v>
      </c>
      <c r="F25" s="80">
        <f>IFERROR(VLOOKUP($A25,VENTAS!$H$2:$O$201,2,FALSE),"")</f>
        <v>0</v>
      </c>
      <c r="G25" s="9">
        <f t="shared" si="1"/>
        <v>0</v>
      </c>
      <c r="H25" s="9">
        <f>VLOOKUP($A25,INICIO!$A$5:$J$72,4,FALSE)</f>
        <v>27</v>
      </c>
      <c r="I25" s="203">
        <f>IFERROR(H25-G25,"")</f>
        <v>27</v>
      </c>
      <c r="J25" s="242" t="str">
        <f>IFERROR(IF(I25&gt;0,"",I25*VLOOKUP($A25,'VALOR I.'!$B$6:$K$418,10,FALSE)),"")</f>
        <v/>
      </c>
      <c r="K25" s="276">
        <f>VLOOKUP($A25,INICIO!$A$5:$J$72,4,FALSE)</f>
        <v>27</v>
      </c>
      <c r="L25" s="232">
        <f>VLOOKUP($A25,REPOSICIONES!$A$5:$J$72,4,FALSE)</f>
        <v>5</v>
      </c>
      <c r="M25" s="79">
        <f t="shared" si="2"/>
        <v>32</v>
      </c>
      <c r="N25" s="230">
        <f>IFERROR(VLOOKUP($A25,VENTAS!$H$2:$O$201,3,FALSE),"")</f>
        <v>0</v>
      </c>
      <c r="O25" s="267">
        <f t="shared" si="3"/>
        <v>32</v>
      </c>
      <c r="P25" s="270">
        <f>VLOOKUP($A25,INICIO!$A$5:$J$72,5,FALSE)</f>
        <v>37</v>
      </c>
      <c r="Q25" s="203">
        <f>IFERROR(P25-O25,"")</f>
        <v>5</v>
      </c>
      <c r="R25" s="242" t="str">
        <f>IFERROR(IF(Q25&gt;0,"",Q25*VLOOKUP($A25,'VALOR I.'!$B$6:$K$418,10,FALSE)),"")</f>
        <v/>
      </c>
      <c r="S25" s="276">
        <f>VLOOKUP($A25,INICIO!$A$5:$J$72,5,FALSE)</f>
        <v>37</v>
      </c>
      <c r="T25" s="232">
        <f>VLOOKUP($A25,REPOSICIONES!$A$5:$J$72,5,FALSE)</f>
        <v>0</v>
      </c>
      <c r="U25" s="79">
        <f t="shared" si="4"/>
        <v>37</v>
      </c>
      <c r="V25" s="230">
        <f>IFERROR(VLOOKUP($A25,VENTAS!$H$2:$O$201,4,FALSE),"")</f>
        <v>6</v>
      </c>
      <c r="W25" s="11">
        <f t="shared" si="5"/>
        <v>31</v>
      </c>
      <c r="X25" s="270">
        <f>VLOOKUP($A25,INICIO!$A$5:$J$72,6,FALSE)</f>
        <v>30</v>
      </c>
      <c r="Y25" s="203">
        <f>IFERROR(X25-W25,"")</f>
        <v>-1</v>
      </c>
      <c r="Z25" s="242">
        <f>IFERROR(IF(Y25&gt;0,"",Y25*VLOOKUP($A25,'VALOR I.'!$B$6:$K$418,10,FALSE)),"")</f>
        <v>-994.84</v>
      </c>
      <c r="AA25" s="276">
        <f>VLOOKUP($A25,INICIO!$A$5:$J$72,6,FALSE)</f>
        <v>30</v>
      </c>
      <c r="AB25" s="232">
        <f>VLOOKUP($A25,REPOSICIONES!$A$5:$J$72,6,FALSE)</f>
        <v>10</v>
      </c>
      <c r="AC25" s="79">
        <f t="shared" si="6"/>
        <v>40</v>
      </c>
      <c r="AD25" s="230">
        <f>IFERROR(VLOOKUP($A25,VENTAS!$H$2:$O$201,5,FALSE),"")</f>
        <v>1</v>
      </c>
      <c r="AE25" s="11">
        <f t="shared" si="7"/>
        <v>39</v>
      </c>
      <c r="AF25" s="270">
        <f>VLOOKUP($A25,INICIO!$A$5:$J$72,7,FALSE)</f>
        <v>39</v>
      </c>
      <c r="AG25" s="203">
        <f>IFERROR(AF25-AE25,"")</f>
        <v>0</v>
      </c>
      <c r="AH25" s="242">
        <f>IFERROR(IF(AG25&gt;0,"",AG25*VLOOKUP($A25,'VALOR I.'!$B$6:$K$418,10,FALSE)),"")</f>
        <v>0</v>
      </c>
      <c r="AI25" s="269">
        <f>VLOOKUP($A25,INICIO!$A$5:$J$72,7,FALSE)</f>
        <v>39</v>
      </c>
      <c r="AJ25" s="232">
        <f>VLOOKUP($A25,REPOSICIONES!$A$5:$J$72,7,FALSE)</f>
        <v>0</v>
      </c>
      <c r="AK25" s="79">
        <f t="shared" si="8"/>
        <v>39</v>
      </c>
      <c r="AL25" s="230">
        <f>IFERROR(VLOOKUP($A25,VENTAS!$H$2:$O$201,6,FALSE),"")</f>
        <v>13</v>
      </c>
      <c r="AM25" s="11">
        <f t="shared" si="9"/>
        <v>26</v>
      </c>
      <c r="AN25" s="270">
        <f>VLOOKUP($A25,INICIO!$A$5:$J$72,8,FALSE)</f>
        <v>30</v>
      </c>
      <c r="AO25" s="203">
        <f>IFERROR(AN25-AM25,"")</f>
        <v>4</v>
      </c>
      <c r="AP25" s="204" t="str">
        <f>IFERROR(IF(AO25&gt;0,"",AO25*VLOOKUP($A25,'VALOR I.'!$B$6:$K$418,10,FALSE)),"")</f>
        <v/>
      </c>
      <c r="AQ25" s="269">
        <f>VLOOKUP($A25,INICIO!$A$5:$J$72,8,FALSE)</f>
        <v>30</v>
      </c>
      <c r="AR25" s="232">
        <f>VLOOKUP($A25,REPOSICIONES!$A$5:$J$72,8,FALSE)</f>
        <v>10</v>
      </c>
      <c r="AS25" s="79">
        <f t="shared" si="10"/>
        <v>40</v>
      </c>
      <c r="AT25" s="230">
        <f>IFERROR(VLOOKUP($A25,VENTAS!$H$2:$O$201,7,FALSE),"")</f>
        <v>18</v>
      </c>
      <c r="AU25" s="11">
        <f t="shared" si="11"/>
        <v>22</v>
      </c>
      <c r="AV25" s="270">
        <f>VLOOKUP($A25,INICIO!$A$5:$J$72,9,FALSE)</f>
        <v>12</v>
      </c>
      <c r="AW25" s="203">
        <f>IFERROR(AV25-AU25,"")</f>
        <v>-10</v>
      </c>
      <c r="AX25" s="204">
        <f>IFERROR(IF(AW25&gt;0,"",AW25*VLOOKUP($A25,'VALOR I.'!$B$6:$K$418,10,FALSE)),"")</f>
        <v>-9948.4</v>
      </c>
      <c r="AY25" s="269"/>
      <c r="AZ25" s="232"/>
      <c r="BA25" s="79"/>
      <c r="BB25" s="230"/>
      <c r="BC25" s="11"/>
      <c r="BD25" s="270"/>
      <c r="BE25" s="203"/>
      <c r="BF25" s="204"/>
    </row>
    <row r="26" spans="1:58" x14ac:dyDescent="0.25">
      <c r="A26" s="3" t="s">
        <v>86</v>
      </c>
      <c r="B26" s="214" t="s">
        <v>43</v>
      </c>
      <c r="C26" s="239">
        <f>VLOOKUP($A26,INICIO!$A$5:$J$72,3,FALSE)</f>
        <v>0</v>
      </c>
      <c r="D26" s="9">
        <f>VLOOKUP($A26,REPOSICIONES!$A$5:$J$72,3,FALSE)</f>
        <v>0</v>
      </c>
      <c r="E26" s="79">
        <f t="shared" si="0"/>
        <v>0</v>
      </c>
      <c r="F26" s="80">
        <f>IFERROR(VLOOKUP($A26,VENTAS!$H$2:$O$201,2,FALSE),"")</f>
        <v>0</v>
      </c>
      <c r="G26" s="9">
        <f t="shared" si="1"/>
        <v>0</v>
      </c>
      <c r="H26" s="9">
        <f>VLOOKUP($A26,INICIO!$A$5:$J$72,4,FALSE)</f>
        <v>14</v>
      </c>
      <c r="I26" s="203">
        <f>IFERROR(H26-G26,"")</f>
        <v>14</v>
      </c>
      <c r="J26" s="242" t="str">
        <f>IFERROR(IF(I26&gt;0,"",I26*VLOOKUP($A26,'VALOR I.'!$B$6:$K$418,10,FALSE)),"")</f>
        <v/>
      </c>
      <c r="K26" s="276">
        <f>VLOOKUP($A26,INICIO!$A$5:$J$72,4,FALSE)</f>
        <v>14</v>
      </c>
      <c r="L26" s="232">
        <f>VLOOKUP($A26,REPOSICIONES!$A$5:$J$72,4,FALSE)</f>
        <v>3</v>
      </c>
      <c r="M26" s="79">
        <f t="shared" si="2"/>
        <v>17</v>
      </c>
      <c r="N26" s="230">
        <f>IFERROR(VLOOKUP($A26,VENTAS!$H$2:$O$201,3,FALSE),"")</f>
        <v>0</v>
      </c>
      <c r="O26" s="267">
        <f t="shared" si="3"/>
        <v>17</v>
      </c>
      <c r="P26" s="270">
        <f>VLOOKUP($A26,INICIO!$A$5:$J$72,5,FALSE)</f>
        <v>14</v>
      </c>
      <c r="Q26" s="203">
        <f>IFERROR(P26-O26,"")</f>
        <v>-3</v>
      </c>
      <c r="R26" s="242">
        <f>IFERROR(IF(Q26&gt;0,"",Q26*VLOOKUP($A26,'VALOR I.'!$B$6:$K$418,10,FALSE)),"")</f>
        <v>-11413.29</v>
      </c>
      <c r="S26" s="276">
        <f>VLOOKUP($A26,INICIO!$A$5:$J$72,5,FALSE)</f>
        <v>14</v>
      </c>
      <c r="T26" s="232">
        <f>VLOOKUP($A26,REPOSICIONES!$A$5:$J$72,5,FALSE)</f>
        <v>0</v>
      </c>
      <c r="U26" s="79">
        <f t="shared" si="4"/>
        <v>14</v>
      </c>
      <c r="V26" s="230">
        <f>IFERROR(VLOOKUP($A26,VENTAS!$H$2:$O$201,4,FALSE),"")</f>
        <v>2</v>
      </c>
      <c r="W26" s="11">
        <f t="shared" si="5"/>
        <v>12</v>
      </c>
      <c r="X26" s="270">
        <f>VLOOKUP($A26,INICIO!$A$5:$J$72,6,FALSE)</f>
        <v>11</v>
      </c>
      <c r="Y26" s="203">
        <f>IFERROR(X26-W26,"")</f>
        <v>-1</v>
      </c>
      <c r="Z26" s="242">
        <f>IFERROR(IF(Y26&gt;0,"",Y26*VLOOKUP($A26,'VALOR I.'!$B$6:$K$418,10,FALSE)),"")</f>
        <v>-3804.4300000000003</v>
      </c>
      <c r="AA26" s="276">
        <f>VLOOKUP($A26,INICIO!$A$5:$J$72,6,FALSE)</f>
        <v>11</v>
      </c>
      <c r="AB26" s="232">
        <f>VLOOKUP($A26,REPOSICIONES!$A$5:$J$72,6,FALSE)</f>
        <v>4</v>
      </c>
      <c r="AC26" s="79">
        <f t="shared" si="6"/>
        <v>15</v>
      </c>
      <c r="AD26" s="230">
        <f>IFERROR(VLOOKUP($A26,VENTAS!$H$2:$O$201,5,FALSE),"")</f>
        <v>2</v>
      </c>
      <c r="AE26" s="11">
        <f t="shared" si="7"/>
        <v>13</v>
      </c>
      <c r="AF26" s="270">
        <f>VLOOKUP($A26,INICIO!$A$5:$J$72,7,FALSE)</f>
        <v>12</v>
      </c>
      <c r="AG26" s="203">
        <f>IFERROR(AF26-AE26,"")</f>
        <v>-1</v>
      </c>
      <c r="AH26" s="242">
        <f>IFERROR(IF(AG26&gt;0,"",AG26*VLOOKUP($A26,'VALOR I.'!$B$6:$K$418,10,FALSE)),"")</f>
        <v>-3804.4300000000003</v>
      </c>
      <c r="AI26" s="269">
        <f>VLOOKUP($A26,INICIO!$A$5:$J$72,7,FALSE)</f>
        <v>12</v>
      </c>
      <c r="AJ26" s="232">
        <f>VLOOKUP($A26,REPOSICIONES!$A$5:$J$72,7,FALSE)</f>
        <v>3</v>
      </c>
      <c r="AK26" s="79">
        <f t="shared" si="8"/>
        <v>15</v>
      </c>
      <c r="AL26" s="230">
        <f>IFERROR(VLOOKUP($A26,VENTAS!$H$2:$O$201,6,FALSE),"")</f>
        <v>2</v>
      </c>
      <c r="AM26" s="11">
        <f t="shared" si="9"/>
        <v>13</v>
      </c>
      <c r="AN26" s="270">
        <f>VLOOKUP($A26,INICIO!$A$5:$J$72,8,FALSE)</f>
        <v>12</v>
      </c>
      <c r="AO26" s="203">
        <f>IFERROR(AN26-AM26,"")</f>
        <v>-1</v>
      </c>
      <c r="AP26" s="204">
        <f>IFERROR(IF(AO26&gt;0,"",AO26*VLOOKUP($A26,'VALOR I.'!$B$6:$K$418,10,FALSE)),"")</f>
        <v>-3804.4300000000003</v>
      </c>
      <c r="AQ26" s="269">
        <f>VLOOKUP($A26,INICIO!$A$5:$J$72,8,FALSE)</f>
        <v>12</v>
      </c>
      <c r="AR26" s="232">
        <f>VLOOKUP($A26,REPOSICIONES!$A$5:$J$72,8,FALSE)</f>
        <v>3</v>
      </c>
      <c r="AS26" s="79">
        <f t="shared" si="10"/>
        <v>15</v>
      </c>
      <c r="AT26" s="230">
        <f>IFERROR(VLOOKUP($A26,VENTAS!$H$2:$O$201,7,FALSE),"")</f>
        <v>6</v>
      </c>
      <c r="AU26" s="11">
        <f t="shared" si="11"/>
        <v>9</v>
      </c>
      <c r="AV26" s="270">
        <f>VLOOKUP($A26,INICIO!$A$5:$J$72,9,FALSE)</f>
        <v>8</v>
      </c>
      <c r="AW26" s="203">
        <f>IFERROR(AV26-AU26,"")</f>
        <v>-1</v>
      </c>
      <c r="AX26" s="204">
        <f>IFERROR(IF(AW26&gt;0,"",AW26*VLOOKUP($A26,'VALOR I.'!$B$6:$K$418,10,FALSE)),"")</f>
        <v>-3804.4300000000003</v>
      </c>
      <c r="AY26" s="269"/>
      <c r="AZ26" s="232"/>
      <c r="BA26" s="79"/>
      <c r="BB26" s="230"/>
      <c r="BC26" s="11"/>
      <c r="BD26" s="270"/>
      <c r="BE26" s="203"/>
      <c r="BF26" s="204"/>
    </row>
    <row r="27" spans="1:58" s="1" customFormat="1" x14ac:dyDescent="0.25">
      <c r="A27" s="69"/>
      <c r="B27" s="217" t="s">
        <v>31</v>
      </c>
      <c r="C27" s="271"/>
      <c r="D27" s="55"/>
      <c r="E27" s="55"/>
      <c r="F27" s="55"/>
      <c r="G27" s="55"/>
      <c r="H27" s="55"/>
      <c r="I27" s="55"/>
      <c r="J27" s="272"/>
      <c r="K27" s="271"/>
      <c r="L27" s="55"/>
      <c r="M27" s="55"/>
      <c r="N27" s="55"/>
      <c r="O27" s="55"/>
      <c r="P27" s="55"/>
      <c r="Q27" s="55"/>
      <c r="R27" s="272"/>
      <c r="S27" s="271"/>
      <c r="T27" s="55"/>
      <c r="U27" s="55"/>
      <c r="V27" s="55"/>
      <c r="W27" s="55"/>
      <c r="X27" s="55"/>
      <c r="Y27" s="55"/>
      <c r="Z27" s="272"/>
      <c r="AA27" s="271"/>
      <c r="AB27" s="55"/>
      <c r="AC27" s="55"/>
      <c r="AD27" s="55"/>
      <c r="AE27" s="55"/>
      <c r="AF27" s="55"/>
      <c r="AG27" s="55"/>
      <c r="AH27" s="272"/>
      <c r="AI27" s="220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</row>
    <row r="28" spans="1:58" ht="15.75" hidden="1" customHeight="1" x14ac:dyDescent="0.25">
      <c r="B28" s="279"/>
      <c r="C28" s="239" t="e">
        <f>VLOOKUP($A28,INICIO!$A$5:$J$72,3,FALSE)</f>
        <v>#N/A</v>
      </c>
      <c r="D28" s="9" t="e">
        <f>VLOOKUP($A28,REPOSICIONES!$A$5:$J$72,3,FALSE)</f>
        <v>#N/A</v>
      </c>
      <c r="E28" s="79" t="e">
        <f t="shared" si="0"/>
        <v>#N/A</v>
      </c>
      <c r="F28" s="80" t="str">
        <f>IFERROR(VLOOKUP($A28,VENTAS!$H$2:$O$201,2,FALSE),"")</f>
        <v/>
      </c>
      <c r="G28" s="9" t="str">
        <f t="shared" si="1"/>
        <v/>
      </c>
      <c r="H28" s="9" t="e">
        <f>VLOOKUP($A28,INICIO!$A$5:$J$72,4,FALSE)</f>
        <v>#N/A</v>
      </c>
      <c r="I28" s="227"/>
      <c r="J28" s="289" t="str">
        <f>IFERROR(IF(I28&gt;0,"",I28*VLOOKUP($A28,'VALOR I.'!$B$6:$K$418,10,FALSE)),"")</f>
        <v/>
      </c>
      <c r="K28" s="276" t="e">
        <f>VLOOKUP($A28,INICIO!$A$5:$J$72,4,FALSE)</f>
        <v>#N/A</v>
      </c>
      <c r="L28" s="232" t="e">
        <f>VLOOKUP($A28,REPOSICIONES!$A$5:$J$72,4,FALSE)</f>
        <v>#N/A</v>
      </c>
      <c r="M28" s="79" t="e">
        <f t="shared" si="2"/>
        <v>#N/A</v>
      </c>
      <c r="N28" s="230" t="str">
        <f>IFERROR(VLOOKUP($A28,VENTAS!$H$2:$O$201,3,FALSE),"")</f>
        <v/>
      </c>
      <c r="O28" s="267" t="str">
        <f t="shared" si="3"/>
        <v/>
      </c>
      <c r="P28" s="270" t="e">
        <f>VLOOKUP($A28,INICIO!$A$5:$J$72,5,FALSE)</f>
        <v>#N/A</v>
      </c>
      <c r="Q28" s="11"/>
      <c r="R28" s="242" t="str">
        <f>IFERROR(IF(Q28&gt;0,"",Q28*VLOOKUP($A28,'VALOR I.'!$B$6:$K$418,10,FALSE)),"")</f>
        <v/>
      </c>
      <c r="S28" s="276" t="e">
        <f>VLOOKUP($A28,INICIO!$A$5:$J$72,5,FALSE)</f>
        <v>#N/A</v>
      </c>
      <c r="T28" s="232" t="e">
        <f>VLOOKUP($A28,REPOSICIONES!$A$5:$J$72,5,FALSE)</f>
        <v>#N/A</v>
      </c>
      <c r="U28" s="79" t="e">
        <f t="shared" si="4"/>
        <v>#N/A</v>
      </c>
      <c r="V28" s="230" t="str">
        <f>IFERROR(VLOOKUP($A28,VENTAS!$H$2:$O$201,4,FALSE),"")</f>
        <v/>
      </c>
      <c r="W28" s="11" t="str">
        <f t="shared" si="5"/>
        <v/>
      </c>
      <c r="X28" s="270" t="e">
        <f>VLOOKUP($A28,INICIO!$A$5:$J$72,6,FALSE)</f>
        <v>#N/A</v>
      </c>
      <c r="Y28" s="11"/>
      <c r="Z28" s="242" t="str">
        <f>IFERROR(IF(Y28&gt;0,"",Y28*VLOOKUP($A28,'VALOR I.'!$B$6:$K$418,10,FALSE)),"")</f>
        <v/>
      </c>
      <c r="AA28" s="276" t="e">
        <f>VLOOKUP($A28,INICIO!$A$5:$J$72,6,FALSE)</f>
        <v>#N/A</v>
      </c>
      <c r="AB28" s="232" t="e">
        <f>VLOOKUP($A28,REPOSICIONES!$A$5:$J$72,6,FALSE)</f>
        <v>#N/A</v>
      </c>
      <c r="AC28" s="79" t="e">
        <f t="shared" si="6"/>
        <v>#N/A</v>
      </c>
      <c r="AD28" s="230" t="str">
        <f>IFERROR(VLOOKUP($A28,VENTAS!$H$2:$O$201,5,FALSE),"")</f>
        <v/>
      </c>
      <c r="AE28" s="11" t="str">
        <f t="shared" si="7"/>
        <v/>
      </c>
      <c r="AF28" s="270" t="e">
        <f>VLOOKUP($A28,INICIO!$A$5:$J$72,7,FALSE)</f>
        <v>#N/A</v>
      </c>
      <c r="AG28" s="11"/>
      <c r="AH28" s="242" t="str">
        <f>IFERROR(IF(AG28&gt;0,"",AG28*VLOOKUP($A28,'VALOR I.'!$B$6:$K$418,10,FALSE)),"")</f>
        <v/>
      </c>
      <c r="AI28" s="269" t="e">
        <f>VLOOKUP($A28,INICIO!$A$5:$J$72,7,FALSE)</f>
        <v>#N/A</v>
      </c>
      <c r="AJ28" s="232" t="e">
        <f>VLOOKUP($A28,REPOSICIONES!$A$5:$J$72,7,FALSE)</f>
        <v>#N/A</v>
      </c>
      <c r="AK28" s="79" t="e">
        <f t="shared" si="8"/>
        <v>#N/A</v>
      </c>
      <c r="AL28" s="230" t="str">
        <f>IFERROR(VLOOKUP($A28,VENTAS!$H$2:$O$201,6,FALSE),"")</f>
        <v/>
      </c>
      <c r="AM28" s="11" t="str">
        <f t="shared" si="9"/>
        <v/>
      </c>
      <c r="AN28" s="270" t="e">
        <f>VLOOKUP($A28,INICIO!$A$5:$J$72,8,FALSE)</f>
        <v>#N/A</v>
      </c>
      <c r="AO28" s="11"/>
      <c r="AP28" s="204" t="str">
        <f>IFERROR(IF(AO28&gt;0,"",AO28*VLOOKUP($A28,'VALOR I.'!$B$6:$K$418,10,FALSE)),"")</f>
        <v/>
      </c>
      <c r="AQ28" s="269" t="e">
        <f>VLOOKUP($A28,INICIO!$A$5:$J$72,8,FALSE)</f>
        <v>#N/A</v>
      </c>
      <c r="AR28" s="232" t="e">
        <f>VLOOKUP($A28,REPOSICIONES!$A$5:$J$72,8,FALSE)</f>
        <v>#N/A</v>
      </c>
      <c r="AS28" s="79" t="e">
        <f t="shared" si="10"/>
        <v>#N/A</v>
      </c>
      <c r="AT28" s="230" t="str">
        <f>IFERROR(VLOOKUP($A28,VENTAS!$H$2:$O$201,7,FALSE),"")</f>
        <v/>
      </c>
      <c r="AU28" s="11" t="str">
        <f t="shared" si="11"/>
        <v/>
      </c>
      <c r="AV28" s="270" t="e">
        <f>VLOOKUP($A28,INICIO!$A$5:$J$72,9,FALSE)</f>
        <v>#N/A</v>
      </c>
      <c r="AW28" s="11"/>
      <c r="AX28" s="204" t="str">
        <f>IFERROR(IF(AW28&gt;0,"",AW28*VLOOKUP($A28,'VALOR I.'!$B$6:$K$418,10,FALSE)),"")</f>
        <v/>
      </c>
      <c r="AY28" s="269" t="e">
        <f>VLOOKUP($A28,INICIO!$A$5:$J$72,9,FALSE)</f>
        <v>#N/A</v>
      </c>
      <c r="AZ28" s="232" t="e">
        <f>VLOOKUP($A28,REPOSICIONES!$A$5:$J$72,9,FALSE)</f>
        <v>#N/A</v>
      </c>
      <c r="BA28" s="79" t="e">
        <f t="shared" si="18"/>
        <v>#N/A</v>
      </c>
      <c r="BB28" s="230" t="str">
        <f>IFERROR(VLOOKUP($A28,VENTAS!$H$2:$O$201,8,FALSE),"")</f>
        <v/>
      </c>
      <c r="BC28" s="11" t="str">
        <f t="shared" si="19"/>
        <v/>
      </c>
      <c r="BD28" s="270" t="e">
        <f>VLOOKUP($A28,INICIO!$A$5:$J$72,10,FALSE)</f>
        <v>#N/A</v>
      </c>
      <c r="BE28" s="11"/>
      <c r="BF28" s="204" t="str">
        <f>IFERROR(IF(BE28&gt;0,"",BE28*VLOOKUP($A28,'VALOR I.'!$B$6:$K$418,10,FALSE)),"")</f>
        <v/>
      </c>
    </row>
    <row r="29" spans="1:58" x14ac:dyDescent="0.25">
      <c r="A29" s="3" t="s">
        <v>88</v>
      </c>
      <c r="B29" s="214" t="s">
        <v>59</v>
      </c>
      <c r="C29" s="239">
        <f>VLOOKUP($A29,INICIO!$A$5:$J$72,3,FALSE)</f>
        <v>0</v>
      </c>
      <c r="D29" s="9">
        <f>VLOOKUP($A29,REPOSICIONES!$A$5:$J$72,3,FALSE)</f>
        <v>0</v>
      </c>
      <c r="E29" s="79">
        <f t="shared" si="0"/>
        <v>0</v>
      </c>
      <c r="F29" s="80">
        <f>IFERROR(VLOOKUP($A29,VENTAS!$H$2:$O$201,2,FALSE),"")</f>
        <v>0</v>
      </c>
      <c r="G29" s="9">
        <f t="shared" si="1"/>
        <v>0</v>
      </c>
      <c r="H29" s="9">
        <f>VLOOKUP($A29,INICIO!$A$5:$J$72,4,FALSE)</f>
        <v>27</v>
      </c>
      <c r="I29" s="203">
        <f t="shared" ref="I29:I30" si="30">IFERROR(H29-G29,"")</f>
        <v>27</v>
      </c>
      <c r="J29" s="242" t="str">
        <f>IFERROR(IF(I29&gt;0,"",I29*VLOOKUP($A29,'VALOR I.'!$B$6:$K$418,10,FALSE)),"")</f>
        <v/>
      </c>
      <c r="K29" s="276">
        <f>VLOOKUP($A29,INICIO!$A$5:$J$72,4,FALSE)</f>
        <v>27</v>
      </c>
      <c r="L29" s="232">
        <f>VLOOKUP($A29,REPOSICIONES!$A$5:$J$72,4,FALSE)</f>
        <v>0</v>
      </c>
      <c r="M29" s="79">
        <f t="shared" si="2"/>
        <v>27</v>
      </c>
      <c r="N29" s="230">
        <f>IFERROR(VLOOKUP($A29,VENTAS!$H$2:$O$201,3,FALSE),"")</f>
        <v>3</v>
      </c>
      <c r="O29" s="267">
        <f t="shared" si="3"/>
        <v>24</v>
      </c>
      <c r="P29" s="270">
        <f>VLOOKUP($A29,INICIO!$A$5:$J$72,5,FALSE)</f>
        <v>25</v>
      </c>
      <c r="Q29" s="203">
        <f t="shared" ref="Q29:Q30" si="31">IFERROR(P29-O29,"")</f>
        <v>1</v>
      </c>
      <c r="R29" s="242" t="str">
        <f>IFERROR(IF(Q29&gt;0,"",Q29*VLOOKUP($A29,'VALOR I.'!$B$6:$K$418,10,FALSE)),"")</f>
        <v/>
      </c>
      <c r="S29" s="276">
        <f>VLOOKUP($A29,INICIO!$A$5:$J$72,5,FALSE)</f>
        <v>25</v>
      </c>
      <c r="T29" s="232">
        <f>VLOOKUP($A29,REPOSICIONES!$A$5:$J$72,5,FALSE)</f>
        <v>0</v>
      </c>
      <c r="U29" s="79">
        <f t="shared" si="4"/>
        <v>25</v>
      </c>
      <c r="V29" s="230">
        <f>IFERROR(VLOOKUP($A29,VENTAS!$H$2:$O$201,4,FALSE),"")</f>
        <v>3</v>
      </c>
      <c r="W29" s="11">
        <f t="shared" si="5"/>
        <v>22</v>
      </c>
      <c r="X29" s="270">
        <f>VLOOKUP($A29,INICIO!$A$5:$J$72,6,FALSE)</f>
        <v>22</v>
      </c>
      <c r="Y29" s="203">
        <f t="shared" ref="Y29:Y30" si="32">IFERROR(X29-W29,"")</f>
        <v>0</v>
      </c>
      <c r="Z29" s="242">
        <f>IFERROR(IF(Y29&gt;0,"",Y29*VLOOKUP($A29,'VALOR I.'!$B$6:$K$418,10,FALSE)),"")</f>
        <v>0</v>
      </c>
      <c r="AA29" s="276">
        <f>VLOOKUP($A29,INICIO!$A$5:$J$72,6,FALSE)</f>
        <v>22</v>
      </c>
      <c r="AB29" s="232">
        <f>VLOOKUP($A29,REPOSICIONES!$A$5:$J$72,6,FALSE)</f>
        <v>0</v>
      </c>
      <c r="AC29" s="79">
        <f t="shared" si="6"/>
        <v>22</v>
      </c>
      <c r="AD29" s="230">
        <f>IFERROR(VLOOKUP($A29,VENTAS!$H$2:$O$201,5,FALSE),"")</f>
        <v>11</v>
      </c>
      <c r="AE29" s="11">
        <f t="shared" si="7"/>
        <v>11</v>
      </c>
      <c r="AF29" s="270">
        <f>VLOOKUP($A29,INICIO!$A$5:$J$72,7,FALSE)</f>
        <v>22</v>
      </c>
      <c r="AG29" s="203">
        <f t="shared" ref="AG29:AG30" si="33">IFERROR(AF29-AE29,"")</f>
        <v>11</v>
      </c>
      <c r="AH29" s="242" t="str">
        <f>IFERROR(IF(AG29&gt;0,"",AG29*VLOOKUP($A29,'VALOR I.'!$B$6:$K$418,10,FALSE)),"")</f>
        <v/>
      </c>
      <c r="AI29" s="269">
        <f>VLOOKUP($A29,INICIO!$A$5:$J$72,7,FALSE)</f>
        <v>22</v>
      </c>
      <c r="AJ29" s="232">
        <f>VLOOKUP($A29,REPOSICIONES!$A$5:$J$72,7,FALSE)</f>
        <v>8</v>
      </c>
      <c r="AK29" s="79">
        <f t="shared" si="8"/>
        <v>30</v>
      </c>
      <c r="AL29" s="230">
        <f>IFERROR(VLOOKUP($A29,VENTAS!$H$2:$O$201,6,FALSE),"")</f>
        <v>5</v>
      </c>
      <c r="AM29" s="11">
        <f t="shared" si="9"/>
        <v>25</v>
      </c>
      <c r="AN29" s="270">
        <f>VLOOKUP($A29,INICIO!$A$5:$J$72,8,FALSE)</f>
        <v>25</v>
      </c>
      <c r="AO29" s="203">
        <f t="shared" ref="AO29:AO30" si="34">IFERROR(AN29-AM29,"")</f>
        <v>0</v>
      </c>
      <c r="AP29" s="204">
        <f>IFERROR(IF(AO29&gt;0,"",AO29*VLOOKUP($A29,'VALOR I.'!$B$6:$K$418,10,FALSE)),"")</f>
        <v>0</v>
      </c>
      <c r="AQ29" s="269">
        <f>VLOOKUP($A29,INICIO!$A$5:$J$72,8,FALSE)</f>
        <v>25</v>
      </c>
      <c r="AR29" s="232">
        <f>VLOOKUP($A29,REPOSICIONES!$A$5:$J$72,8,FALSE)</f>
        <v>5</v>
      </c>
      <c r="AS29" s="79">
        <f t="shared" si="10"/>
        <v>30</v>
      </c>
      <c r="AT29" s="230">
        <f>IFERROR(VLOOKUP($A29,VENTAS!$H$2:$O$201,7,FALSE),"")</f>
        <v>1</v>
      </c>
      <c r="AU29" s="11">
        <f t="shared" si="11"/>
        <v>29</v>
      </c>
      <c r="AV29" s="270">
        <f>VLOOKUP($A29,INICIO!$A$5:$J$72,9,FALSE)</f>
        <v>30</v>
      </c>
      <c r="AW29" s="203">
        <f t="shared" ref="AW29:AW30" si="35">IFERROR(AV29-AU29,"")</f>
        <v>1</v>
      </c>
      <c r="AX29" s="204" t="str">
        <f>IFERROR(IF(AW29&gt;0,"",AW29*VLOOKUP($A29,'VALOR I.'!$B$6:$K$418,10,FALSE)),"")</f>
        <v/>
      </c>
      <c r="AY29" s="269"/>
      <c r="AZ29" s="232"/>
      <c r="BA29" s="79"/>
      <c r="BB29" s="230"/>
      <c r="BC29" s="11"/>
      <c r="BD29" s="270"/>
      <c r="BE29" s="203"/>
      <c r="BF29" s="204"/>
    </row>
    <row r="30" spans="1:58" x14ac:dyDescent="0.25">
      <c r="A30" s="3" t="s">
        <v>586</v>
      </c>
      <c r="B30" s="214" t="s">
        <v>60</v>
      </c>
      <c r="C30" s="239">
        <f>VLOOKUP($A30,INICIO!$A$5:$J$72,3,FALSE)</f>
        <v>0</v>
      </c>
      <c r="D30" s="9">
        <f>VLOOKUP($A30,REPOSICIONES!$A$5:$J$72,3,FALSE)</f>
        <v>0</v>
      </c>
      <c r="E30" s="79">
        <f t="shared" si="0"/>
        <v>0</v>
      </c>
      <c r="F30" s="80" t="str">
        <f>IFERROR(VLOOKUP($A30,VENTAS!$H$2:$O$201,2,FALSE),"")</f>
        <v/>
      </c>
      <c r="G30" s="9" t="str">
        <f t="shared" si="1"/>
        <v/>
      </c>
      <c r="H30" s="9">
        <f>VLOOKUP($A30,INICIO!$A$5:$J$72,4,FALSE)</f>
        <v>28</v>
      </c>
      <c r="I30" s="203" t="str">
        <f t="shared" si="30"/>
        <v/>
      </c>
      <c r="J30" s="242" t="str">
        <f>IFERROR(IF(I30&gt;0,"",I30*VLOOKUP($A30,'VALOR I.'!$B$6:$K$418,10,FALSE)),"")</f>
        <v/>
      </c>
      <c r="K30" s="276">
        <f>VLOOKUP($A30,INICIO!$A$5:$J$72,4,FALSE)</f>
        <v>28</v>
      </c>
      <c r="L30" s="232">
        <f>VLOOKUP($A30,REPOSICIONES!$A$5:$J$72,4,FALSE)</f>
        <v>0</v>
      </c>
      <c r="M30" s="79">
        <f t="shared" si="2"/>
        <v>28</v>
      </c>
      <c r="N30" s="230" t="str">
        <f>IFERROR(VLOOKUP($A30,VENTAS!$H$2:$O$201,3,FALSE),"")</f>
        <v/>
      </c>
      <c r="O30" s="267" t="str">
        <f t="shared" si="3"/>
        <v/>
      </c>
      <c r="P30" s="270">
        <f>VLOOKUP($A30,INICIO!$A$5:$J$72,5,FALSE)</f>
        <v>28</v>
      </c>
      <c r="Q30" s="203" t="str">
        <f t="shared" si="31"/>
        <v/>
      </c>
      <c r="R30" s="242" t="str">
        <f>IFERROR(IF(Q30&gt;0,"",Q30*VLOOKUP($A30,'VALOR I.'!$B$6:$K$418,10,FALSE)),"")</f>
        <v/>
      </c>
      <c r="S30" s="276">
        <f>VLOOKUP($A30,INICIO!$A$5:$J$72,5,FALSE)</f>
        <v>28</v>
      </c>
      <c r="T30" s="232">
        <f>VLOOKUP($A30,REPOSICIONES!$A$5:$J$72,5,FALSE)</f>
        <v>0</v>
      </c>
      <c r="U30" s="79">
        <f t="shared" si="4"/>
        <v>28</v>
      </c>
      <c r="V30" s="230" t="str">
        <f>IFERROR(VLOOKUP($A30,VENTAS!$H$2:$O$201,4,FALSE),"")</f>
        <v/>
      </c>
      <c r="W30" s="11" t="str">
        <f t="shared" si="5"/>
        <v/>
      </c>
      <c r="X30" s="270">
        <f>VLOOKUP($A30,INICIO!$A$5:$J$72,6,FALSE)</f>
        <v>27</v>
      </c>
      <c r="Y30" s="203" t="str">
        <f t="shared" si="32"/>
        <v/>
      </c>
      <c r="Z30" s="242" t="str">
        <f>IFERROR(IF(Y30&gt;0,"",Y30*VLOOKUP($A30,'VALOR I.'!$B$6:$K$418,10,FALSE)),"")</f>
        <v/>
      </c>
      <c r="AA30" s="276">
        <f>VLOOKUP($A30,INICIO!$A$5:$J$72,6,FALSE)</f>
        <v>27</v>
      </c>
      <c r="AB30" s="232">
        <f>VLOOKUP($A30,REPOSICIONES!$A$5:$J$72,6,FALSE)</f>
        <v>0</v>
      </c>
      <c r="AC30" s="79">
        <f t="shared" si="6"/>
        <v>27</v>
      </c>
      <c r="AD30" s="230" t="str">
        <f>IFERROR(VLOOKUP($A30,VENTAS!$H$2:$O$201,5,FALSE),"")</f>
        <v/>
      </c>
      <c r="AE30" s="11" t="str">
        <f t="shared" si="7"/>
        <v/>
      </c>
      <c r="AF30" s="270">
        <f>VLOOKUP($A30,INICIO!$A$5:$J$72,7,FALSE)</f>
        <v>20</v>
      </c>
      <c r="AG30" s="203" t="str">
        <f t="shared" si="33"/>
        <v/>
      </c>
      <c r="AH30" s="242" t="str">
        <f>IFERROR(IF(AG30&gt;0,"",AG30*VLOOKUP($A30,'VALOR I.'!$B$6:$K$418,10,FALSE)),"")</f>
        <v/>
      </c>
      <c r="AI30" s="269">
        <f>VLOOKUP($A30,INICIO!$A$5:$J$72,7,FALSE)</f>
        <v>20</v>
      </c>
      <c r="AJ30" s="232">
        <f>VLOOKUP($A30,REPOSICIONES!$A$5:$J$72,7,FALSE)</f>
        <v>10</v>
      </c>
      <c r="AK30" s="79">
        <f t="shared" si="8"/>
        <v>30</v>
      </c>
      <c r="AL30" s="230" t="str">
        <f>IFERROR(VLOOKUP($A30,VENTAS!$H$2:$O$201,6,FALSE),"")</f>
        <v/>
      </c>
      <c r="AM30" s="11" t="str">
        <f t="shared" si="9"/>
        <v/>
      </c>
      <c r="AN30" s="270">
        <f>VLOOKUP($A30,INICIO!$A$5:$J$72,8,FALSE)</f>
        <v>23</v>
      </c>
      <c r="AO30" s="203" t="str">
        <f t="shared" si="34"/>
        <v/>
      </c>
      <c r="AP30" s="204" t="str">
        <f>IFERROR(IF(AO30&gt;0,"",AO30*VLOOKUP($A30,'VALOR I.'!$B$6:$K$418,10,FALSE)),"")</f>
        <v/>
      </c>
      <c r="AQ30" s="269">
        <f>VLOOKUP($A30,INICIO!$A$5:$J$72,8,FALSE)</f>
        <v>23</v>
      </c>
      <c r="AR30" s="232">
        <f>VLOOKUP($A30,REPOSICIONES!$A$5:$J$72,8,FALSE)</f>
        <v>5</v>
      </c>
      <c r="AS30" s="79">
        <f t="shared" si="10"/>
        <v>28</v>
      </c>
      <c r="AT30" s="230" t="str">
        <f>IFERROR(VLOOKUP($A30,VENTAS!$H$2:$O$201,7,FALSE),"")</f>
        <v/>
      </c>
      <c r="AU30" s="11" t="str">
        <f t="shared" si="11"/>
        <v/>
      </c>
      <c r="AV30" s="270">
        <f>VLOOKUP($A30,INICIO!$A$5:$J$72,9,FALSE)</f>
        <v>27</v>
      </c>
      <c r="AW30" s="203" t="str">
        <f t="shared" si="35"/>
        <v/>
      </c>
      <c r="AX30" s="204" t="str">
        <f>IFERROR(IF(AW30&gt;0,"",AW30*VLOOKUP($A30,'VALOR I.'!$B$6:$K$418,10,FALSE)),"")</f>
        <v/>
      </c>
      <c r="AY30" s="269"/>
      <c r="AZ30" s="232"/>
      <c r="BA30" s="79"/>
      <c r="BB30" s="230"/>
      <c r="BC30" s="11"/>
      <c r="BD30" s="270"/>
      <c r="BE30" s="203"/>
      <c r="BF30" s="204"/>
    </row>
    <row r="31" spans="1:58" ht="15.75" hidden="1" customHeight="1" x14ac:dyDescent="0.25">
      <c r="B31" s="214"/>
      <c r="C31" s="239" t="e">
        <f>VLOOKUP($A31,INICIO!$A$5:$J$72,3,FALSE)</f>
        <v>#N/A</v>
      </c>
      <c r="D31" s="9" t="e">
        <f>VLOOKUP($A31,REPOSICIONES!$A$5:$J$72,3,FALSE)</f>
        <v>#N/A</v>
      </c>
      <c r="E31" s="79" t="e">
        <f t="shared" si="0"/>
        <v>#N/A</v>
      </c>
      <c r="F31" s="80" t="str">
        <f>IFERROR(VLOOKUP($A31,VENTAS!$H$2:$O$201,2,FALSE),"")</f>
        <v/>
      </c>
      <c r="G31" s="9" t="str">
        <f t="shared" si="1"/>
        <v/>
      </c>
      <c r="H31" s="9" t="e">
        <f>VLOOKUP($A31,INICIO!$A$5:$J$72,4,FALSE)</f>
        <v>#N/A</v>
      </c>
      <c r="I31" s="228"/>
      <c r="J31" s="268" t="str">
        <f>IFERROR(IF(I31&gt;0,"",I31*VLOOKUP($A31,'VALOR I.'!$B$6:$K$418,10,FALSE)),"")</f>
        <v/>
      </c>
      <c r="K31" s="276" t="e">
        <f>VLOOKUP($A31,INICIO!$A$5:$J$72,4,FALSE)</f>
        <v>#N/A</v>
      </c>
      <c r="L31" s="232" t="e">
        <f>VLOOKUP($A31,REPOSICIONES!$A$5:$J$72,4,FALSE)</f>
        <v>#N/A</v>
      </c>
      <c r="M31" s="79" t="e">
        <f t="shared" si="2"/>
        <v>#N/A</v>
      </c>
      <c r="N31" s="230" t="str">
        <f>IFERROR(VLOOKUP($A31,VENTAS!$H$2:$O$201,3,FALSE),"")</f>
        <v/>
      </c>
      <c r="O31" s="267" t="str">
        <f t="shared" si="3"/>
        <v/>
      </c>
      <c r="P31" s="270" t="e">
        <f>VLOOKUP($A31,INICIO!$A$5:$J$72,5,FALSE)</f>
        <v>#N/A</v>
      </c>
      <c r="Q31" s="11"/>
      <c r="R31" s="242" t="str">
        <f>IFERROR(IF(Q31&gt;0,"",Q31*VLOOKUP($A31,'VALOR I.'!$B$6:$K$418,10,FALSE)),"")</f>
        <v/>
      </c>
      <c r="S31" s="276" t="e">
        <f>VLOOKUP($A31,INICIO!$A$5:$J$72,5,FALSE)</f>
        <v>#N/A</v>
      </c>
      <c r="T31" s="232" t="e">
        <f>VLOOKUP($A31,REPOSICIONES!$A$5:$J$72,5,FALSE)</f>
        <v>#N/A</v>
      </c>
      <c r="U31" s="79" t="e">
        <f t="shared" si="4"/>
        <v>#N/A</v>
      </c>
      <c r="V31" s="230" t="str">
        <f>IFERROR(VLOOKUP($A31,VENTAS!$H$2:$O$201,4,FALSE),"")</f>
        <v/>
      </c>
      <c r="W31" s="11" t="str">
        <f t="shared" si="5"/>
        <v/>
      </c>
      <c r="X31" s="270" t="e">
        <f>VLOOKUP($A31,INICIO!$A$5:$J$72,6,FALSE)</f>
        <v>#N/A</v>
      </c>
      <c r="Y31" s="11"/>
      <c r="Z31" s="242" t="str">
        <f>IFERROR(IF(Y31&gt;0,"",Y31*VLOOKUP($A31,'VALOR I.'!$B$6:$K$418,10,FALSE)),"")</f>
        <v/>
      </c>
      <c r="AA31" s="276" t="e">
        <f>VLOOKUP($A31,INICIO!$A$5:$J$72,6,FALSE)</f>
        <v>#N/A</v>
      </c>
      <c r="AB31" s="232" t="e">
        <f>VLOOKUP($A31,REPOSICIONES!$A$5:$J$72,6,FALSE)</f>
        <v>#N/A</v>
      </c>
      <c r="AC31" s="79" t="e">
        <f t="shared" si="6"/>
        <v>#N/A</v>
      </c>
      <c r="AD31" s="230" t="str">
        <f>IFERROR(VLOOKUP($A31,VENTAS!$H$2:$O$201,5,FALSE),"")</f>
        <v/>
      </c>
      <c r="AE31" s="11" t="str">
        <f t="shared" si="7"/>
        <v/>
      </c>
      <c r="AF31" s="270" t="e">
        <f>VLOOKUP($A31,INICIO!$A$5:$J$72,7,FALSE)</f>
        <v>#N/A</v>
      </c>
      <c r="AG31" s="11"/>
      <c r="AH31" s="242" t="str">
        <f>IFERROR(IF(AG31&gt;0,"",AG31*VLOOKUP($A31,'VALOR I.'!$B$6:$K$418,10,FALSE)),"")</f>
        <v/>
      </c>
      <c r="AI31" s="269" t="e">
        <f>VLOOKUP($A31,INICIO!$A$5:$J$72,7,FALSE)</f>
        <v>#N/A</v>
      </c>
      <c r="AJ31" s="232" t="e">
        <f>VLOOKUP($A31,REPOSICIONES!$A$5:$J$72,7,FALSE)</f>
        <v>#N/A</v>
      </c>
      <c r="AK31" s="79" t="e">
        <f t="shared" si="8"/>
        <v>#N/A</v>
      </c>
      <c r="AL31" s="230" t="str">
        <f>IFERROR(VLOOKUP($A31,VENTAS!$H$2:$O$201,6,FALSE),"")</f>
        <v/>
      </c>
      <c r="AM31" s="11" t="str">
        <f t="shared" si="9"/>
        <v/>
      </c>
      <c r="AN31" s="270" t="e">
        <f>VLOOKUP($A31,INICIO!$A$5:$J$72,8,FALSE)</f>
        <v>#N/A</v>
      </c>
      <c r="AO31" s="11"/>
      <c r="AP31" s="204" t="str">
        <f>IFERROR(IF(AO31&gt;0,"",AO31*VLOOKUP($A31,'VALOR I.'!$B$6:$K$418,10,FALSE)),"")</f>
        <v/>
      </c>
      <c r="AQ31" s="269" t="e">
        <f>VLOOKUP($A31,INICIO!$A$5:$J$72,8,FALSE)</f>
        <v>#N/A</v>
      </c>
      <c r="AR31" s="232" t="e">
        <f>VLOOKUP($A31,REPOSICIONES!$A$5:$J$72,8,FALSE)</f>
        <v>#N/A</v>
      </c>
      <c r="AS31" s="79" t="e">
        <f t="shared" si="10"/>
        <v>#N/A</v>
      </c>
      <c r="AT31" s="230" t="str">
        <f>IFERROR(VLOOKUP($A31,VENTAS!$H$2:$O$201,7,FALSE),"")</f>
        <v/>
      </c>
      <c r="AU31" s="11" t="str">
        <f t="shared" si="11"/>
        <v/>
      </c>
      <c r="AV31" s="270" t="e">
        <f>VLOOKUP($A31,INICIO!$A$5:$J$72,9,FALSE)</f>
        <v>#N/A</v>
      </c>
      <c r="AW31" s="11"/>
      <c r="AX31" s="204" t="str">
        <f>IFERROR(IF(AW31&gt;0,"",AW31*VLOOKUP($A31,'VALOR I.'!$B$6:$K$418,10,FALSE)),"")</f>
        <v/>
      </c>
      <c r="AY31" s="269" t="e">
        <f>VLOOKUP($A31,INICIO!$A$5:$J$72,9,FALSE)</f>
        <v>#N/A</v>
      </c>
      <c r="AZ31" s="232" t="e">
        <f>VLOOKUP($A31,REPOSICIONES!$A$5:$J$72,9,FALSE)</f>
        <v>#N/A</v>
      </c>
      <c r="BA31" s="79" t="e">
        <f t="shared" si="18"/>
        <v>#N/A</v>
      </c>
      <c r="BB31" s="230" t="str">
        <f>IFERROR(VLOOKUP($A31,VENTAS!$H$2:$O$201,8,FALSE),"")</f>
        <v/>
      </c>
      <c r="BC31" s="11" t="str">
        <f t="shared" si="19"/>
        <v/>
      </c>
      <c r="BD31" s="270" t="e">
        <f>VLOOKUP($A31,INICIO!$A$5:$J$72,10,FALSE)</f>
        <v>#N/A</v>
      </c>
      <c r="BE31" s="11"/>
      <c r="BF31" s="204" t="str">
        <f>IFERROR(IF(BE31&gt;0,"",BE31*VLOOKUP($A31,'VALOR I.'!$B$6:$K$418,10,FALSE)),"")</f>
        <v/>
      </c>
    </row>
    <row r="32" spans="1:58" ht="15.75" hidden="1" customHeight="1" x14ac:dyDescent="0.25">
      <c r="B32" s="214"/>
      <c r="C32" s="239" t="e">
        <f>VLOOKUP($A32,INICIO!$A$5:$J$72,3,FALSE)</f>
        <v>#N/A</v>
      </c>
      <c r="D32" s="9" t="e">
        <f>VLOOKUP($A32,REPOSICIONES!$A$5:$J$72,3,FALSE)</f>
        <v>#N/A</v>
      </c>
      <c r="E32" s="79" t="e">
        <f t="shared" si="0"/>
        <v>#N/A</v>
      </c>
      <c r="F32" s="80" t="str">
        <f>IFERROR(VLOOKUP($A32,VENTAS!$H$2:$O$201,2,FALSE),"")</f>
        <v/>
      </c>
      <c r="G32" s="9" t="str">
        <f t="shared" si="1"/>
        <v/>
      </c>
      <c r="H32" s="9" t="e">
        <f>VLOOKUP($A32,INICIO!$A$5:$J$72,4,FALSE)</f>
        <v>#N/A</v>
      </c>
      <c r="I32" s="11"/>
      <c r="J32" s="242" t="str">
        <f>IFERROR(IF(I32&gt;0,"",I32*VLOOKUP($A32,'VALOR I.'!$B$6:$K$418,10,FALSE)),"")</f>
        <v/>
      </c>
      <c r="K32" s="276" t="e">
        <f>VLOOKUP($A32,INICIO!$A$5:$J$72,4,FALSE)</f>
        <v>#N/A</v>
      </c>
      <c r="L32" s="232" t="e">
        <f>VLOOKUP($A32,REPOSICIONES!$A$5:$J$72,4,FALSE)</f>
        <v>#N/A</v>
      </c>
      <c r="M32" s="79" t="e">
        <f t="shared" si="2"/>
        <v>#N/A</v>
      </c>
      <c r="N32" s="230" t="str">
        <f>IFERROR(VLOOKUP($A32,VENTAS!$H$2:$O$201,3,FALSE),"")</f>
        <v/>
      </c>
      <c r="O32" s="267" t="str">
        <f t="shared" si="3"/>
        <v/>
      </c>
      <c r="P32" s="270" t="e">
        <f>VLOOKUP($A32,INICIO!$A$5:$J$72,5,FALSE)</f>
        <v>#N/A</v>
      </c>
      <c r="Q32" s="11"/>
      <c r="R32" s="242" t="str">
        <f>IFERROR(IF(Q32&gt;0,"",Q32*VLOOKUP($A32,'VALOR I.'!$B$6:$K$418,10,FALSE)),"")</f>
        <v/>
      </c>
      <c r="S32" s="276" t="e">
        <f>VLOOKUP($A32,INICIO!$A$5:$J$72,5,FALSE)</f>
        <v>#N/A</v>
      </c>
      <c r="T32" s="232" t="e">
        <f>VLOOKUP($A32,REPOSICIONES!$A$5:$J$72,5,FALSE)</f>
        <v>#N/A</v>
      </c>
      <c r="U32" s="79" t="e">
        <f t="shared" si="4"/>
        <v>#N/A</v>
      </c>
      <c r="V32" s="230" t="str">
        <f>IFERROR(VLOOKUP($A32,VENTAS!$H$2:$O$201,4,FALSE),"")</f>
        <v/>
      </c>
      <c r="W32" s="11" t="str">
        <f t="shared" si="5"/>
        <v/>
      </c>
      <c r="X32" s="270" t="e">
        <f>VLOOKUP($A32,INICIO!$A$5:$J$72,6,FALSE)</f>
        <v>#N/A</v>
      </c>
      <c r="Y32" s="11"/>
      <c r="Z32" s="242" t="str">
        <f>IFERROR(IF(Y32&gt;0,"",Y32*VLOOKUP($A32,'VALOR I.'!$B$6:$K$418,10,FALSE)),"")</f>
        <v/>
      </c>
      <c r="AA32" s="276" t="e">
        <f>VLOOKUP($A32,INICIO!$A$5:$J$72,6,FALSE)</f>
        <v>#N/A</v>
      </c>
      <c r="AB32" s="232" t="e">
        <f>VLOOKUP($A32,REPOSICIONES!$A$5:$J$72,6,FALSE)</f>
        <v>#N/A</v>
      </c>
      <c r="AC32" s="79" t="e">
        <f t="shared" si="6"/>
        <v>#N/A</v>
      </c>
      <c r="AD32" s="230" t="str">
        <f>IFERROR(VLOOKUP($A32,VENTAS!$H$2:$O$201,5,FALSE),"")</f>
        <v/>
      </c>
      <c r="AE32" s="11" t="str">
        <f t="shared" si="7"/>
        <v/>
      </c>
      <c r="AF32" s="270" t="e">
        <f>VLOOKUP($A32,INICIO!$A$5:$J$72,7,FALSE)</f>
        <v>#N/A</v>
      </c>
      <c r="AG32" s="11"/>
      <c r="AH32" s="242" t="str">
        <f>IFERROR(IF(AG32&gt;0,"",AG32*VLOOKUP($A32,'VALOR I.'!$B$6:$K$418,10,FALSE)),"")</f>
        <v/>
      </c>
      <c r="AI32" s="269" t="e">
        <f>VLOOKUP($A32,INICIO!$A$5:$J$72,7,FALSE)</f>
        <v>#N/A</v>
      </c>
      <c r="AJ32" s="232" t="e">
        <f>VLOOKUP($A32,REPOSICIONES!$A$5:$J$72,7,FALSE)</f>
        <v>#N/A</v>
      </c>
      <c r="AK32" s="79" t="e">
        <f t="shared" si="8"/>
        <v>#N/A</v>
      </c>
      <c r="AL32" s="230" t="str">
        <f>IFERROR(VLOOKUP($A32,VENTAS!$H$2:$O$201,6,FALSE),"")</f>
        <v/>
      </c>
      <c r="AM32" s="11" t="str">
        <f t="shared" si="9"/>
        <v/>
      </c>
      <c r="AN32" s="270" t="e">
        <f>VLOOKUP($A32,INICIO!$A$5:$J$72,8,FALSE)</f>
        <v>#N/A</v>
      </c>
      <c r="AO32" s="11"/>
      <c r="AP32" s="204" t="str">
        <f>IFERROR(IF(AO32&gt;0,"",AO32*VLOOKUP($A32,'VALOR I.'!$B$6:$K$418,10,FALSE)),"")</f>
        <v/>
      </c>
      <c r="AQ32" s="269" t="e">
        <f>VLOOKUP($A32,INICIO!$A$5:$J$72,8,FALSE)</f>
        <v>#N/A</v>
      </c>
      <c r="AR32" s="232" t="e">
        <f>VLOOKUP($A32,REPOSICIONES!$A$5:$J$72,8,FALSE)</f>
        <v>#N/A</v>
      </c>
      <c r="AS32" s="79" t="e">
        <f t="shared" si="10"/>
        <v>#N/A</v>
      </c>
      <c r="AT32" s="230" t="str">
        <f>IFERROR(VLOOKUP($A32,VENTAS!$H$2:$O$201,7,FALSE),"")</f>
        <v/>
      </c>
      <c r="AU32" s="11" t="str">
        <f t="shared" si="11"/>
        <v/>
      </c>
      <c r="AV32" s="270" t="e">
        <f>VLOOKUP($A32,INICIO!$A$5:$J$72,9,FALSE)</f>
        <v>#N/A</v>
      </c>
      <c r="AW32" s="11"/>
      <c r="AX32" s="204" t="str">
        <f>IFERROR(IF(AW32&gt;0,"",AW32*VLOOKUP($A32,'VALOR I.'!$B$6:$K$418,10,FALSE)),"")</f>
        <v/>
      </c>
      <c r="AY32" s="269" t="e">
        <f>VLOOKUP($A32,INICIO!$A$5:$J$72,9,FALSE)</f>
        <v>#N/A</v>
      </c>
      <c r="AZ32" s="232" t="e">
        <f>VLOOKUP($A32,REPOSICIONES!$A$5:$J$72,9,FALSE)</f>
        <v>#N/A</v>
      </c>
      <c r="BA32" s="79" t="e">
        <f t="shared" si="18"/>
        <v>#N/A</v>
      </c>
      <c r="BB32" s="230" t="str">
        <f>IFERROR(VLOOKUP($A32,VENTAS!$H$2:$O$201,8,FALSE),"")</f>
        <v/>
      </c>
      <c r="BC32" s="11" t="str">
        <f t="shared" si="19"/>
        <v/>
      </c>
      <c r="BD32" s="270" t="e">
        <f>VLOOKUP($A32,INICIO!$A$5:$J$72,10,FALSE)</f>
        <v>#N/A</v>
      </c>
      <c r="BE32" s="11"/>
      <c r="BF32" s="204" t="str">
        <f>IFERROR(IF(BE32&gt;0,"",BE32*VLOOKUP($A32,'VALOR I.'!$B$6:$K$418,10,FALSE)),"")</f>
        <v/>
      </c>
    </row>
    <row r="33" spans="2:58" ht="15.75" hidden="1" customHeight="1" x14ac:dyDescent="0.25">
      <c r="B33" s="214"/>
      <c r="C33" s="239" t="e">
        <f>VLOOKUP($A33,INICIO!$A$5:$J$72,3,FALSE)</f>
        <v>#N/A</v>
      </c>
      <c r="D33" s="9" t="e">
        <f>VLOOKUP($A33,REPOSICIONES!$A$5:$J$72,3,FALSE)</f>
        <v>#N/A</v>
      </c>
      <c r="E33" s="79" t="e">
        <f t="shared" si="0"/>
        <v>#N/A</v>
      </c>
      <c r="F33" s="80" t="str">
        <f>IFERROR(VLOOKUP($A33,VENTAS!$H$2:$O$201,2,FALSE),"")</f>
        <v/>
      </c>
      <c r="G33" s="9" t="str">
        <f t="shared" si="1"/>
        <v/>
      </c>
      <c r="H33" s="9" t="e">
        <f>VLOOKUP($A33,INICIO!$A$5:$J$72,4,FALSE)</f>
        <v>#N/A</v>
      </c>
      <c r="I33" s="11"/>
      <c r="J33" s="242" t="str">
        <f>IFERROR(IF(I33&gt;0,"",I33*VLOOKUP($A33,'VALOR I.'!$B$6:$K$418,10,FALSE)),"")</f>
        <v/>
      </c>
      <c r="K33" s="276" t="e">
        <f>VLOOKUP($A33,INICIO!$A$5:$J$72,4,FALSE)</f>
        <v>#N/A</v>
      </c>
      <c r="L33" s="232" t="e">
        <f>VLOOKUP($A33,REPOSICIONES!$A$5:$J$72,4,FALSE)</f>
        <v>#N/A</v>
      </c>
      <c r="M33" s="79" t="e">
        <f t="shared" si="2"/>
        <v>#N/A</v>
      </c>
      <c r="N33" s="230" t="str">
        <f>IFERROR(VLOOKUP($A33,VENTAS!$H$2:$O$201,3,FALSE),"")</f>
        <v/>
      </c>
      <c r="O33" s="267" t="str">
        <f t="shared" si="3"/>
        <v/>
      </c>
      <c r="P33" s="270" t="e">
        <f>VLOOKUP($A33,INICIO!$A$5:$J$72,5,FALSE)</f>
        <v>#N/A</v>
      </c>
      <c r="Q33" s="11"/>
      <c r="R33" s="242" t="str">
        <f>IFERROR(IF(Q33&gt;0,"",Q33*VLOOKUP($A33,'VALOR I.'!$B$6:$K$418,10,FALSE)),"")</f>
        <v/>
      </c>
      <c r="S33" s="276" t="e">
        <f>VLOOKUP($A33,INICIO!$A$5:$J$72,5,FALSE)</f>
        <v>#N/A</v>
      </c>
      <c r="T33" s="232" t="e">
        <f>VLOOKUP($A33,REPOSICIONES!$A$5:$J$72,5,FALSE)</f>
        <v>#N/A</v>
      </c>
      <c r="U33" s="79" t="e">
        <f t="shared" si="4"/>
        <v>#N/A</v>
      </c>
      <c r="V33" s="230" t="str">
        <f>IFERROR(VLOOKUP($A33,VENTAS!$H$2:$O$201,4,FALSE),"")</f>
        <v/>
      </c>
      <c r="W33" s="11" t="str">
        <f t="shared" si="5"/>
        <v/>
      </c>
      <c r="X33" s="270" t="e">
        <f>VLOOKUP($A33,INICIO!$A$5:$J$72,6,FALSE)</f>
        <v>#N/A</v>
      </c>
      <c r="Y33" s="11"/>
      <c r="Z33" s="242" t="str">
        <f>IFERROR(IF(Y33&gt;0,"",Y33*VLOOKUP($A33,'VALOR I.'!$B$6:$K$418,10,FALSE)),"")</f>
        <v/>
      </c>
      <c r="AA33" s="276" t="e">
        <f>VLOOKUP($A33,INICIO!$A$5:$J$72,6,FALSE)</f>
        <v>#N/A</v>
      </c>
      <c r="AB33" s="232" t="e">
        <f>VLOOKUP($A33,REPOSICIONES!$A$5:$J$72,6,FALSE)</f>
        <v>#N/A</v>
      </c>
      <c r="AC33" s="79" t="e">
        <f t="shared" si="6"/>
        <v>#N/A</v>
      </c>
      <c r="AD33" s="230" t="str">
        <f>IFERROR(VLOOKUP($A33,VENTAS!$H$2:$O$201,5,FALSE),"")</f>
        <v/>
      </c>
      <c r="AE33" s="11" t="str">
        <f t="shared" si="7"/>
        <v/>
      </c>
      <c r="AF33" s="270" t="e">
        <f>VLOOKUP($A33,INICIO!$A$5:$J$72,7,FALSE)</f>
        <v>#N/A</v>
      </c>
      <c r="AG33" s="11"/>
      <c r="AH33" s="242" t="str">
        <f>IFERROR(IF(AG33&gt;0,"",AG33*VLOOKUP($A33,'VALOR I.'!$B$6:$K$418,10,FALSE)),"")</f>
        <v/>
      </c>
      <c r="AI33" s="269" t="e">
        <f>VLOOKUP($A33,INICIO!$A$5:$J$72,7,FALSE)</f>
        <v>#N/A</v>
      </c>
      <c r="AJ33" s="232" t="e">
        <f>VLOOKUP($A33,REPOSICIONES!$A$5:$J$72,7,FALSE)</f>
        <v>#N/A</v>
      </c>
      <c r="AK33" s="79" t="e">
        <f t="shared" si="8"/>
        <v>#N/A</v>
      </c>
      <c r="AL33" s="230" t="str">
        <f>IFERROR(VLOOKUP($A33,VENTAS!$H$2:$O$201,6,FALSE),"")</f>
        <v/>
      </c>
      <c r="AM33" s="11" t="str">
        <f t="shared" si="9"/>
        <v/>
      </c>
      <c r="AN33" s="270" t="e">
        <f>VLOOKUP($A33,INICIO!$A$5:$J$72,8,FALSE)</f>
        <v>#N/A</v>
      </c>
      <c r="AO33" s="11"/>
      <c r="AP33" s="204" t="str">
        <f>IFERROR(IF(AO33&gt;0,"",AO33*VLOOKUP($A33,'VALOR I.'!$B$6:$K$418,10,FALSE)),"")</f>
        <v/>
      </c>
      <c r="AQ33" s="269" t="e">
        <f>VLOOKUP($A33,INICIO!$A$5:$J$72,8,FALSE)</f>
        <v>#N/A</v>
      </c>
      <c r="AR33" s="232" t="e">
        <f>VLOOKUP($A33,REPOSICIONES!$A$5:$J$72,8,FALSE)</f>
        <v>#N/A</v>
      </c>
      <c r="AS33" s="79" t="e">
        <f t="shared" si="10"/>
        <v>#N/A</v>
      </c>
      <c r="AT33" s="230" t="str">
        <f>IFERROR(VLOOKUP($A33,VENTAS!$H$2:$O$201,7,FALSE),"")</f>
        <v/>
      </c>
      <c r="AU33" s="11" t="str">
        <f t="shared" si="11"/>
        <v/>
      </c>
      <c r="AV33" s="270" t="e">
        <f>VLOOKUP($A33,INICIO!$A$5:$J$72,9,FALSE)</f>
        <v>#N/A</v>
      </c>
      <c r="AW33" s="11"/>
      <c r="AX33" s="204" t="str">
        <f>IFERROR(IF(AW33&gt;0,"",AW33*VLOOKUP($A33,'VALOR I.'!$B$6:$K$418,10,FALSE)),"")</f>
        <v/>
      </c>
      <c r="AY33" s="269" t="e">
        <f>VLOOKUP($A33,INICIO!$A$5:$J$72,9,FALSE)</f>
        <v>#N/A</v>
      </c>
      <c r="AZ33" s="232" t="e">
        <f>VLOOKUP($A33,REPOSICIONES!$A$5:$J$72,9,FALSE)</f>
        <v>#N/A</v>
      </c>
      <c r="BA33" s="79" t="e">
        <f t="shared" si="18"/>
        <v>#N/A</v>
      </c>
      <c r="BB33" s="230" t="str">
        <f>IFERROR(VLOOKUP($A33,VENTAS!$H$2:$O$201,8,FALSE),"")</f>
        <v/>
      </c>
      <c r="BC33" s="11" t="str">
        <f t="shared" si="19"/>
        <v/>
      </c>
      <c r="BD33" s="270" t="e">
        <f>VLOOKUP($A33,INICIO!$A$5:$J$72,10,FALSE)</f>
        <v>#N/A</v>
      </c>
      <c r="BE33" s="11"/>
      <c r="BF33" s="204" t="str">
        <f>IFERROR(IF(BE33&gt;0,"",BE33*VLOOKUP($A33,'VALOR I.'!$B$6:$K$418,10,FALSE)),"")</f>
        <v/>
      </c>
    </row>
    <row r="34" spans="2:58" ht="15.75" hidden="1" customHeight="1" x14ac:dyDescent="0.25">
      <c r="B34" s="214"/>
      <c r="C34" s="239" t="e">
        <f>VLOOKUP($A34,INICIO!$A$5:$J$72,3,FALSE)</f>
        <v>#N/A</v>
      </c>
      <c r="D34" s="9" t="e">
        <f>VLOOKUP($A34,REPOSICIONES!$A$5:$J$72,3,FALSE)</f>
        <v>#N/A</v>
      </c>
      <c r="E34" s="79" t="e">
        <f t="shared" si="0"/>
        <v>#N/A</v>
      </c>
      <c r="F34" s="80" t="str">
        <f>IFERROR(VLOOKUP($A34,VENTAS!$H$2:$O$201,2,FALSE),"")</f>
        <v/>
      </c>
      <c r="G34" s="9" t="str">
        <f t="shared" si="1"/>
        <v/>
      </c>
      <c r="H34" s="9" t="e">
        <f>VLOOKUP($A34,INICIO!$A$5:$J$72,4,FALSE)</f>
        <v>#N/A</v>
      </c>
      <c r="I34" s="11"/>
      <c r="J34" s="242" t="str">
        <f>IFERROR(IF(I34&gt;0,"",I34*VLOOKUP($A34,'VALOR I.'!$B$6:$K$418,10,FALSE)),"")</f>
        <v/>
      </c>
      <c r="K34" s="276" t="e">
        <f>VLOOKUP($A34,INICIO!$A$5:$J$72,4,FALSE)</f>
        <v>#N/A</v>
      </c>
      <c r="L34" s="232" t="e">
        <f>VLOOKUP($A34,REPOSICIONES!$A$5:$J$72,4,FALSE)</f>
        <v>#N/A</v>
      </c>
      <c r="M34" s="79" t="e">
        <f t="shared" si="2"/>
        <v>#N/A</v>
      </c>
      <c r="N34" s="230" t="str">
        <f>IFERROR(VLOOKUP($A34,VENTAS!$H$2:$O$201,3,FALSE),"")</f>
        <v/>
      </c>
      <c r="O34" s="267" t="str">
        <f t="shared" si="3"/>
        <v/>
      </c>
      <c r="P34" s="270" t="e">
        <f>VLOOKUP($A34,INICIO!$A$5:$J$72,5,FALSE)</f>
        <v>#N/A</v>
      </c>
      <c r="Q34" s="11"/>
      <c r="R34" s="242" t="str">
        <f>IFERROR(IF(Q34&gt;0,"",Q34*VLOOKUP($A34,'VALOR I.'!$B$6:$K$418,10,FALSE)),"")</f>
        <v/>
      </c>
      <c r="S34" s="276" t="e">
        <f>VLOOKUP($A34,INICIO!$A$5:$J$72,5,FALSE)</f>
        <v>#N/A</v>
      </c>
      <c r="T34" s="232" t="e">
        <f>VLOOKUP($A34,REPOSICIONES!$A$5:$J$72,5,FALSE)</f>
        <v>#N/A</v>
      </c>
      <c r="U34" s="79" t="e">
        <f t="shared" si="4"/>
        <v>#N/A</v>
      </c>
      <c r="V34" s="230" t="str">
        <f>IFERROR(VLOOKUP($A34,VENTAS!$H$2:$O$201,4,FALSE),"")</f>
        <v/>
      </c>
      <c r="W34" s="11" t="str">
        <f t="shared" si="5"/>
        <v/>
      </c>
      <c r="X34" s="270" t="e">
        <f>VLOOKUP($A34,INICIO!$A$5:$J$72,6,FALSE)</f>
        <v>#N/A</v>
      </c>
      <c r="Y34" s="11"/>
      <c r="Z34" s="242" t="str">
        <f>IFERROR(IF(Y34&gt;0,"",Y34*VLOOKUP($A34,'VALOR I.'!$B$6:$K$418,10,FALSE)),"")</f>
        <v/>
      </c>
      <c r="AA34" s="276" t="e">
        <f>VLOOKUP($A34,INICIO!$A$5:$J$72,6,FALSE)</f>
        <v>#N/A</v>
      </c>
      <c r="AB34" s="232" t="e">
        <f>VLOOKUP($A34,REPOSICIONES!$A$5:$J$72,6,FALSE)</f>
        <v>#N/A</v>
      </c>
      <c r="AC34" s="79" t="e">
        <f t="shared" si="6"/>
        <v>#N/A</v>
      </c>
      <c r="AD34" s="230" t="str">
        <f>IFERROR(VLOOKUP($A34,VENTAS!$H$2:$O$201,5,FALSE),"")</f>
        <v/>
      </c>
      <c r="AE34" s="11" t="str">
        <f t="shared" si="7"/>
        <v/>
      </c>
      <c r="AF34" s="270" t="e">
        <f>VLOOKUP($A34,INICIO!$A$5:$J$72,7,FALSE)</f>
        <v>#N/A</v>
      </c>
      <c r="AG34" s="11"/>
      <c r="AH34" s="242" t="str">
        <f>IFERROR(IF(AG34&gt;0,"",AG34*VLOOKUP($A34,'VALOR I.'!$B$6:$K$418,10,FALSE)),"")</f>
        <v/>
      </c>
      <c r="AI34" s="269" t="e">
        <f>VLOOKUP($A34,INICIO!$A$5:$J$72,7,FALSE)</f>
        <v>#N/A</v>
      </c>
      <c r="AJ34" s="232" t="e">
        <f>VLOOKUP($A34,REPOSICIONES!$A$5:$J$72,7,FALSE)</f>
        <v>#N/A</v>
      </c>
      <c r="AK34" s="79" t="e">
        <f t="shared" si="8"/>
        <v>#N/A</v>
      </c>
      <c r="AL34" s="230" t="str">
        <f>IFERROR(VLOOKUP($A34,VENTAS!$H$2:$O$201,6,FALSE),"")</f>
        <v/>
      </c>
      <c r="AM34" s="11" t="str">
        <f t="shared" si="9"/>
        <v/>
      </c>
      <c r="AN34" s="270" t="e">
        <f>VLOOKUP($A34,INICIO!$A$5:$J$72,8,FALSE)</f>
        <v>#N/A</v>
      </c>
      <c r="AO34" s="11"/>
      <c r="AP34" s="204" t="str">
        <f>IFERROR(IF(AO34&gt;0,"",AO34*VLOOKUP($A34,'VALOR I.'!$B$6:$K$418,10,FALSE)),"")</f>
        <v/>
      </c>
      <c r="AQ34" s="269" t="e">
        <f>VLOOKUP($A34,INICIO!$A$5:$J$72,8,FALSE)</f>
        <v>#N/A</v>
      </c>
      <c r="AR34" s="232" t="e">
        <f>VLOOKUP($A34,REPOSICIONES!$A$5:$J$72,8,FALSE)</f>
        <v>#N/A</v>
      </c>
      <c r="AS34" s="79" t="e">
        <f t="shared" si="10"/>
        <v>#N/A</v>
      </c>
      <c r="AT34" s="230" t="str">
        <f>IFERROR(VLOOKUP($A34,VENTAS!$H$2:$O$201,7,FALSE),"")</f>
        <v/>
      </c>
      <c r="AU34" s="11" t="str">
        <f t="shared" si="11"/>
        <v/>
      </c>
      <c r="AV34" s="270" t="e">
        <f>VLOOKUP($A34,INICIO!$A$5:$J$72,9,FALSE)</f>
        <v>#N/A</v>
      </c>
      <c r="AW34" s="11"/>
      <c r="AX34" s="204" t="str">
        <f>IFERROR(IF(AW34&gt;0,"",AW34*VLOOKUP($A34,'VALOR I.'!$B$6:$K$418,10,FALSE)),"")</f>
        <v/>
      </c>
      <c r="AY34" s="269" t="e">
        <f>VLOOKUP($A34,INICIO!$A$5:$J$72,9,FALSE)</f>
        <v>#N/A</v>
      </c>
      <c r="AZ34" s="232" t="e">
        <f>VLOOKUP($A34,REPOSICIONES!$A$5:$J$72,9,FALSE)</f>
        <v>#N/A</v>
      </c>
      <c r="BA34" s="79" t="e">
        <f t="shared" si="18"/>
        <v>#N/A</v>
      </c>
      <c r="BB34" s="230" t="str">
        <f>IFERROR(VLOOKUP($A34,VENTAS!$H$2:$O$201,8,FALSE),"")</f>
        <v/>
      </c>
      <c r="BC34" s="11" t="str">
        <f t="shared" si="19"/>
        <v/>
      </c>
      <c r="BD34" s="270" t="e">
        <f>VLOOKUP($A34,INICIO!$A$5:$J$72,10,FALSE)</f>
        <v>#N/A</v>
      </c>
      <c r="BE34" s="11"/>
      <c r="BF34" s="204" t="str">
        <f>IFERROR(IF(BE34&gt;0,"",BE34*VLOOKUP($A34,'VALOR I.'!$B$6:$K$418,10,FALSE)),"")</f>
        <v/>
      </c>
    </row>
    <row r="35" spans="2:58" ht="15.75" hidden="1" customHeight="1" x14ac:dyDescent="0.25">
      <c r="B35" s="214"/>
      <c r="C35" s="239" t="e">
        <f>VLOOKUP($A35,INICIO!$A$5:$J$72,3,FALSE)</f>
        <v>#N/A</v>
      </c>
      <c r="D35" s="9" t="e">
        <f>VLOOKUP($A35,REPOSICIONES!$A$5:$J$72,3,FALSE)</f>
        <v>#N/A</v>
      </c>
      <c r="E35" s="79" t="e">
        <f t="shared" si="0"/>
        <v>#N/A</v>
      </c>
      <c r="F35" s="80" t="str">
        <f>IFERROR(VLOOKUP($A35,VENTAS!$H$2:$O$201,2,FALSE),"")</f>
        <v/>
      </c>
      <c r="G35" s="9" t="str">
        <f t="shared" si="1"/>
        <v/>
      </c>
      <c r="H35" s="9" t="e">
        <f>VLOOKUP($A35,INICIO!$A$5:$J$72,4,FALSE)</f>
        <v>#N/A</v>
      </c>
      <c r="I35" s="11"/>
      <c r="J35" s="242" t="str">
        <f>IFERROR(IF(I35&gt;0,"",I35*VLOOKUP($A35,'VALOR I.'!$B$6:$K$418,10,FALSE)),"")</f>
        <v/>
      </c>
      <c r="K35" s="276" t="e">
        <f>VLOOKUP($A35,INICIO!$A$5:$J$72,4,FALSE)</f>
        <v>#N/A</v>
      </c>
      <c r="L35" s="232" t="e">
        <f>VLOOKUP($A35,REPOSICIONES!$A$5:$J$72,4,FALSE)</f>
        <v>#N/A</v>
      </c>
      <c r="M35" s="79" t="e">
        <f t="shared" si="2"/>
        <v>#N/A</v>
      </c>
      <c r="N35" s="230" t="str">
        <f>IFERROR(VLOOKUP($A35,VENTAS!$H$2:$O$201,3,FALSE),"")</f>
        <v/>
      </c>
      <c r="O35" s="267" t="str">
        <f t="shared" si="3"/>
        <v/>
      </c>
      <c r="P35" s="270" t="e">
        <f>VLOOKUP($A35,INICIO!$A$5:$J$72,5,FALSE)</f>
        <v>#N/A</v>
      </c>
      <c r="Q35" s="11"/>
      <c r="R35" s="242" t="str">
        <f>IFERROR(IF(Q35&gt;0,"",Q35*VLOOKUP($A35,'VALOR I.'!$B$6:$K$418,10,FALSE)),"")</f>
        <v/>
      </c>
      <c r="S35" s="276" t="e">
        <f>VLOOKUP($A35,INICIO!$A$5:$J$72,5,FALSE)</f>
        <v>#N/A</v>
      </c>
      <c r="T35" s="232" t="e">
        <f>VLOOKUP($A35,REPOSICIONES!$A$5:$J$72,5,FALSE)</f>
        <v>#N/A</v>
      </c>
      <c r="U35" s="79" t="e">
        <f t="shared" si="4"/>
        <v>#N/A</v>
      </c>
      <c r="V35" s="230" t="str">
        <f>IFERROR(VLOOKUP($A35,VENTAS!$H$2:$O$201,4,FALSE),"")</f>
        <v/>
      </c>
      <c r="W35" s="11" t="str">
        <f t="shared" si="5"/>
        <v/>
      </c>
      <c r="X35" s="270" t="e">
        <f>VLOOKUP($A35,INICIO!$A$5:$J$72,6,FALSE)</f>
        <v>#N/A</v>
      </c>
      <c r="Y35" s="11"/>
      <c r="Z35" s="242" t="str">
        <f>IFERROR(IF(Y35&gt;0,"",Y35*VLOOKUP($A35,'VALOR I.'!$B$6:$K$418,10,FALSE)),"")</f>
        <v/>
      </c>
      <c r="AA35" s="276" t="e">
        <f>VLOOKUP($A35,INICIO!$A$5:$J$72,6,FALSE)</f>
        <v>#N/A</v>
      </c>
      <c r="AB35" s="232" t="e">
        <f>VLOOKUP($A35,REPOSICIONES!$A$5:$J$72,6,FALSE)</f>
        <v>#N/A</v>
      </c>
      <c r="AC35" s="79" t="e">
        <f t="shared" si="6"/>
        <v>#N/A</v>
      </c>
      <c r="AD35" s="230" t="str">
        <f>IFERROR(VLOOKUP($A35,VENTAS!$H$2:$O$201,5,FALSE),"")</f>
        <v/>
      </c>
      <c r="AE35" s="11" t="str">
        <f t="shared" si="7"/>
        <v/>
      </c>
      <c r="AF35" s="270" t="e">
        <f>VLOOKUP($A35,INICIO!$A$5:$J$72,7,FALSE)</f>
        <v>#N/A</v>
      </c>
      <c r="AG35" s="11"/>
      <c r="AH35" s="242" t="str">
        <f>IFERROR(IF(AG35&gt;0,"",AG35*VLOOKUP($A35,'VALOR I.'!$B$6:$K$418,10,FALSE)),"")</f>
        <v/>
      </c>
      <c r="AI35" s="269" t="e">
        <f>VLOOKUP($A35,INICIO!$A$5:$J$72,7,FALSE)</f>
        <v>#N/A</v>
      </c>
      <c r="AJ35" s="232" t="e">
        <f>VLOOKUP($A35,REPOSICIONES!$A$5:$J$72,7,FALSE)</f>
        <v>#N/A</v>
      </c>
      <c r="AK35" s="79" t="e">
        <f t="shared" si="8"/>
        <v>#N/A</v>
      </c>
      <c r="AL35" s="230" t="str">
        <f>IFERROR(VLOOKUP($A35,VENTAS!$H$2:$O$201,6,FALSE),"")</f>
        <v/>
      </c>
      <c r="AM35" s="11" t="str">
        <f t="shared" si="9"/>
        <v/>
      </c>
      <c r="AN35" s="270" t="e">
        <f>VLOOKUP($A35,INICIO!$A$5:$J$72,8,FALSE)</f>
        <v>#N/A</v>
      </c>
      <c r="AO35" s="11"/>
      <c r="AP35" s="204" t="str">
        <f>IFERROR(IF(AO35&gt;0,"",AO35*VLOOKUP($A35,'VALOR I.'!$B$6:$K$418,10,FALSE)),"")</f>
        <v/>
      </c>
      <c r="AQ35" s="269" t="e">
        <f>VLOOKUP($A35,INICIO!$A$5:$J$72,8,FALSE)</f>
        <v>#N/A</v>
      </c>
      <c r="AR35" s="232" t="e">
        <f>VLOOKUP($A35,REPOSICIONES!$A$5:$J$72,8,FALSE)</f>
        <v>#N/A</v>
      </c>
      <c r="AS35" s="79" t="e">
        <f t="shared" si="10"/>
        <v>#N/A</v>
      </c>
      <c r="AT35" s="230" t="str">
        <f>IFERROR(VLOOKUP($A35,VENTAS!$H$2:$O$201,7,FALSE),"")</f>
        <v/>
      </c>
      <c r="AU35" s="11" t="str">
        <f t="shared" si="11"/>
        <v/>
      </c>
      <c r="AV35" s="270" t="e">
        <f>VLOOKUP($A35,INICIO!$A$5:$J$72,9,FALSE)</f>
        <v>#N/A</v>
      </c>
      <c r="AW35" s="11"/>
      <c r="AX35" s="204" t="str">
        <f>IFERROR(IF(AW35&gt;0,"",AW35*VLOOKUP($A35,'VALOR I.'!$B$6:$K$418,10,FALSE)),"")</f>
        <v/>
      </c>
      <c r="AY35" s="269" t="e">
        <f>VLOOKUP($A35,INICIO!$A$5:$J$72,9,FALSE)</f>
        <v>#N/A</v>
      </c>
      <c r="AZ35" s="232" t="e">
        <f>VLOOKUP($A35,REPOSICIONES!$A$5:$J$72,9,FALSE)</f>
        <v>#N/A</v>
      </c>
      <c r="BA35" s="79" t="e">
        <f t="shared" si="18"/>
        <v>#N/A</v>
      </c>
      <c r="BB35" s="230" t="str">
        <f>IFERROR(VLOOKUP($A35,VENTAS!$H$2:$O$201,8,FALSE),"")</f>
        <v/>
      </c>
      <c r="BC35" s="11" t="str">
        <f t="shared" si="19"/>
        <v/>
      </c>
      <c r="BD35" s="270" t="e">
        <f>VLOOKUP($A35,INICIO!$A$5:$J$72,10,FALSE)</f>
        <v>#N/A</v>
      </c>
      <c r="BE35" s="11"/>
      <c r="BF35" s="204" t="str">
        <f>IFERROR(IF(BE35&gt;0,"",BE35*VLOOKUP($A35,'VALOR I.'!$B$6:$K$418,10,FALSE)),"")</f>
        <v/>
      </c>
    </row>
    <row r="36" spans="2:58" ht="15.75" hidden="1" customHeight="1" x14ac:dyDescent="0.25">
      <c r="B36" s="214"/>
      <c r="C36" s="239" t="e">
        <f>VLOOKUP($A36,INICIO!$A$5:$J$72,3,FALSE)</f>
        <v>#N/A</v>
      </c>
      <c r="D36" s="9" t="e">
        <f>VLOOKUP($A36,REPOSICIONES!$A$5:$J$72,3,FALSE)</f>
        <v>#N/A</v>
      </c>
      <c r="E36" s="79" t="e">
        <f t="shared" si="0"/>
        <v>#N/A</v>
      </c>
      <c r="F36" s="80" t="str">
        <f>IFERROR(VLOOKUP($A36,VENTAS!$H$2:$O$201,2,FALSE),"")</f>
        <v/>
      </c>
      <c r="G36" s="9" t="str">
        <f t="shared" si="1"/>
        <v/>
      </c>
      <c r="H36" s="9" t="e">
        <f>VLOOKUP($A36,INICIO!$A$5:$J$72,4,FALSE)</f>
        <v>#N/A</v>
      </c>
      <c r="I36" s="11"/>
      <c r="J36" s="242" t="str">
        <f>IFERROR(IF(I36&gt;0,"",I36*VLOOKUP($A36,'VALOR I.'!$B$6:$K$418,10,FALSE)),"")</f>
        <v/>
      </c>
      <c r="K36" s="276" t="e">
        <f>VLOOKUP($A36,INICIO!$A$5:$J$72,4,FALSE)</f>
        <v>#N/A</v>
      </c>
      <c r="L36" s="232" t="e">
        <f>VLOOKUP($A36,REPOSICIONES!$A$5:$J$72,4,FALSE)</f>
        <v>#N/A</v>
      </c>
      <c r="M36" s="79" t="e">
        <f t="shared" si="2"/>
        <v>#N/A</v>
      </c>
      <c r="N36" s="230" t="str">
        <f>IFERROR(VLOOKUP($A36,VENTAS!$H$2:$O$201,3,FALSE),"")</f>
        <v/>
      </c>
      <c r="O36" s="267" t="str">
        <f t="shared" si="3"/>
        <v/>
      </c>
      <c r="P36" s="270" t="e">
        <f>VLOOKUP($A36,INICIO!$A$5:$J$72,5,FALSE)</f>
        <v>#N/A</v>
      </c>
      <c r="Q36" s="11"/>
      <c r="R36" s="242" t="str">
        <f>IFERROR(IF(Q36&gt;0,"",Q36*VLOOKUP($A36,'VALOR I.'!$B$6:$K$418,10,FALSE)),"")</f>
        <v/>
      </c>
      <c r="S36" s="276" t="e">
        <f>VLOOKUP($A36,INICIO!$A$5:$J$72,5,FALSE)</f>
        <v>#N/A</v>
      </c>
      <c r="T36" s="232" t="e">
        <f>VLOOKUP($A36,REPOSICIONES!$A$5:$J$72,5,FALSE)</f>
        <v>#N/A</v>
      </c>
      <c r="U36" s="79" t="e">
        <f t="shared" si="4"/>
        <v>#N/A</v>
      </c>
      <c r="V36" s="230" t="str">
        <f>IFERROR(VLOOKUP($A36,VENTAS!$H$2:$O$201,4,FALSE),"")</f>
        <v/>
      </c>
      <c r="W36" s="11" t="str">
        <f t="shared" si="5"/>
        <v/>
      </c>
      <c r="X36" s="270" t="e">
        <f>VLOOKUP($A36,INICIO!$A$5:$J$72,6,FALSE)</f>
        <v>#N/A</v>
      </c>
      <c r="Y36" s="11"/>
      <c r="Z36" s="242" t="str">
        <f>IFERROR(IF(Y36&gt;0,"",Y36*VLOOKUP($A36,'VALOR I.'!$B$6:$K$418,10,FALSE)),"")</f>
        <v/>
      </c>
      <c r="AA36" s="276" t="e">
        <f>VLOOKUP($A36,INICIO!$A$5:$J$72,6,FALSE)</f>
        <v>#N/A</v>
      </c>
      <c r="AB36" s="232" t="e">
        <f>VLOOKUP($A36,REPOSICIONES!$A$5:$J$72,6,FALSE)</f>
        <v>#N/A</v>
      </c>
      <c r="AC36" s="79" t="e">
        <f t="shared" si="6"/>
        <v>#N/A</v>
      </c>
      <c r="AD36" s="230" t="str">
        <f>IFERROR(VLOOKUP($A36,VENTAS!$H$2:$O$201,5,FALSE),"")</f>
        <v/>
      </c>
      <c r="AE36" s="11" t="str">
        <f t="shared" si="7"/>
        <v/>
      </c>
      <c r="AF36" s="270" t="e">
        <f>VLOOKUP($A36,INICIO!$A$5:$J$72,7,FALSE)</f>
        <v>#N/A</v>
      </c>
      <c r="AG36" s="11"/>
      <c r="AH36" s="242" t="str">
        <f>IFERROR(IF(AG36&gt;0,"",AG36*VLOOKUP($A36,'VALOR I.'!$B$6:$K$418,10,FALSE)),"")</f>
        <v/>
      </c>
      <c r="AI36" s="269" t="e">
        <f>VLOOKUP($A36,INICIO!$A$5:$J$72,7,FALSE)</f>
        <v>#N/A</v>
      </c>
      <c r="AJ36" s="232" t="e">
        <f>VLOOKUP($A36,REPOSICIONES!$A$5:$J$72,7,FALSE)</f>
        <v>#N/A</v>
      </c>
      <c r="AK36" s="79" t="e">
        <f t="shared" si="8"/>
        <v>#N/A</v>
      </c>
      <c r="AL36" s="230" t="str">
        <f>IFERROR(VLOOKUP($A36,VENTAS!$H$2:$O$201,6,FALSE),"")</f>
        <v/>
      </c>
      <c r="AM36" s="11" t="str">
        <f t="shared" si="9"/>
        <v/>
      </c>
      <c r="AN36" s="270" t="e">
        <f>VLOOKUP($A36,INICIO!$A$5:$J$72,8,FALSE)</f>
        <v>#N/A</v>
      </c>
      <c r="AO36" s="11"/>
      <c r="AP36" s="204" t="str">
        <f>IFERROR(IF(AO36&gt;0,"",AO36*VLOOKUP($A36,'VALOR I.'!$B$6:$K$418,10,FALSE)),"")</f>
        <v/>
      </c>
      <c r="AQ36" s="269" t="e">
        <f>VLOOKUP($A36,INICIO!$A$5:$J$72,8,FALSE)</f>
        <v>#N/A</v>
      </c>
      <c r="AR36" s="232" t="e">
        <f>VLOOKUP($A36,REPOSICIONES!$A$5:$J$72,8,FALSE)</f>
        <v>#N/A</v>
      </c>
      <c r="AS36" s="79" t="e">
        <f t="shared" si="10"/>
        <v>#N/A</v>
      </c>
      <c r="AT36" s="230" t="str">
        <f>IFERROR(VLOOKUP($A36,VENTAS!$H$2:$O$201,7,FALSE),"")</f>
        <v/>
      </c>
      <c r="AU36" s="11" t="str">
        <f t="shared" si="11"/>
        <v/>
      </c>
      <c r="AV36" s="270" t="e">
        <f>VLOOKUP($A36,INICIO!$A$5:$J$72,9,FALSE)</f>
        <v>#N/A</v>
      </c>
      <c r="AW36" s="11"/>
      <c r="AX36" s="204" t="str">
        <f>IFERROR(IF(AW36&gt;0,"",AW36*VLOOKUP($A36,'VALOR I.'!$B$6:$K$418,10,FALSE)),"")</f>
        <v/>
      </c>
      <c r="AY36" s="269" t="e">
        <f>VLOOKUP($A36,INICIO!$A$5:$J$72,9,FALSE)</f>
        <v>#N/A</v>
      </c>
      <c r="AZ36" s="232" t="e">
        <f>VLOOKUP($A36,REPOSICIONES!$A$5:$J$72,9,FALSE)</f>
        <v>#N/A</v>
      </c>
      <c r="BA36" s="79" t="e">
        <f t="shared" si="18"/>
        <v>#N/A</v>
      </c>
      <c r="BB36" s="230" t="str">
        <f>IFERROR(VLOOKUP($A36,VENTAS!$H$2:$O$201,8,FALSE),"")</f>
        <v/>
      </c>
      <c r="BC36" s="11" t="str">
        <f t="shared" si="19"/>
        <v/>
      </c>
      <c r="BD36" s="270" t="e">
        <f>VLOOKUP($A36,INICIO!$A$5:$J$72,10,FALSE)</f>
        <v>#N/A</v>
      </c>
      <c r="BE36" s="11"/>
      <c r="BF36" s="204" t="str">
        <f>IFERROR(IF(BE36&gt;0,"",BE36*VLOOKUP($A36,'VALOR I.'!$B$6:$K$418,10,FALSE)),"")</f>
        <v/>
      </c>
    </row>
    <row r="37" spans="2:58" ht="15.75" hidden="1" customHeight="1" x14ac:dyDescent="0.25">
      <c r="B37" s="214"/>
      <c r="C37" s="239" t="e">
        <f>VLOOKUP($A37,INICIO!$A$5:$J$72,3,FALSE)</f>
        <v>#N/A</v>
      </c>
      <c r="D37" s="9" t="e">
        <f>VLOOKUP($A37,REPOSICIONES!$A$5:$J$72,3,FALSE)</f>
        <v>#N/A</v>
      </c>
      <c r="E37" s="79" t="e">
        <f t="shared" si="0"/>
        <v>#N/A</v>
      </c>
      <c r="F37" s="80" t="str">
        <f>IFERROR(VLOOKUP($A37,VENTAS!$H$2:$O$201,2,FALSE),"")</f>
        <v/>
      </c>
      <c r="G37" s="9" t="str">
        <f t="shared" si="1"/>
        <v/>
      </c>
      <c r="H37" s="9" t="e">
        <f>VLOOKUP($A37,INICIO!$A$5:$J$72,4,FALSE)</f>
        <v>#N/A</v>
      </c>
      <c r="I37" s="11"/>
      <c r="J37" s="242" t="str">
        <f>IFERROR(IF(I37&gt;0,"",I37*VLOOKUP($A37,'VALOR I.'!$B$6:$K$418,10,FALSE)),"")</f>
        <v/>
      </c>
      <c r="K37" s="276" t="e">
        <f>VLOOKUP($A37,INICIO!$A$5:$J$72,4,FALSE)</f>
        <v>#N/A</v>
      </c>
      <c r="L37" s="232" t="e">
        <f>VLOOKUP($A37,REPOSICIONES!$A$5:$J$72,4,FALSE)</f>
        <v>#N/A</v>
      </c>
      <c r="M37" s="79" t="e">
        <f t="shared" si="2"/>
        <v>#N/A</v>
      </c>
      <c r="N37" s="230" t="str">
        <f>IFERROR(VLOOKUP($A37,VENTAS!$H$2:$O$201,3,FALSE),"")</f>
        <v/>
      </c>
      <c r="O37" s="267" t="str">
        <f t="shared" si="3"/>
        <v/>
      </c>
      <c r="P37" s="270" t="e">
        <f>VLOOKUP($A37,INICIO!$A$5:$J$72,5,FALSE)</f>
        <v>#N/A</v>
      </c>
      <c r="Q37" s="11"/>
      <c r="R37" s="242" t="str">
        <f>IFERROR(IF(Q37&gt;0,"",Q37*VLOOKUP($A37,'VALOR I.'!$B$6:$K$418,10,FALSE)),"")</f>
        <v/>
      </c>
      <c r="S37" s="276" t="e">
        <f>VLOOKUP($A37,INICIO!$A$5:$J$72,5,FALSE)</f>
        <v>#N/A</v>
      </c>
      <c r="T37" s="232" t="e">
        <f>VLOOKUP($A37,REPOSICIONES!$A$5:$J$72,5,FALSE)</f>
        <v>#N/A</v>
      </c>
      <c r="U37" s="79" t="e">
        <f t="shared" si="4"/>
        <v>#N/A</v>
      </c>
      <c r="V37" s="230" t="str">
        <f>IFERROR(VLOOKUP($A37,VENTAS!$H$2:$O$201,4,FALSE),"")</f>
        <v/>
      </c>
      <c r="W37" s="11" t="str">
        <f t="shared" si="5"/>
        <v/>
      </c>
      <c r="X37" s="270" t="e">
        <f>VLOOKUP($A37,INICIO!$A$5:$J$72,6,FALSE)</f>
        <v>#N/A</v>
      </c>
      <c r="Y37" s="11"/>
      <c r="Z37" s="242" t="str">
        <f>IFERROR(IF(Y37&gt;0,"",Y37*VLOOKUP($A37,'VALOR I.'!$B$6:$K$418,10,FALSE)),"")</f>
        <v/>
      </c>
      <c r="AA37" s="276" t="e">
        <f>VLOOKUP($A37,INICIO!$A$5:$J$72,6,FALSE)</f>
        <v>#N/A</v>
      </c>
      <c r="AB37" s="232" t="e">
        <f>VLOOKUP($A37,REPOSICIONES!$A$5:$J$72,6,FALSE)</f>
        <v>#N/A</v>
      </c>
      <c r="AC37" s="79" t="e">
        <f t="shared" si="6"/>
        <v>#N/A</v>
      </c>
      <c r="AD37" s="230" t="str">
        <f>IFERROR(VLOOKUP($A37,VENTAS!$H$2:$O$201,5,FALSE),"")</f>
        <v/>
      </c>
      <c r="AE37" s="11" t="str">
        <f t="shared" si="7"/>
        <v/>
      </c>
      <c r="AF37" s="270" t="e">
        <f>VLOOKUP($A37,INICIO!$A$5:$J$72,7,FALSE)</f>
        <v>#N/A</v>
      </c>
      <c r="AG37" s="11"/>
      <c r="AH37" s="242" t="str">
        <f>IFERROR(IF(AG37&gt;0,"",AG37*VLOOKUP($A37,'VALOR I.'!$B$6:$K$418,10,FALSE)),"")</f>
        <v/>
      </c>
      <c r="AI37" s="269" t="e">
        <f>VLOOKUP($A37,INICIO!$A$5:$J$72,7,FALSE)</f>
        <v>#N/A</v>
      </c>
      <c r="AJ37" s="232" t="e">
        <f>VLOOKUP($A37,REPOSICIONES!$A$5:$J$72,7,FALSE)</f>
        <v>#N/A</v>
      </c>
      <c r="AK37" s="79" t="e">
        <f t="shared" si="8"/>
        <v>#N/A</v>
      </c>
      <c r="AL37" s="230" t="str">
        <f>IFERROR(VLOOKUP($A37,VENTAS!$H$2:$O$201,6,FALSE),"")</f>
        <v/>
      </c>
      <c r="AM37" s="11" t="str">
        <f t="shared" si="9"/>
        <v/>
      </c>
      <c r="AN37" s="270" t="e">
        <f>VLOOKUP($A37,INICIO!$A$5:$J$72,8,FALSE)</f>
        <v>#N/A</v>
      </c>
      <c r="AO37" s="11"/>
      <c r="AP37" s="204" t="str">
        <f>IFERROR(IF(AO37&gt;0,"",AO37*VLOOKUP($A37,'VALOR I.'!$B$6:$K$418,10,FALSE)),"")</f>
        <v/>
      </c>
      <c r="AQ37" s="269" t="e">
        <f>VLOOKUP($A37,INICIO!$A$5:$J$72,8,FALSE)</f>
        <v>#N/A</v>
      </c>
      <c r="AR37" s="232" t="e">
        <f>VLOOKUP($A37,REPOSICIONES!$A$5:$J$72,8,FALSE)</f>
        <v>#N/A</v>
      </c>
      <c r="AS37" s="79" t="e">
        <f t="shared" si="10"/>
        <v>#N/A</v>
      </c>
      <c r="AT37" s="230" t="str">
        <f>IFERROR(VLOOKUP($A37,VENTAS!$H$2:$O$201,7,FALSE),"")</f>
        <v/>
      </c>
      <c r="AU37" s="11" t="str">
        <f t="shared" si="11"/>
        <v/>
      </c>
      <c r="AV37" s="270" t="e">
        <f>VLOOKUP($A37,INICIO!$A$5:$J$72,9,FALSE)</f>
        <v>#N/A</v>
      </c>
      <c r="AW37" s="11"/>
      <c r="AX37" s="204" t="str">
        <f>IFERROR(IF(AW37&gt;0,"",AW37*VLOOKUP($A37,'VALOR I.'!$B$6:$K$418,10,FALSE)),"")</f>
        <v/>
      </c>
      <c r="AY37" s="269" t="e">
        <f>VLOOKUP($A37,INICIO!$A$5:$J$72,9,FALSE)</f>
        <v>#N/A</v>
      </c>
      <c r="AZ37" s="232" t="e">
        <f>VLOOKUP($A37,REPOSICIONES!$A$5:$J$72,9,FALSE)</f>
        <v>#N/A</v>
      </c>
      <c r="BA37" s="79" t="e">
        <f t="shared" si="18"/>
        <v>#N/A</v>
      </c>
      <c r="BB37" s="230" t="str">
        <f>IFERROR(VLOOKUP($A37,VENTAS!$H$2:$O$201,8,FALSE),"")</f>
        <v/>
      </c>
      <c r="BC37" s="11" t="str">
        <f t="shared" si="19"/>
        <v/>
      </c>
      <c r="BD37" s="270" t="e">
        <f>VLOOKUP($A37,INICIO!$A$5:$J$72,10,FALSE)</f>
        <v>#N/A</v>
      </c>
      <c r="BE37" s="11"/>
      <c r="BF37" s="204" t="str">
        <f>IFERROR(IF(BE37&gt;0,"",BE37*VLOOKUP($A37,'VALOR I.'!$B$6:$K$418,10,FALSE)),"")</f>
        <v/>
      </c>
    </row>
    <row r="38" spans="2:58" ht="15.75" hidden="1" customHeight="1" x14ac:dyDescent="0.25">
      <c r="B38" s="280"/>
      <c r="C38" s="271"/>
      <c r="D38" s="55"/>
      <c r="E38" s="55"/>
      <c r="F38" s="55"/>
      <c r="G38" s="55"/>
      <c r="H38" s="55"/>
      <c r="I38" s="55"/>
      <c r="J38" s="272"/>
      <c r="K38" s="271"/>
      <c r="L38" s="55"/>
      <c r="M38" s="55"/>
      <c r="N38" s="55"/>
      <c r="O38" s="55"/>
      <c r="P38" s="55"/>
      <c r="Q38" s="55"/>
      <c r="R38" s="272"/>
      <c r="S38" s="271"/>
      <c r="T38" s="55"/>
      <c r="U38" s="55"/>
      <c r="V38" s="55"/>
      <c r="W38" s="55"/>
      <c r="X38" s="55"/>
      <c r="Y38" s="55"/>
      <c r="Z38" s="272"/>
      <c r="AA38" s="271"/>
      <c r="AB38" s="55"/>
      <c r="AC38" s="55"/>
      <c r="AD38" s="55"/>
      <c r="AE38" s="55"/>
      <c r="AF38" s="55"/>
      <c r="AG38" s="55"/>
      <c r="AH38" s="272"/>
      <c r="AI38" s="220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</row>
    <row r="39" spans="2:58" ht="15.75" hidden="1" customHeight="1" x14ac:dyDescent="0.25">
      <c r="B39" s="214"/>
      <c r="C39" s="239" t="e">
        <f>VLOOKUP($A39,INICIO!$A$5:$J$72,3,FALSE)</f>
        <v>#N/A</v>
      </c>
      <c r="D39" s="9" t="e">
        <f>VLOOKUP($A39,REPOSICIONES!$A$5:$J$72,3,FALSE)</f>
        <v>#N/A</v>
      </c>
      <c r="E39" s="79" t="e">
        <f t="shared" si="0"/>
        <v>#N/A</v>
      </c>
      <c r="F39" s="80" t="str">
        <f>IFERROR(VLOOKUP($A39,VENTAS!$H$2:$O$201,2,FALSE),"")</f>
        <v/>
      </c>
      <c r="G39" s="9" t="str">
        <f t="shared" si="1"/>
        <v/>
      </c>
      <c r="H39" s="9" t="e">
        <f>VLOOKUP($A39,INICIO!$A$5:$J$72,4,FALSE)</f>
        <v>#N/A</v>
      </c>
      <c r="I39" s="11"/>
      <c r="J39" s="242" t="str">
        <f>IFERROR(IF(I39&gt;0,"",I39*VLOOKUP($A39,'VALOR I.'!$B$6:$K$418,10,FALSE)),"")</f>
        <v/>
      </c>
      <c r="K39" s="276" t="e">
        <f>VLOOKUP($A39,INICIO!$A$5:$J$72,4,FALSE)</f>
        <v>#N/A</v>
      </c>
      <c r="L39" s="232" t="e">
        <f>VLOOKUP($A39,REPOSICIONES!$A$5:$J$72,4,FALSE)</f>
        <v>#N/A</v>
      </c>
      <c r="M39" s="79" t="e">
        <f t="shared" si="2"/>
        <v>#N/A</v>
      </c>
      <c r="N39" s="230" t="str">
        <f>IFERROR(VLOOKUP($A39,VENTAS!$H$2:$O$201,3,FALSE),"")</f>
        <v/>
      </c>
      <c r="O39" s="267" t="str">
        <f t="shared" si="3"/>
        <v/>
      </c>
      <c r="P39" s="270" t="e">
        <f>VLOOKUP($A39,INICIO!$A$5:$J$72,5,FALSE)</f>
        <v>#N/A</v>
      </c>
      <c r="Q39" s="11"/>
      <c r="R39" s="242" t="str">
        <f>IFERROR(IF(Q39&gt;0,"",Q39*VLOOKUP($A39,'VALOR I.'!$B$6:$K$418,10,FALSE)),"")</f>
        <v/>
      </c>
      <c r="S39" s="276" t="e">
        <f>VLOOKUP($A39,INICIO!$A$5:$J$72,5,FALSE)</f>
        <v>#N/A</v>
      </c>
      <c r="T39" s="232" t="e">
        <f>VLOOKUP($A39,REPOSICIONES!$A$5:$J$72,5,FALSE)</f>
        <v>#N/A</v>
      </c>
      <c r="U39" s="79" t="e">
        <f t="shared" si="4"/>
        <v>#N/A</v>
      </c>
      <c r="V39" s="230" t="str">
        <f>IFERROR(VLOOKUP($A39,VENTAS!$H$2:$O$201,4,FALSE),"")</f>
        <v/>
      </c>
      <c r="W39" s="11" t="str">
        <f t="shared" si="5"/>
        <v/>
      </c>
      <c r="X39" s="270" t="e">
        <f>VLOOKUP($A39,INICIO!$A$5:$J$72,6,FALSE)</f>
        <v>#N/A</v>
      </c>
      <c r="Y39" s="11"/>
      <c r="Z39" s="242" t="str">
        <f>IFERROR(IF(Y39&gt;0,"",Y39*VLOOKUP($A39,'VALOR I.'!$B$6:$K$418,10,FALSE)),"")</f>
        <v/>
      </c>
      <c r="AA39" s="276" t="e">
        <f>VLOOKUP($A39,INICIO!$A$5:$J$72,6,FALSE)</f>
        <v>#N/A</v>
      </c>
      <c r="AB39" s="232" t="e">
        <f>VLOOKUP($A39,REPOSICIONES!$A$5:$J$72,6,FALSE)</f>
        <v>#N/A</v>
      </c>
      <c r="AC39" s="79" t="e">
        <f t="shared" si="6"/>
        <v>#N/A</v>
      </c>
      <c r="AD39" s="230" t="str">
        <f>IFERROR(VLOOKUP($A39,VENTAS!$H$2:$O$201,5,FALSE),"")</f>
        <v/>
      </c>
      <c r="AE39" s="11" t="str">
        <f t="shared" si="7"/>
        <v/>
      </c>
      <c r="AF39" s="270" t="e">
        <f>VLOOKUP($A39,INICIO!$A$5:$J$72,7,FALSE)</f>
        <v>#N/A</v>
      </c>
      <c r="AG39" s="11"/>
      <c r="AH39" s="242" t="str">
        <f>IFERROR(IF(AG39&gt;0,"",AG39*VLOOKUP($A39,'VALOR I.'!$B$6:$K$418,10,FALSE)),"")</f>
        <v/>
      </c>
      <c r="AI39" s="269" t="e">
        <f>VLOOKUP($A39,INICIO!$A$5:$J$72,7,FALSE)</f>
        <v>#N/A</v>
      </c>
      <c r="AJ39" s="232" t="e">
        <f>VLOOKUP($A39,REPOSICIONES!$A$5:$J$72,7,FALSE)</f>
        <v>#N/A</v>
      </c>
      <c r="AK39" s="79" t="e">
        <f t="shared" si="8"/>
        <v>#N/A</v>
      </c>
      <c r="AL39" s="230" t="str">
        <f>IFERROR(VLOOKUP($A39,VENTAS!$H$2:$O$201,6,FALSE),"")</f>
        <v/>
      </c>
      <c r="AM39" s="11" t="str">
        <f t="shared" si="9"/>
        <v/>
      </c>
      <c r="AN39" s="270" t="e">
        <f>VLOOKUP($A39,INICIO!$A$5:$J$72,8,FALSE)</f>
        <v>#N/A</v>
      </c>
      <c r="AO39" s="11"/>
      <c r="AP39" s="204" t="str">
        <f>IFERROR(IF(AO39&gt;0,"",AO39*VLOOKUP($A39,'VALOR I.'!$B$6:$K$418,10,FALSE)),"")</f>
        <v/>
      </c>
      <c r="AQ39" s="269" t="e">
        <f>VLOOKUP($A39,INICIO!$A$5:$J$72,8,FALSE)</f>
        <v>#N/A</v>
      </c>
      <c r="AR39" s="232" t="e">
        <f>VLOOKUP($A39,REPOSICIONES!$A$5:$J$72,8,FALSE)</f>
        <v>#N/A</v>
      </c>
      <c r="AS39" s="79" t="e">
        <f t="shared" si="10"/>
        <v>#N/A</v>
      </c>
      <c r="AT39" s="230" t="str">
        <f>IFERROR(VLOOKUP($A39,VENTAS!$H$2:$O$201,7,FALSE),"")</f>
        <v/>
      </c>
      <c r="AU39" s="11" t="str">
        <f t="shared" si="11"/>
        <v/>
      </c>
      <c r="AV39" s="270" t="e">
        <f>VLOOKUP($A39,INICIO!$A$5:$J$72,9,FALSE)</f>
        <v>#N/A</v>
      </c>
      <c r="AW39" s="11"/>
      <c r="AX39" s="204" t="str">
        <f>IFERROR(IF(AW39&gt;0,"",AW39*VLOOKUP($A39,'VALOR I.'!$B$6:$K$418,10,FALSE)),"")</f>
        <v/>
      </c>
      <c r="AY39" s="269" t="e">
        <f>VLOOKUP($A39,INICIO!$A$5:$J$72,9,FALSE)</f>
        <v>#N/A</v>
      </c>
      <c r="AZ39" s="232" t="e">
        <f>VLOOKUP($A39,REPOSICIONES!$A$5:$J$72,9,FALSE)</f>
        <v>#N/A</v>
      </c>
      <c r="BA39" s="79" t="e">
        <f t="shared" si="18"/>
        <v>#N/A</v>
      </c>
      <c r="BB39" s="230" t="str">
        <f>IFERROR(VLOOKUP($A39,VENTAS!$H$2:$O$201,8,FALSE),"")</f>
        <v/>
      </c>
      <c r="BC39" s="11" t="str">
        <f t="shared" si="19"/>
        <v/>
      </c>
      <c r="BD39" s="270" t="e">
        <f>VLOOKUP($A39,INICIO!$A$5:$J$72,10,FALSE)</f>
        <v>#N/A</v>
      </c>
      <c r="BE39" s="11"/>
      <c r="BF39" s="204" t="str">
        <f>IFERROR(IF(BE39&gt;0,"",BE39*VLOOKUP($A39,'VALOR I.'!$B$6:$K$418,10,FALSE)),"")</f>
        <v/>
      </c>
    </row>
    <row r="40" spans="2:58" ht="15.75" hidden="1" customHeight="1" x14ac:dyDescent="0.25">
      <c r="B40" s="214"/>
      <c r="C40" s="239" t="e">
        <f>VLOOKUP($A40,INICIO!$A$5:$J$72,3,FALSE)</f>
        <v>#N/A</v>
      </c>
      <c r="D40" s="9" t="e">
        <f>VLOOKUP($A40,REPOSICIONES!$A$5:$J$72,3,FALSE)</f>
        <v>#N/A</v>
      </c>
      <c r="E40" s="79" t="e">
        <f t="shared" si="0"/>
        <v>#N/A</v>
      </c>
      <c r="F40" s="80" t="str">
        <f>IFERROR(VLOOKUP($A40,VENTAS!$H$2:$O$201,2,FALSE),"")</f>
        <v/>
      </c>
      <c r="G40" s="9" t="str">
        <f t="shared" si="1"/>
        <v/>
      </c>
      <c r="H40" s="9" t="e">
        <f>VLOOKUP($A40,INICIO!$A$5:$J$72,4,FALSE)</f>
        <v>#N/A</v>
      </c>
      <c r="I40" s="11"/>
      <c r="J40" s="242" t="str">
        <f>IFERROR(IF(I40&gt;0,"",I40*VLOOKUP($A40,'VALOR I.'!$B$6:$K$418,10,FALSE)),"")</f>
        <v/>
      </c>
      <c r="K40" s="276" t="e">
        <f>VLOOKUP($A40,INICIO!$A$5:$J$72,4,FALSE)</f>
        <v>#N/A</v>
      </c>
      <c r="L40" s="232" t="e">
        <f>VLOOKUP($A40,REPOSICIONES!$A$5:$J$72,4,FALSE)</f>
        <v>#N/A</v>
      </c>
      <c r="M40" s="79" t="e">
        <f t="shared" si="2"/>
        <v>#N/A</v>
      </c>
      <c r="N40" s="230" t="str">
        <f>IFERROR(VLOOKUP($A40,VENTAS!$H$2:$O$201,3,FALSE),"")</f>
        <v/>
      </c>
      <c r="O40" s="267" t="str">
        <f t="shared" si="3"/>
        <v/>
      </c>
      <c r="P40" s="270" t="e">
        <f>VLOOKUP($A40,INICIO!$A$5:$J$72,5,FALSE)</f>
        <v>#N/A</v>
      </c>
      <c r="Q40" s="11"/>
      <c r="R40" s="242" t="str">
        <f>IFERROR(IF(Q40&gt;0,"",Q40*VLOOKUP($A40,'VALOR I.'!$B$6:$K$418,10,FALSE)),"")</f>
        <v/>
      </c>
      <c r="S40" s="276" t="e">
        <f>VLOOKUP($A40,INICIO!$A$5:$J$72,5,FALSE)</f>
        <v>#N/A</v>
      </c>
      <c r="T40" s="232" t="e">
        <f>VLOOKUP($A40,REPOSICIONES!$A$5:$J$72,5,FALSE)</f>
        <v>#N/A</v>
      </c>
      <c r="U40" s="79" t="e">
        <f t="shared" si="4"/>
        <v>#N/A</v>
      </c>
      <c r="V40" s="230" t="str">
        <f>IFERROR(VLOOKUP($A40,VENTAS!$H$2:$O$201,4,FALSE),"")</f>
        <v/>
      </c>
      <c r="W40" s="11" t="str">
        <f t="shared" si="5"/>
        <v/>
      </c>
      <c r="X40" s="270" t="e">
        <f>VLOOKUP($A40,INICIO!$A$5:$J$72,6,FALSE)</f>
        <v>#N/A</v>
      </c>
      <c r="Y40" s="11"/>
      <c r="Z40" s="242" t="str">
        <f>IFERROR(IF(Y40&gt;0,"",Y40*VLOOKUP($A40,'VALOR I.'!$B$6:$K$418,10,FALSE)),"")</f>
        <v/>
      </c>
      <c r="AA40" s="276" t="e">
        <f>VLOOKUP($A40,INICIO!$A$5:$J$72,6,FALSE)</f>
        <v>#N/A</v>
      </c>
      <c r="AB40" s="232" t="e">
        <f>VLOOKUP($A40,REPOSICIONES!$A$5:$J$72,6,FALSE)</f>
        <v>#N/A</v>
      </c>
      <c r="AC40" s="79" t="e">
        <f t="shared" si="6"/>
        <v>#N/A</v>
      </c>
      <c r="AD40" s="230" t="str">
        <f>IFERROR(VLOOKUP($A40,VENTAS!$H$2:$O$201,5,FALSE),"")</f>
        <v/>
      </c>
      <c r="AE40" s="11" t="str">
        <f t="shared" si="7"/>
        <v/>
      </c>
      <c r="AF40" s="270" t="e">
        <f>VLOOKUP($A40,INICIO!$A$5:$J$72,7,FALSE)</f>
        <v>#N/A</v>
      </c>
      <c r="AG40" s="11"/>
      <c r="AH40" s="242" t="str">
        <f>IFERROR(IF(AG40&gt;0,"",AG40*VLOOKUP($A40,'VALOR I.'!$B$6:$K$418,10,FALSE)),"")</f>
        <v/>
      </c>
      <c r="AI40" s="269" t="e">
        <f>VLOOKUP($A40,INICIO!$A$5:$J$72,7,FALSE)</f>
        <v>#N/A</v>
      </c>
      <c r="AJ40" s="232" t="e">
        <f>VLOOKUP($A40,REPOSICIONES!$A$5:$J$72,7,FALSE)</f>
        <v>#N/A</v>
      </c>
      <c r="AK40" s="79" t="e">
        <f t="shared" si="8"/>
        <v>#N/A</v>
      </c>
      <c r="AL40" s="230" t="str">
        <f>IFERROR(VLOOKUP($A40,VENTAS!$H$2:$O$201,6,FALSE),"")</f>
        <v/>
      </c>
      <c r="AM40" s="11" t="str">
        <f t="shared" si="9"/>
        <v/>
      </c>
      <c r="AN40" s="270" t="e">
        <f>VLOOKUP($A40,INICIO!$A$5:$J$72,8,FALSE)</f>
        <v>#N/A</v>
      </c>
      <c r="AO40" s="11"/>
      <c r="AP40" s="204" t="str">
        <f>IFERROR(IF(AO40&gt;0,"",AO40*VLOOKUP($A40,'VALOR I.'!$B$6:$K$418,10,FALSE)),"")</f>
        <v/>
      </c>
      <c r="AQ40" s="269" t="e">
        <f>VLOOKUP($A40,INICIO!$A$5:$J$72,8,FALSE)</f>
        <v>#N/A</v>
      </c>
      <c r="AR40" s="232" t="e">
        <f>VLOOKUP($A40,REPOSICIONES!$A$5:$J$72,8,FALSE)</f>
        <v>#N/A</v>
      </c>
      <c r="AS40" s="79" t="e">
        <f t="shared" si="10"/>
        <v>#N/A</v>
      </c>
      <c r="AT40" s="230" t="str">
        <f>IFERROR(VLOOKUP($A40,VENTAS!$H$2:$O$201,7,FALSE),"")</f>
        <v/>
      </c>
      <c r="AU40" s="11" t="str">
        <f t="shared" si="11"/>
        <v/>
      </c>
      <c r="AV40" s="270" t="e">
        <f>VLOOKUP($A40,INICIO!$A$5:$J$72,9,FALSE)</f>
        <v>#N/A</v>
      </c>
      <c r="AW40" s="11"/>
      <c r="AX40" s="204" t="str">
        <f>IFERROR(IF(AW40&gt;0,"",AW40*VLOOKUP($A40,'VALOR I.'!$B$6:$K$418,10,FALSE)),"")</f>
        <v/>
      </c>
      <c r="AY40" s="269" t="e">
        <f>VLOOKUP($A40,INICIO!$A$5:$J$72,9,FALSE)</f>
        <v>#N/A</v>
      </c>
      <c r="AZ40" s="232" t="e">
        <f>VLOOKUP($A40,REPOSICIONES!$A$5:$J$72,9,FALSE)</f>
        <v>#N/A</v>
      </c>
      <c r="BA40" s="79" t="e">
        <f t="shared" si="18"/>
        <v>#N/A</v>
      </c>
      <c r="BB40" s="230" t="str">
        <f>IFERROR(VLOOKUP($A40,VENTAS!$H$2:$O$201,8,FALSE),"")</f>
        <v/>
      </c>
      <c r="BC40" s="11" t="str">
        <f t="shared" si="19"/>
        <v/>
      </c>
      <c r="BD40" s="270" t="e">
        <f>VLOOKUP($A40,INICIO!$A$5:$J$72,10,FALSE)</f>
        <v>#N/A</v>
      </c>
      <c r="BE40" s="11"/>
      <c r="BF40" s="204" t="str">
        <f>IFERROR(IF(BE40&gt;0,"",BE40*VLOOKUP($A40,'VALOR I.'!$B$6:$K$418,10,FALSE)),"")</f>
        <v/>
      </c>
    </row>
    <row r="41" spans="2:58" ht="15.75" hidden="1" customHeight="1" x14ac:dyDescent="0.25">
      <c r="B41" s="214"/>
      <c r="C41" s="239" t="e">
        <f>VLOOKUP($A41,INICIO!$A$5:$J$72,3,FALSE)</f>
        <v>#N/A</v>
      </c>
      <c r="D41" s="9" t="e">
        <f>VLOOKUP($A41,REPOSICIONES!$A$5:$J$72,3,FALSE)</f>
        <v>#N/A</v>
      </c>
      <c r="E41" s="79" t="e">
        <f t="shared" si="0"/>
        <v>#N/A</v>
      </c>
      <c r="F41" s="80" t="str">
        <f>IFERROR(VLOOKUP($A41,VENTAS!$H$2:$O$201,2,FALSE),"")</f>
        <v/>
      </c>
      <c r="G41" s="9" t="str">
        <f t="shared" si="1"/>
        <v/>
      </c>
      <c r="H41" s="9" t="e">
        <f>VLOOKUP($A41,INICIO!$A$5:$J$72,4,FALSE)</f>
        <v>#N/A</v>
      </c>
      <c r="I41" s="11"/>
      <c r="J41" s="242" t="str">
        <f>IFERROR(IF(I41&gt;0,"",I41*VLOOKUP($A41,'VALOR I.'!$B$6:$K$418,10,FALSE)),"")</f>
        <v/>
      </c>
      <c r="K41" s="276" t="e">
        <f>VLOOKUP($A41,INICIO!$A$5:$J$72,4,FALSE)</f>
        <v>#N/A</v>
      </c>
      <c r="L41" s="232" t="e">
        <f>VLOOKUP($A41,REPOSICIONES!$A$5:$J$72,4,FALSE)</f>
        <v>#N/A</v>
      </c>
      <c r="M41" s="79" t="e">
        <f t="shared" si="2"/>
        <v>#N/A</v>
      </c>
      <c r="N41" s="230" t="str">
        <f>IFERROR(VLOOKUP($A41,VENTAS!$H$2:$O$201,3,FALSE),"")</f>
        <v/>
      </c>
      <c r="O41" s="267" t="str">
        <f t="shared" si="3"/>
        <v/>
      </c>
      <c r="P41" s="270" t="e">
        <f>VLOOKUP($A41,INICIO!$A$5:$J$72,5,FALSE)</f>
        <v>#N/A</v>
      </c>
      <c r="Q41" s="11"/>
      <c r="R41" s="242" t="str">
        <f>IFERROR(IF(Q41&gt;0,"",Q41*VLOOKUP($A41,'VALOR I.'!$B$6:$K$418,10,FALSE)),"")</f>
        <v/>
      </c>
      <c r="S41" s="276" t="e">
        <f>VLOOKUP($A41,INICIO!$A$5:$J$72,5,FALSE)</f>
        <v>#N/A</v>
      </c>
      <c r="T41" s="232" t="e">
        <f>VLOOKUP($A41,REPOSICIONES!$A$5:$J$72,5,FALSE)</f>
        <v>#N/A</v>
      </c>
      <c r="U41" s="79" t="e">
        <f t="shared" si="4"/>
        <v>#N/A</v>
      </c>
      <c r="V41" s="230" t="str">
        <f>IFERROR(VLOOKUP($A41,VENTAS!$H$2:$O$201,4,FALSE),"")</f>
        <v/>
      </c>
      <c r="W41" s="17" t="str">
        <f t="shared" si="5"/>
        <v/>
      </c>
      <c r="X41" s="270" t="e">
        <f>VLOOKUP($A41,INICIO!$A$5:$J$72,6,FALSE)</f>
        <v>#N/A</v>
      </c>
      <c r="Y41" s="11"/>
      <c r="Z41" s="242" t="str">
        <f>IFERROR(IF(Y41&gt;0,"",Y41*VLOOKUP($A41,'VALOR I.'!$B$6:$K$418,10,FALSE)),"")</f>
        <v/>
      </c>
      <c r="AA41" s="276" t="e">
        <f>VLOOKUP($A41,INICIO!$A$5:$J$72,6,FALSE)</f>
        <v>#N/A</v>
      </c>
      <c r="AB41" s="232" t="e">
        <f>VLOOKUP($A41,REPOSICIONES!$A$5:$J$72,6,FALSE)</f>
        <v>#N/A</v>
      </c>
      <c r="AC41" s="79" t="e">
        <f t="shared" si="6"/>
        <v>#N/A</v>
      </c>
      <c r="AD41" s="230" t="str">
        <f>IFERROR(VLOOKUP($A41,VENTAS!$H$2:$O$201,5,FALSE),"")</f>
        <v/>
      </c>
      <c r="AE41" s="17" t="str">
        <f t="shared" si="7"/>
        <v/>
      </c>
      <c r="AF41" s="270" t="e">
        <f>VLOOKUP($A41,INICIO!$A$5:$J$72,7,FALSE)</f>
        <v>#N/A</v>
      </c>
      <c r="AG41" s="11"/>
      <c r="AH41" s="242" t="str">
        <f>IFERROR(IF(AG41&gt;0,"",AG41*VLOOKUP($A41,'VALOR I.'!$B$6:$K$418,10,FALSE)),"")</f>
        <v/>
      </c>
      <c r="AI41" s="269" t="e">
        <f>VLOOKUP($A41,INICIO!$A$5:$J$72,7,FALSE)</f>
        <v>#N/A</v>
      </c>
      <c r="AJ41" s="232" t="e">
        <f>VLOOKUP($A41,REPOSICIONES!$A$5:$J$72,7,FALSE)</f>
        <v>#N/A</v>
      </c>
      <c r="AK41" s="79" t="e">
        <f t="shared" si="8"/>
        <v>#N/A</v>
      </c>
      <c r="AL41" s="230" t="str">
        <f>IFERROR(VLOOKUP($A41,VENTAS!$H$2:$O$201,6,FALSE),"")</f>
        <v/>
      </c>
      <c r="AM41" s="17" t="str">
        <f t="shared" si="9"/>
        <v/>
      </c>
      <c r="AN41" s="270" t="e">
        <f>VLOOKUP($A41,INICIO!$A$5:$J$72,8,FALSE)</f>
        <v>#N/A</v>
      </c>
      <c r="AO41" s="11"/>
      <c r="AP41" s="204" t="str">
        <f>IFERROR(IF(AO41&gt;0,"",AO41*VLOOKUP($A41,'VALOR I.'!$B$6:$K$418,10,FALSE)),"")</f>
        <v/>
      </c>
      <c r="AQ41" s="269" t="e">
        <f>VLOOKUP($A41,INICIO!$A$5:$J$72,8,FALSE)</f>
        <v>#N/A</v>
      </c>
      <c r="AR41" s="232" t="e">
        <f>VLOOKUP($A41,REPOSICIONES!$A$5:$J$72,8,FALSE)</f>
        <v>#N/A</v>
      </c>
      <c r="AS41" s="79" t="e">
        <f t="shared" si="10"/>
        <v>#N/A</v>
      </c>
      <c r="AT41" s="230" t="str">
        <f>IFERROR(VLOOKUP($A41,VENTAS!$H$2:$O$201,7,FALSE),"")</f>
        <v/>
      </c>
      <c r="AU41" s="17" t="str">
        <f t="shared" si="11"/>
        <v/>
      </c>
      <c r="AV41" s="270" t="e">
        <f>VLOOKUP($A41,INICIO!$A$5:$J$72,9,FALSE)</f>
        <v>#N/A</v>
      </c>
      <c r="AW41" s="11"/>
      <c r="AX41" s="204" t="str">
        <f>IFERROR(IF(AW41&gt;0,"",AW41*VLOOKUP($A41,'VALOR I.'!$B$6:$K$418,10,FALSE)),"")</f>
        <v/>
      </c>
      <c r="AY41" s="269" t="e">
        <f>VLOOKUP($A41,INICIO!$A$5:$J$72,9,FALSE)</f>
        <v>#N/A</v>
      </c>
      <c r="AZ41" s="232" t="e">
        <f>VLOOKUP($A41,REPOSICIONES!$A$5:$J$72,9,FALSE)</f>
        <v>#N/A</v>
      </c>
      <c r="BA41" s="79" t="e">
        <f t="shared" si="18"/>
        <v>#N/A</v>
      </c>
      <c r="BB41" s="230" t="str">
        <f>IFERROR(VLOOKUP($A41,VENTAS!$H$2:$O$201,8,FALSE),"")</f>
        <v/>
      </c>
      <c r="BC41" s="17" t="str">
        <f t="shared" si="19"/>
        <v/>
      </c>
      <c r="BD41" s="270" t="e">
        <f>VLOOKUP($A41,INICIO!$A$5:$J$72,10,FALSE)</f>
        <v>#N/A</v>
      </c>
      <c r="BE41" s="11"/>
      <c r="BF41" s="204" t="str">
        <f>IFERROR(IF(BE41&gt;0,"",BE41*VLOOKUP($A41,'VALOR I.'!$B$6:$K$418,10,FALSE)),"")</f>
        <v/>
      </c>
    </row>
    <row r="42" spans="2:58" ht="15.75" hidden="1" customHeight="1" x14ac:dyDescent="0.25">
      <c r="B42" s="213"/>
      <c r="C42" s="271"/>
      <c r="D42" s="55"/>
      <c r="E42" s="55"/>
      <c r="F42" s="55"/>
      <c r="G42" s="55"/>
      <c r="H42" s="55"/>
      <c r="I42" s="55"/>
      <c r="J42" s="272"/>
      <c r="K42" s="271"/>
      <c r="L42" s="55"/>
      <c r="M42" s="55"/>
      <c r="N42" s="55"/>
      <c r="O42" s="55"/>
      <c r="P42" s="55"/>
      <c r="Q42" s="55"/>
      <c r="R42" s="272"/>
      <c r="S42" s="271"/>
      <c r="T42" s="55"/>
      <c r="U42" s="55"/>
      <c r="V42" s="55"/>
      <c r="W42" s="55"/>
      <c r="X42" s="55"/>
      <c r="Y42" s="55"/>
      <c r="Z42" s="272"/>
      <c r="AA42" s="271"/>
      <c r="AB42" s="55"/>
      <c r="AC42" s="55"/>
      <c r="AD42" s="55"/>
      <c r="AE42" s="55"/>
      <c r="AF42" s="55"/>
      <c r="AG42" s="55"/>
      <c r="AH42" s="272"/>
      <c r="AI42" s="220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</row>
    <row r="43" spans="2:58" ht="15.75" hidden="1" customHeight="1" x14ac:dyDescent="0.25">
      <c r="B43" s="211"/>
      <c r="C43" s="239" t="e">
        <f>VLOOKUP($A43,INICIO!$A$5:$J$72,3,FALSE)</f>
        <v>#N/A</v>
      </c>
      <c r="D43" s="9" t="e">
        <f>VLOOKUP($A43,REPOSICIONES!$A$5:$J$72,3,FALSE)</f>
        <v>#N/A</v>
      </c>
      <c r="E43" s="79" t="e">
        <f t="shared" si="0"/>
        <v>#N/A</v>
      </c>
      <c r="F43" s="80" t="str">
        <f>IFERROR(VLOOKUP($A43,VENTAS!$H$2:$O$201,2,FALSE),"")</f>
        <v/>
      </c>
      <c r="G43" s="9" t="str">
        <f t="shared" si="1"/>
        <v/>
      </c>
      <c r="H43" s="9" t="e">
        <f>VLOOKUP($A43,INICIO!$A$5:$J$72,4,FALSE)</f>
        <v>#N/A</v>
      </c>
      <c r="I43" s="11"/>
      <c r="J43" s="242" t="str">
        <f>IFERROR(IF(I43&gt;0,"",I43*VLOOKUP($A43,'VALOR I.'!$B$6:$K$418,10,FALSE)),"")</f>
        <v/>
      </c>
      <c r="K43" s="276" t="e">
        <f>VLOOKUP($A43,INICIO!$A$5:$J$72,4,FALSE)</f>
        <v>#N/A</v>
      </c>
      <c r="L43" s="232" t="e">
        <f>VLOOKUP($A43,REPOSICIONES!$A$5:$J$72,4,FALSE)</f>
        <v>#N/A</v>
      </c>
      <c r="M43" s="79" t="e">
        <f t="shared" si="2"/>
        <v>#N/A</v>
      </c>
      <c r="N43" s="230" t="str">
        <f>IFERROR(VLOOKUP($A43,VENTAS!$H$2:$O$201,3,FALSE),"")</f>
        <v/>
      </c>
      <c r="O43" s="267" t="str">
        <f t="shared" si="3"/>
        <v/>
      </c>
      <c r="P43" s="270" t="e">
        <f>VLOOKUP($A43,INICIO!$A$5:$J$72,5,FALSE)</f>
        <v>#N/A</v>
      </c>
      <c r="Q43" s="11"/>
      <c r="R43" s="242" t="str">
        <f>IFERROR(IF(Q43&gt;0,"",Q43*VLOOKUP($A43,'VALOR I.'!$B$6:$K$418,10,FALSE)),"")</f>
        <v/>
      </c>
      <c r="S43" s="276" t="e">
        <f>VLOOKUP($A43,INICIO!$A$5:$J$72,5,FALSE)</f>
        <v>#N/A</v>
      </c>
      <c r="T43" s="232" t="e">
        <f>VLOOKUP($A43,REPOSICIONES!$A$5:$J$72,5,FALSE)</f>
        <v>#N/A</v>
      </c>
      <c r="U43" s="79" t="e">
        <f t="shared" si="4"/>
        <v>#N/A</v>
      </c>
      <c r="V43" s="230" t="str">
        <f>IFERROR(VLOOKUP($A43,VENTAS!$H$2:$O$201,4,FALSE),"")</f>
        <v/>
      </c>
      <c r="W43" s="9" t="str">
        <f t="shared" si="5"/>
        <v/>
      </c>
      <c r="X43" s="270" t="e">
        <f>VLOOKUP($A43,INICIO!$A$5:$J$72,6,FALSE)</f>
        <v>#N/A</v>
      </c>
      <c r="Y43" s="11"/>
      <c r="Z43" s="242" t="str">
        <f>IFERROR(IF(Y43&gt;0,"",Y43*VLOOKUP($A43,'VALOR I.'!$B$6:$K$418,10,FALSE)),"")</f>
        <v/>
      </c>
      <c r="AA43" s="276" t="e">
        <f>VLOOKUP($A43,INICIO!$A$5:$J$72,6,FALSE)</f>
        <v>#N/A</v>
      </c>
      <c r="AB43" s="232" t="e">
        <f>VLOOKUP($A43,REPOSICIONES!$A$5:$J$72,6,FALSE)</f>
        <v>#N/A</v>
      </c>
      <c r="AC43" s="79" t="e">
        <f t="shared" si="6"/>
        <v>#N/A</v>
      </c>
      <c r="AD43" s="230" t="str">
        <f>IFERROR(VLOOKUP($A43,VENTAS!$H$2:$O$201,5,FALSE),"")</f>
        <v/>
      </c>
      <c r="AE43" s="9" t="str">
        <f t="shared" si="7"/>
        <v/>
      </c>
      <c r="AF43" s="270" t="e">
        <f>VLOOKUP($A43,INICIO!$A$5:$J$72,7,FALSE)</f>
        <v>#N/A</v>
      </c>
      <c r="AG43" s="11"/>
      <c r="AH43" s="242" t="str">
        <f>IFERROR(IF(AG43&gt;0,"",AG43*VLOOKUP($A43,'VALOR I.'!$B$6:$K$418,10,FALSE)),"")</f>
        <v/>
      </c>
      <c r="AI43" s="269" t="e">
        <f>VLOOKUP($A43,INICIO!$A$5:$J$72,7,FALSE)</f>
        <v>#N/A</v>
      </c>
      <c r="AJ43" s="232" t="e">
        <f>VLOOKUP($A43,REPOSICIONES!$A$5:$J$72,7,FALSE)</f>
        <v>#N/A</v>
      </c>
      <c r="AK43" s="79" t="e">
        <f t="shared" si="8"/>
        <v>#N/A</v>
      </c>
      <c r="AL43" s="230" t="str">
        <f>IFERROR(VLOOKUP($A43,VENTAS!$H$2:$O$201,6,FALSE),"")</f>
        <v/>
      </c>
      <c r="AM43" s="9" t="str">
        <f t="shared" si="9"/>
        <v/>
      </c>
      <c r="AN43" s="270" t="e">
        <f>VLOOKUP($A43,INICIO!$A$5:$J$72,8,FALSE)</f>
        <v>#N/A</v>
      </c>
      <c r="AO43" s="11"/>
      <c r="AP43" s="204" t="str">
        <f>IFERROR(IF(AO43&gt;0,"",AO43*VLOOKUP($A43,'VALOR I.'!$B$6:$K$418,10,FALSE)),"")</f>
        <v/>
      </c>
      <c r="AQ43" s="269" t="e">
        <f>VLOOKUP($A43,INICIO!$A$5:$J$72,8,FALSE)</f>
        <v>#N/A</v>
      </c>
      <c r="AR43" s="232" t="e">
        <f>VLOOKUP($A43,REPOSICIONES!$A$5:$J$72,8,FALSE)</f>
        <v>#N/A</v>
      </c>
      <c r="AS43" s="79" t="e">
        <f t="shared" si="10"/>
        <v>#N/A</v>
      </c>
      <c r="AT43" s="230" t="str">
        <f>IFERROR(VLOOKUP($A43,VENTAS!$H$2:$O$201,7,FALSE),"")</f>
        <v/>
      </c>
      <c r="AU43" s="9" t="str">
        <f t="shared" si="11"/>
        <v/>
      </c>
      <c r="AV43" s="270" t="e">
        <f>VLOOKUP($A43,INICIO!$A$5:$J$72,9,FALSE)</f>
        <v>#N/A</v>
      </c>
      <c r="AW43" s="11"/>
      <c r="AX43" s="204" t="str">
        <f>IFERROR(IF(AW43&gt;0,"",AW43*VLOOKUP($A43,'VALOR I.'!$B$6:$K$418,10,FALSE)),"")</f>
        <v/>
      </c>
      <c r="AY43" s="269" t="e">
        <f>VLOOKUP($A43,INICIO!$A$5:$J$72,9,FALSE)</f>
        <v>#N/A</v>
      </c>
      <c r="AZ43" s="232" t="e">
        <f>VLOOKUP($A43,REPOSICIONES!$A$5:$J$72,9,FALSE)</f>
        <v>#N/A</v>
      </c>
      <c r="BA43" s="79" t="e">
        <f t="shared" si="18"/>
        <v>#N/A</v>
      </c>
      <c r="BB43" s="230" t="str">
        <f>IFERROR(VLOOKUP($A43,VENTAS!$H$2:$O$201,8,FALSE),"")</f>
        <v/>
      </c>
      <c r="BC43" s="9" t="str">
        <f t="shared" si="19"/>
        <v/>
      </c>
      <c r="BD43" s="270" t="e">
        <f>VLOOKUP($A43,INICIO!$A$5:$J$72,10,FALSE)</f>
        <v>#N/A</v>
      </c>
      <c r="BE43" s="11"/>
      <c r="BF43" s="204" t="str">
        <f>IFERROR(IF(BE43&gt;0,"",BE43*VLOOKUP($A43,'VALOR I.'!$B$6:$K$418,10,FALSE)),"")</f>
        <v/>
      </c>
    </row>
    <row r="44" spans="2:58" ht="15.75" hidden="1" customHeight="1" x14ac:dyDescent="0.25">
      <c r="B44" s="211"/>
      <c r="C44" s="239" t="e">
        <f>VLOOKUP($A44,INICIO!$A$5:$J$72,3,FALSE)</f>
        <v>#N/A</v>
      </c>
      <c r="D44" s="9" t="e">
        <f>VLOOKUP($A44,REPOSICIONES!$A$5:$J$72,3,FALSE)</f>
        <v>#N/A</v>
      </c>
      <c r="E44" s="79" t="e">
        <f t="shared" si="0"/>
        <v>#N/A</v>
      </c>
      <c r="F44" s="80" t="str">
        <f>IFERROR(VLOOKUP($A44,VENTAS!$H$2:$O$201,2,FALSE),"")</f>
        <v/>
      </c>
      <c r="G44" s="9" t="str">
        <f t="shared" si="1"/>
        <v/>
      </c>
      <c r="H44" s="9" t="e">
        <f>VLOOKUP($A44,INICIO!$A$5:$J$72,4,FALSE)</f>
        <v>#N/A</v>
      </c>
      <c r="I44" s="11"/>
      <c r="J44" s="242" t="str">
        <f>IFERROR(IF(I44&gt;0,"",I44*VLOOKUP($A44,'VALOR I.'!$B$6:$K$418,10,FALSE)),"")</f>
        <v/>
      </c>
      <c r="K44" s="276" t="e">
        <f>VLOOKUP($A44,INICIO!$A$5:$J$72,4,FALSE)</f>
        <v>#N/A</v>
      </c>
      <c r="L44" s="232" t="e">
        <f>VLOOKUP($A44,REPOSICIONES!$A$5:$J$72,4,FALSE)</f>
        <v>#N/A</v>
      </c>
      <c r="M44" s="79" t="e">
        <f t="shared" si="2"/>
        <v>#N/A</v>
      </c>
      <c r="N44" s="230" t="str">
        <f>IFERROR(VLOOKUP($A44,VENTAS!$H$2:$O$201,3,FALSE),"")</f>
        <v/>
      </c>
      <c r="O44" s="267" t="str">
        <f t="shared" si="3"/>
        <v/>
      </c>
      <c r="P44" s="270" t="e">
        <f>VLOOKUP($A44,INICIO!$A$5:$J$72,5,FALSE)</f>
        <v>#N/A</v>
      </c>
      <c r="Q44" s="11"/>
      <c r="R44" s="242" t="str">
        <f>IFERROR(IF(Q44&gt;0,"",Q44*VLOOKUP($A44,'VALOR I.'!$B$6:$K$418,10,FALSE)),"")</f>
        <v/>
      </c>
      <c r="S44" s="276" t="e">
        <f>VLOOKUP($A44,INICIO!$A$5:$J$72,5,FALSE)</f>
        <v>#N/A</v>
      </c>
      <c r="T44" s="232" t="e">
        <f>VLOOKUP($A44,REPOSICIONES!$A$5:$J$72,5,FALSE)</f>
        <v>#N/A</v>
      </c>
      <c r="U44" s="79" t="e">
        <f t="shared" si="4"/>
        <v>#N/A</v>
      </c>
      <c r="V44" s="230" t="str">
        <f>IFERROR(VLOOKUP($A44,VENTAS!$H$2:$O$201,4,FALSE),"")</f>
        <v/>
      </c>
      <c r="W44" s="9" t="str">
        <f t="shared" si="5"/>
        <v/>
      </c>
      <c r="X44" s="270" t="e">
        <f>VLOOKUP($A44,INICIO!$A$5:$J$72,6,FALSE)</f>
        <v>#N/A</v>
      </c>
      <c r="Y44" s="11"/>
      <c r="Z44" s="242" t="str">
        <f>IFERROR(IF(Y44&gt;0,"",Y44*VLOOKUP($A44,'VALOR I.'!$B$6:$K$418,10,FALSE)),"")</f>
        <v/>
      </c>
      <c r="AA44" s="276" t="e">
        <f>VLOOKUP($A44,INICIO!$A$5:$J$72,6,FALSE)</f>
        <v>#N/A</v>
      </c>
      <c r="AB44" s="232" t="e">
        <f>VLOOKUP($A44,REPOSICIONES!$A$5:$J$72,6,FALSE)</f>
        <v>#N/A</v>
      </c>
      <c r="AC44" s="79" t="e">
        <f t="shared" si="6"/>
        <v>#N/A</v>
      </c>
      <c r="AD44" s="230" t="str">
        <f>IFERROR(VLOOKUP($A44,VENTAS!$H$2:$O$201,5,FALSE),"")</f>
        <v/>
      </c>
      <c r="AE44" s="9" t="str">
        <f t="shared" si="7"/>
        <v/>
      </c>
      <c r="AF44" s="270" t="e">
        <f>VLOOKUP($A44,INICIO!$A$5:$J$72,7,FALSE)</f>
        <v>#N/A</v>
      </c>
      <c r="AG44" s="11"/>
      <c r="AH44" s="242" t="str">
        <f>IFERROR(IF(AG44&gt;0,"",AG44*VLOOKUP($A44,'VALOR I.'!$B$6:$K$418,10,FALSE)),"")</f>
        <v/>
      </c>
      <c r="AI44" s="269" t="e">
        <f>VLOOKUP($A44,INICIO!$A$5:$J$72,7,FALSE)</f>
        <v>#N/A</v>
      </c>
      <c r="AJ44" s="232" t="e">
        <f>VLOOKUP($A44,REPOSICIONES!$A$5:$J$72,7,FALSE)</f>
        <v>#N/A</v>
      </c>
      <c r="AK44" s="79" t="e">
        <f t="shared" si="8"/>
        <v>#N/A</v>
      </c>
      <c r="AL44" s="230" t="str">
        <f>IFERROR(VLOOKUP($A44,VENTAS!$H$2:$O$201,6,FALSE),"")</f>
        <v/>
      </c>
      <c r="AM44" s="9" t="str">
        <f t="shared" si="9"/>
        <v/>
      </c>
      <c r="AN44" s="270" t="e">
        <f>VLOOKUP($A44,INICIO!$A$5:$J$72,8,FALSE)</f>
        <v>#N/A</v>
      </c>
      <c r="AO44" s="11"/>
      <c r="AP44" s="204" t="str">
        <f>IFERROR(IF(AO44&gt;0,"",AO44*VLOOKUP($A44,'VALOR I.'!$B$6:$K$418,10,FALSE)),"")</f>
        <v/>
      </c>
      <c r="AQ44" s="269" t="e">
        <f>VLOOKUP($A44,INICIO!$A$5:$J$72,8,FALSE)</f>
        <v>#N/A</v>
      </c>
      <c r="AR44" s="232" t="e">
        <f>VLOOKUP($A44,REPOSICIONES!$A$5:$J$72,8,FALSE)</f>
        <v>#N/A</v>
      </c>
      <c r="AS44" s="79" t="e">
        <f t="shared" si="10"/>
        <v>#N/A</v>
      </c>
      <c r="AT44" s="230" t="str">
        <f>IFERROR(VLOOKUP($A44,VENTAS!$H$2:$O$201,7,FALSE),"")</f>
        <v/>
      </c>
      <c r="AU44" s="9" t="str">
        <f t="shared" si="11"/>
        <v/>
      </c>
      <c r="AV44" s="270" t="e">
        <f>VLOOKUP($A44,INICIO!$A$5:$J$72,9,FALSE)</f>
        <v>#N/A</v>
      </c>
      <c r="AW44" s="11"/>
      <c r="AX44" s="204" t="str">
        <f>IFERROR(IF(AW44&gt;0,"",AW44*VLOOKUP($A44,'VALOR I.'!$B$6:$K$418,10,FALSE)),"")</f>
        <v/>
      </c>
      <c r="AY44" s="269" t="e">
        <f>VLOOKUP($A44,INICIO!$A$5:$J$72,9,FALSE)</f>
        <v>#N/A</v>
      </c>
      <c r="AZ44" s="232" t="e">
        <f>VLOOKUP($A44,REPOSICIONES!$A$5:$J$72,9,FALSE)</f>
        <v>#N/A</v>
      </c>
      <c r="BA44" s="79" t="e">
        <f t="shared" si="18"/>
        <v>#N/A</v>
      </c>
      <c r="BB44" s="230" t="str">
        <f>IFERROR(VLOOKUP($A44,VENTAS!$H$2:$O$201,8,FALSE),"")</f>
        <v/>
      </c>
      <c r="BC44" s="9" t="str">
        <f t="shared" si="19"/>
        <v/>
      </c>
      <c r="BD44" s="270" t="e">
        <f>VLOOKUP($A44,INICIO!$A$5:$J$72,10,FALSE)</f>
        <v>#N/A</v>
      </c>
      <c r="BE44" s="11"/>
      <c r="BF44" s="204" t="str">
        <f>IFERROR(IF(BE44&gt;0,"",BE44*VLOOKUP($A44,'VALOR I.'!$B$6:$K$418,10,FALSE)),"")</f>
        <v/>
      </c>
    </row>
    <row r="45" spans="2:58" ht="15.75" hidden="1" customHeight="1" x14ac:dyDescent="0.25">
      <c r="B45" s="211"/>
      <c r="C45" s="239" t="e">
        <f>VLOOKUP($A45,INICIO!$A$5:$J$72,3,FALSE)</f>
        <v>#N/A</v>
      </c>
      <c r="D45" s="9" t="e">
        <f>VLOOKUP($A45,REPOSICIONES!$A$5:$J$72,3,FALSE)</f>
        <v>#N/A</v>
      </c>
      <c r="E45" s="79" t="e">
        <f t="shared" si="0"/>
        <v>#N/A</v>
      </c>
      <c r="F45" s="80" t="str">
        <f>IFERROR(VLOOKUP($A45,VENTAS!$H$2:$O$201,2,FALSE),"")</f>
        <v/>
      </c>
      <c r="G45" s="9" t="str">
        <f t="shared" si="1"/>
        <v/>
      </c>
      <c r="H45" s="9" t="e">
        <f>VLOOKUP($A45,INICIO!$A$5:$J$72,4,FALSE)</f>
        <v>#N/A</v>
      </c>
      <c r="I45" s="11"/>
      <c r="J45" s="242" t="str">
        <f>IFERROR(IF(I45&gt;0,"",I45*VLOOKUP($A45,'VALOR I.'!$B$6:$K$418,10,FALSE)),"")</f>
        <v/>
      </c>
      <c r="K45" s="276" t="e">
        <f>VLOOKUP($A45,INICIO!$A$5:$J$72,4,FALSE)</f>
        <v>#N/A</v>
      </c>
      <c r="L45" s="232" t="e">
        <f>VLOOKUP($A45,REPOSICIONES!$A$5:$J$72,4,FALSE)</f>
        <v>#N/A</v>
      </c>
      <c r="M45" s="79" t="e">
        <f t="shared" si="2"/>
        <v>#N/A</v>
      </c>
      <c r="N45" s="230" t="str">
        <f>IFERROR(VLOOKUP($A45,VENTAS!$H$2:$O$201,3,FALSE),"")</f>
        <v/>
      </c>
      <c r="O45" s="267" t="str">
        <f t="shared" si="3"/>
        <v/>
      </c>
      <c r="P45" s="270" t="e">
        <f>VLOOKUP($A45,INICIO!$A$5:$J$72,5,FALSE)</f>
        <v>#N/A</v>
      </c>
      <c r="Q45" s="11"/>
      <c r="R45" s="242" t="str">
        <f>IFERROR(IF(Q45&gt;0,"",Q45*VLOOKUP($A45,'VALOR I.'!$B$6:$K$418,10,FALSE)),"")</f>
        <v/>
      </c>
      <c r="S45" s="276" t="e">
        <f>VLOOKUP($A45,INICIO!$A$5:$J$72,5,FALSE)</f>
        <v>#N/A</v>
      </c>
      <c r="T45" s="232" t="e">
        <f>VLOOKUP($A45,REPOSICIONES!$A$5:$J$72,5,FALSE)</f>
        <v>#N/A</v>
      </c>
      <c r="U45" s="79" t="e">
        <f t="shared" si="4"/>
        <v>#N/A</v>
      </c>
      <c r="V45" s="230" t="str">
        <f>IFERROR(VLOOKUP($A45,VENTAS!$H$2:$O$201,4,FALSE),"")</f>
        <v/>
      </c>
      <c r="W45" s="9" t="str">
        <f t="shared" si="5"/>
        <v/>
      </c>
      <c r="X45" s="270" t="e">
        <f>VLOOKUP($A45,INICIO!$A$5:$J$72,6,FALSE)</f>
        <v>#N/A</v>
      </c>
      <c r="Y45" s="11"/>
      <c r="Z45" s="242" t="str">
        <f>IFERROR(IF(Y45&gt;0,"",Y45*VLOOKUP($A45,'VALOR I.'!$B$6:$K$418,10,FALSE)),"")</f>
        <v/>
      </c>
      <c r="AA45" s="276" t="e">
        <f>VLOOKUP($A45,INICIO!$A$5:$J$72,6,FALSE)</f>
        <v>#N/A</v>
      </c>
      <c r="AB45" s="232" t="e">
        <f>VLOOKUP($A45,REPOSICIONES!$A$5:$J$72,6,FALSE)</f>
        <v>#N/A</v>
      </c>
      <c r="AC45" s="79" t="e">
        <f t="shared" si="6"/>
        <v>#N/A</v>
      </c>
      <c r="AD45" s="230" t="str">
        <f>IFERROR(VLOOKUP($A45,VENTAS!$H$2:$O$201,5,FALSE),"")</f>
        <v/>
      </c>
      <c r="AE45" s="9" t="str">
        <f t="shared" si="7"/>
        <v/>
      </c>
      <c r="AF45" s="270" t="e">
        <f>VLOOKUP($A45,INICIO!$A$5:$J$72,7,FALSE)</f>
        <v>#N/A</v>
      </c>
      <c r="AG45" s="11"/>
      <c r="AH45" s="242" t="str">
        <f>IFERROR(IF(AG45&gt;0,"",AG45*VLOOKUP($A45,'VALOR I.'!$B$6:$K$418,10,FALSE)),"")</f>
        <v/>
      </c>
      <c r="AI45" s="269" t="e">
        <f>VLOOKUP($A45,INICIO!$A$5:$J$72,7,FALSE)</f>
        <v>#N/A</v>
      </c>
      <c r="AJ45" s="232" t="e">
        <f>VLOOKUP($A45,REPOSICIONES!$A$5:$J$72,7,FALSE)</f>
        <v>#N/A</v>
      </c>
      <c r="AK45" s="79" t="e">
        <f t="shared" si="8"/>
        <v>#N/A</v>
      </c>
      <c r="AL45" s="230" t="str">
        <f>IFERROR(VLOOKUP($A45,VENTAS!$H$2:$O$201,6,FALSE),"")</f>
        <v/>
      </c>
      <c r="AM45" s="9" t="str">
        <f t="shared" si="9"/>
        <v/>
      </c>
      <c r="AN45" s="270" t="e">
        <f>VLOOKUP($A45,INICIO!$A$5:$J$72,8,FALSE)</f>
        <v>#N/A</v>
      </c>
      <c r="AO45" s="11"/>
      <c r="AP45" s="204" t="str">
        <f>IFERROR(IF(AO45&gt;0,"",AO45*VLOOKUP($A45,'VALOR I.'!$B$6:$K$418,10,FALSE)),"")</f>
        <v/>
      </c>
      <c r="AQ45" s="269" t="e">
        <f>VLOOKUP($A45,INICIO!$A$5:$J$72,8,FALSE)</f>
        <v>#N/A</v>
      </c>
      <c r="AR45" s="232" t="e">
        <f>VLOOKUP($A45,REPOSICIONES!$A$5:$J$72,8,FALSE)</f>
        <v>#N/A</v>
      </c>
      <c r="AS45" s="79" t="e">
        <f t="shared" si="10"/>
        <v>#N/A</v>
      </c>
      <c r="AT45" s="230" t="str">
        <f>IFERROR(VLOOKUP($A45,VENTAS!$H$2:$O$201,7,FALSE),"")</f>
        <v/>
      </c>
      <c r="AU45" s="9" t="str">
        <f t="shared" si="11"/>
        <v/>
      </c>
      <c r="AV45" s="270" t="e">
        <f>VLOOKUP($A45,INICIO!$A$5:$J$72,9,FALSE)</f>
        <v>#N/A</v>
      </c>
      <c r="AW45" s="11"/>
      <c r="AX45" s="204" t="str">
        <f>IFERROR(IF(AW45&gt;0,"",AW45*VLOOKUP($A45,'VALOR I.'!$B$6:$K$418,10,FALSE)),"")</f>
        <v/>
      </c>
      <c r="AY45" s="269" t="e">
        <f>VLOOKUP($A45,INICIO!$A$5:$J$72,9,FALSE)</f>
        <v>#N/A</v>
      </c>
      <c r="AZ45" s="232" t="e">
        <f>VLOOKUP($A45,REPOSICIONES!$A$5:$J$72,9,FALSE)</f>
        <v>#N/A</v>
      </c>
      <c r="BA45" s="79" t="e">
        <f t="shared" si="18"/>
        <v>#N/A</v>
      </c>
      <c r="BB45" s="230" t="str">
        <f>IFERROR(VLOOKUP($A45,VENTAS!$H$2:$O$201,8,FALSE),"")</f>
        <v/>
      </c>
      <c r="BC45" s="9" t="str">
        <f t="shared" si="19"/>
        <v/>
      </c>
      <c r="BD45" s="270" t="e">
        <f>VLOOKUP($A45,INICIO!$A$5:$J$72,10,FALSE)</f>
        <v>#N/A</v>
      </c>
      <c r="BE45" s="11"/>
      <c r="BF45" s="204" t="str">
        <f>IFERROR(IF(BE45&gt;0,"",BE45*VLOOKUP($A45,'VALOR I.'!$B$6:$K$418,10,FALSE)),"")</f>
        <v/>
      </c>
    </row>
    <row r="46" spans="2:58" ht="15.75" hidden="1" customHeight="1" x14ac:dyDescent="0.25">
      <c r="B46" s="211"/>
      <c r="C46" s="239" t="e">
        <f>VLOOKUP($A46,INICIO!$A$5:$J$72,3,FALSE)</f>
        <v>#N/A</v>
      </c>
      <c r="D46" s="9" t="e">
        <f>VLOOKUP($A46,REPOSICIONES!$A$5:$J$72,3,FALSE)</f>
        <v>#N/A</v>
      </c>
      <c r="E46" s="79" t="e">
        <f t="shared" si="0"/>
        <v>#N/A</v>
      </c>
      <c r="F46" s="80" t="str">
        <f>IFERROR(VLOOKUP($A46,VENTAS!$H$2:$O$201,2,FALSE),"")</f>
        <v/>
      </c>
      <c r="G46" s="9" t="str">
        <f t="shared" si="1"/>
        <v/>
      </c>
      <c r="H46" s="9" t="e">
        <f>VLOOKUP($A46,INICIO!$A$5:$J$72,4,FALSE)</f>
        <v>#N/A</v>
      </c>
      <c r="I46" s="11"/>
      <c r="J46" s="242" t="str">
        <f>IFERROR(IF(I46&gt;0,"",I46*VLOOKUP($A46,'VALOR I.'!$B$6:$K$418,10,FALSE)),"")</f>
        <v/>
      </c>
      <c r="K46" s="276" t="e">
        <f>VLOOKUP($A46,INICIO!$A$5:$J$72,4,FALSE)</f>
        <v>#N/A</v>
      </c>
      <c r="L46" s="232" t="e">
        <f>VLOOKUP($A46,REPOSICIONES!$A$5:$J$72,4,FALSE)</f>
        <v>#N/A</v>
      </c>
      <c r="M46" s="79" t="e">
        <f t="shared" si="2"/>
        <v>#N/A</v>
      </c>
      <c r="N46" s="230" t="str">
        <f>IFERROR(VLOOKUP($A46,VENTAS!$H$2:$O$201,3,FALSE),"")</f>
        <v/>
      </c>
      <c r="O46" s="267" t="str">
        <f t="shared" si="3"/>
        <v/>
      </c>
      <c r="P46" s="270" t="e">
        <f>VLOOKUP($A46,INICIO!$A$5:$J$72,5,FALSE)</f>
        <v>#N/A</v>
      </c>
      <c r="Q46" s="11"/>
      <c r="R46" s="242" t="str">
        <f>IFERROR(IF(Q46&gt;0,"",Q46*VLOOKUP($A46,'VALOR I.'!$B$6:$K$418,10,FALSE)),"")</f>
        <v/>
      </c>
      <c r="S46" s="276" t="e">
        <f>VLOOKUP($A46,INICIO!$A$5:$J$72,5,FALSE)</f>
        <v>#N/A</v>
      </c>
      <c r="T46" s="232" t="e">
        <f>VLOOKUP($A46,REPOSICIONES!$A$5:$J$72,5,FALSE)</f>
        <v>#N/A</v>
      </c>
      <c r="U46" s="79" t="e">
        <f t="shared" si="4"/>
        <v>#N/A</v>
      </c>
      <c r="V46" s="230" t="str">
        <f>IFERROR(VLOOKUP($A46,VENTAS!$H$2:$O$201,4,FALSE),"")</f>
        <v/>
      </c>
      <c r="W46" s="9" t="str">
        <f t="shared" si="5"/>
        <v/>
      </c>
      <c r="X46" s="270" t="e">
        <f>VLOOKUP($A46,INICIO!$A$5:$J$72,6,FALSE)</f>
        <v>#N/A</v>
      </c>
      <c r="Y46" s="11"/>
      <c r="Z46" s="242" t="str">
        <f>IFERROR(IF(Y46&gt;0,"",Y46*VLOOKUP($A46,'VALOR I.'!$B$6:$K$418,10,FALSE)),"")</f>
        <v/>
      </c>
      <c r="AA46" s="276" t="e">
        <f>VLOOKUP($A46,INICIO!$A$5:$J$72,6,FALSE)</f>
        <v>#N/A</v>
      </c>
      <c r="AB46" s="232" t="e">
        <f>VLOOKUP($A46,REPOSICIONES!$A$5:$J$72,6,FALSE)</f>
        <v>#N/A</v>
      </c>
      <c r="AC46" s="79" t="e">
        <f t="shared" si="6"/>
        <v>#N/A</v>
      </c>
      <c r="AD46" s="230" t="str">
        <f>IFERROR(VLOOKUP($A46,VENTAS!$H$2:$O$201,5,FALSE),"")</f>
        <v/>
      </c>
      <c r="AE46" s="9" t="str">
        <f t="shared" si="7"/>
        <v/>
      </c>
      <c r="AF46" s="270" t="e">
        <f>VLOOKUP($A46,INICIO!$A$5:$J$72,7,FALSE)</f>
        <v>#N/A</v>
      </c>
      <c r="AG46" s="11"/>
      <c r="AH46" s="242" t="str">
        <f>IFERROR(IF(AG46&gt;0,"",AG46*VLOOKUP($A46,'VALOR I.'!$B$6:$K$418,10,FALSE)),"")</f>
        <v/>
      </c>
      <c r="AI46" s="269" t="e">
        <f>VLOOKUP($A46,INICIO!$A$5:$J$72,7,FALSE)</f>
        <v>#N/A</v>
      </c>
      <c r="AJ46" s="232" t="e">
        <f>VLOOKUP($A46,REPOSICIONES!$A$5:$J$72,7,FALSE)</f>
        <v>#N/A</v>
      </c>
      <c r="AK46" s="79" t="e">
        <f t="shared" si="8"/>
        <v>#N/A</v>
      </c>
      <c r="AL46" s="230" t="str">
        <f>IFERROR(VLOOKUP($A46,VENTAS!$H$2:$O$201,6,FALSE),"")</f>
        <v/>
      </c>
      <c r="AM46" s="9" t="str">
        <f t="shared" si="9"/>
        <v/>
      </c>
      <c r="AN46" s="270" t="e">
        <f>VLOOKUP($A46,INICIO!$A$5:$J$72,8,FALSE)</f>
        <v>#N/A</v>
      </c>
      <c r="AO46" s="11"/>
      <c r="AP46" s="204" t="str">
        <f>IFERROR(IF(AO46&gt;0,"",AO46*VLOOKUP($A46,'VALOR I.'!$B$6:$K$418,10,FALSE)),"")</f>
        <v/>
      </c>
      <c r="AQ46" s="269" t="e">
        <f>VLOOKUP($A46,INICIO!$A$5:$J$72,8,FALSE)</f>
        <v>#N/A</v>
      </c>
      <c r="AR46" s="232" t="e">
        <f>VLOOKUP($A46,REPOSICIONES!$A$5:$J$72,8,FALSE)</f>
        <v>#N/A</v>
      </c>
      <c r="AS46" s="79" t="e">
        <f t="shared" si="10"/>
        <v>#N/A</v>
      </c>
      <c r="AT46" s="230" t="str">
        <f>IFERROR(VLOOKUP($A46,VENTAS!$H$2:$O$201,7,FALSE),"")</f>
        <v/>
      </c>
      <c r="AU46" s="9" t="str">
        <f t="shared" si="11"/>
        <v/>
      </c>
      <c r="AV46" s="270" t="e">
        <f>VLOOKUP($A46,INICIO!$A$5:$J$72,9,FALSE)</f>
        <v>#N/A</v>
      </c>
      <c r="AW46" s="11"/>
      <c r="AX46" s="204" t="str">
        <f>IFERROR(IF(AW46&gt;0,"",AW46*VLOOKUP($A46,'VALOR I.'!$B$6:$K$418,10,FALSE)),"")</f>
        <v/>
      </c>
      <c r="AY46" s="269" t="e">
        <f>VLOOKUP($A46,INICIO!$A$5:$J$72,9,FALSE)</f>
        <v>#N/A</v>
      </c>
      <c r="AZ46" s="232" t="e">
        <f>VLOOKUP($A46,REPOSICIONES!$A$5:$J$72,9,FALSE)</f>
        <v>#N/A</v>
      </c>
      <c r="BA46" s="79" t="e">
        <f t="shared" si="18"/>
        <v>#N/A</v>
      </c>
      <c r="BB46" s="230" t="str">
        <f>IFERROR(VLOOKUP($A46,VENTAS!$H$2:$O$201,8,FALSE),"")</f>
        <v/>
      </c>
      <c r="BC46" s="9" t="str">
        <f t="shared" si="19"/>
        <v/>
      </c>
      <c r="BD46" s="270" t="e">
        <f>VLOOKUP($A46,INICIO!$A$5:$J$72,10,FALSE)</f>
        <v>#N/A</v>
      </c>
      <c r="BE46" s="11"/>
      <c r="BF46" s="204" t="str">
        <f>IFERROR(IF(BE46&gt;0,"",BE46*VLOOKUP($A46,'VALOR I.'!$B$6:$K$418,10,FALSE)),"")</f>
        <v/>
      </c>
    </row>
    <row r="47" spans="2:58" ht="15.75" hidden="1" customHeight="1" x14ac:dyDescent="0.25">
      <c r="B47" s="211"/>
      <c r="C47" s="239" t="e">
        <f>VLOOKUP($A47,INICIO!$A$5:$J$72,3,FALSE)</f>
        <v>#N/A</v>
      </c>
      <c r="D47" s="9" t="e">
        <f>VLOOKUP($A47,REPOSICIONES!$A$5:$J$72,3,FALSE)</f>
        <v>#N/A</v>
      </c>
      <c r="E47" s="79" t="e">
        <f t="shared" si="0"/>
        <v>#N/A</v>
      </c>
      <c r="F47" s="80" t="str">
        <f>IFERROR(VLOOKUP($A47,VENTAS!$H$2:$O$201,2,FALSE),"")</f>
        <v/>
      </c>
      <c r="G47" s="9" t="str">
        <f t="shared" si="1"/>
        <v/>
      </c>
      <c r="H47" s="9" t="e">
        <f>VLOOKUP($A47,INICIO!$A$5:$J$72,4,FALSE)</f>
        <v>#N/A</v>
      </c>
      <c r="I47" s="11"/>
      <c r="J47" s="242" t="str">
        <f>IFERROR(IF(I47&gt;0,"",I47*VLOOKUP($A47,'VALOR I.'!$B$6:$K$418,10,FALSE)),"")</f>
        <v/>
      </c>
      <c r="K47" s="276" t="e">
        <f>VLOOKUP($A47,INICIO!$A$5:$J$72,4,FALSE)</f>
        <v>#N/A</v>
      </c>
      <c r="L47" s="232" t="e">
        <f>VLOOKUP($A47,REPOSICIONES!$A$5:$J$72,4,FALSE)</f>
        <v>#N/A</v>
      </c>
      <c r="M47" s="79" t="e">
        <f t="shared" si="2"/>
        <v>#N/A</v>
      </c>
      <c r="N47" s="230" t="str">
        <f>IFERROR(VLOOKUP($A47,VENTAS!$H$2:$O$201,3,FALSE),"")</f>
        <v/>
      </c>
      <c r="O47" s="267" t="str">
        <f t="shared" si="3"/>
        <v/>
      </c>
      <c r="P47" s="270" t="e">
        <f>VLOOKUP($A47,INICIO!$A$5:$J$72,5,FALSE)</f>
        <v>#N/A</v>
      </c>
      <c r="Q47" s="11"/>
      <c r="R47" s="242" t="str">
        <f>IFERROR(IF(Q47&gt;0,"",Q47*VLOOKUP($A47,'VALOR I.'!$B$6:$K$418,10,FALSE)),"")</f>
        <v/>
      </c>
      <c r="S47" s="276" t="e">
        <f>VLOOKUP($A47,INICIO!$A$5:$J$72,5,FALSE)</f>
        <v>#N/A</v>
      </c>
      <c r="T47" s="232" t="e">
        <f>VLOOKUP($A47,REPOSICIONES!$A$5:$J$72,5,FALSE)</f>
        <v>#N/A</v>
      </c>
      <c r="U47" s="79" t="e">
        <f t="shared" si="4"/>
        <v>#N/A</v>
      </c>
      <c r="V47" s="230" t="str">
        <f>IFERROR(VLOOKUP($A47,VENTAS!$H$2:$O$201,4,FALSE),"")</f>
        <v/>
      </c>
      <c r="W47" s="9" t="str">
        <f t="shared" si="5"/>
        <v/>
      </c>
      <c r="X47" s="270" t="e">
        <f>VLOOKUP($A47,INICIO!$A$5:$J$72,6,FALSE)</f>
        <v>#N/A</v>
      </c>
      <c r="Y47" s="11"/>
      <c r="Z47" s="242" t="str">
        <f>IFERROR(IF(Y47&gt;0,"",Y47*VLOOKUP($A47,'VALOR I.'!$B$6:$K$418,10,FALSE)),"")</f>
        <v/>
      </c>
      <c r="AA47" s="276" t="e">
        <f>VLOOKUP($A47,INICIO!$A$5:$J$72,6,FALSE)</f>
        <v>#N/A</v>
      </c>
      <c r="AB47" s="232" t="e">
        <f>VLOOKUP($A47,REPOSICIONES!$A$5:$J$72,6,FALSE)</f>
        <v>#N/A</v>
      </c>
      <c r="AC47" s="79" t="e">
        <f t="shared" si="6"/>
        <v>#N/A</v>
      </c>
      <c r="AD47" s="230" t="str">
        <f>IFERROR(VLOOKUP($A47,VENTAS!$H$2:$O$201,5,FALSE),"")</f>
        <v/>
      </c>
      <c r="AE47" s="9" t="str">
        <f t="shared" si="7"/>
        <v/>
      </c>
      <c r="AF47" s="270" t="e">
        <f>VLOOKUP($A47,INICIO!$A$5:$J$72,7,FALSE)</f>
        <v>#N/A</v>
      </c>
      <c r="AG47" s="11"/>
      <c r="AH47" s="242" t="str">
        <f>IFERROR(IF(AG47&gt;0,"",AG47*VLOOKUP($A47,'VALOR I.'!$B$6:$K$418,10,FALSE)),"")</f>
        <v/>
      </c>
      <c r="AI47" s="269" t="e">
        <f>VLOOKUP($A47,INICIO!$A$5:$J$72,7,FALSE)</f>
        <v>#N/A</v>
      </c>
      <c r="AJ47" s="232" t="e">
        <f>VLOOKUP($A47,REPOSICIONES!$A$5:$J$72,7,FALSE)</f>
        <v>#N/A</v>
      </c>
      <c r="AK47" s="79" t="e">
        <f t="shared" si="8"/>
        <v>#N/A</v>
      </c>
      <c r="AL47" s="230" t="str">
        <f>IFERROR(VLOOKUP($A47,VENTAS!$H$2:$O$201,6,FALSE),"")</f>
        <v/>
      </c>
      <c r="AM47" s="9" t="str">
        <f t="shared" si="9"/>
        <v/>
      </c>
      <c r="AN47" s="270" t="e">
        <f>VLOOKUP($A47,INICIO!$A$5:$J$72,8,FALSE)</f>
        <v>#N/A</v>
      </c>
      <c r="AO47" s="11"/>
      <c r="AP47" s="204" t="str">
        <f>IFERROR(IF(AO47&gt;0,"",AO47*VLOOKUP($A47,'VALOR I.'!$B$6:$K$418,10,FALSE)),"")</f>
        <v/>
      </c>
      <c r="AQ47" s="269" t="e">
        <f>VLOOKUP($A47,INICIO!$A$5:$J$72,8,FALSE)</f>
        <v>#N/A</v>
      </c>
      <c r="AR47" s="232" t="e">
        <f>VLOOKUP($A47,REPOSICIONES!$A$5:$J$72,8,FALSE)</f>
        <v>#N/A</v>
      </c>
      <c r="AS47" s="79" t="e">
        <f t="shared" si="10"/>
        <v>#N/A</v>
      </c>
      <c r="AT47" s="230" t="str">
        <f>IFERROR(VLOOKUP($A47,VENTAS!$H$2:$O$201,7,FALSE),"")</f>
        <v/>
      </c>
      <c r="AU47" s="9" t="str">
        <f t="shared" si="11"/>
        <v/>
      </c>
      <c r="AV47" s="270" t="e">
        <f>VLOOKUP($A47,INICIO!$A$5:$J$72,9,FALSE)</f>
        <v>#N/A</v>
      </c>
      <c r="AW47" s="11"/>
      <c r="AX47" s="204" t="str">
        <f>IFERROR(IF(AW47&gt;0,"",AW47*VLOOKUP($A47,'VALOR I.'!$B$6:$K$418,10,FALSE)),"")</f>
        <v/>
      </c>
      <c r="AY47" s="269" t="e">
        <f>VLOOKUP($A47,INICIO!$A$5:$J$72,9,FALSE)</f>
        <v>#N/A</v>
      </c>
      <c r="AZ47" s="232" t="e">
        <f>VLOOKUP($A47,REPOSICIONES!$A$5:$J$72,9,FALSE)</f>
        <v>#N/A</v>
      </c>
      <c r="BA47" s="79" t="e">
        <f t="shared" si="18"/>
        <v>#N/A</v>
      </c>
      <c r="BB47" s="230" t="str">
        <f>IFERROR(VLOOKUP($A47,VENTAS!$H$2:$O$201,8,FALSE),"")</f>
        <v/>
      </c>
      <c r="BC47" s="9" t="str">
        <f t="shared" si="19"/>
        <v/>
      </c>
      <c r="BD47" s="270" t="e">
        <f>VLOOKUP($A47,INICIO!$A$5:$J$72,10,FALSE)</f>
        <v>#N/A</v>
      </c>
      <c r="BE47" s="11"/>
      <c r="BF47" s="204" t="str">
        <f>IFERROR(IF(BE47&gt;0,"",BE47*VLOOKUP($A47,'VALOR I.'!$B$6:$K$418,10,FALSE)),"")</f>
        <v/>
      </c>
    </row>
    <row r="48" spans="2:58" ht="15.75" hidden="1" customHeight="1" x14ac:dyDescent="0.25">
      <c r="B48" s="211"/>
      <c r="C48" s="239" t="e">
        <f>VLOOKUP($A48,INICIO!$A$5:$J$72,3,FALSE)</f>
        <v>#N/A</v>
      </c>
      <c r="D48" s="9" t="e">
        <f>VLOOKUP($A48,REPOSICIONES!$A$5:$J$72,3,FALSE)</f>
        <v>#N/A</v>
      </c>
      <c r="E48" s="79" t="e">
        <f t="shared" si="0"/>
        <v>#N/A</v>
      </c>
      <c r="F48" s="80" t="str">
        <f>IFERROR(VLOOKUP($A48,VENTAS!$H$2:$O$201,2,FALSE),"")</f>
        <v/>
      </c>
      <c r="G48" s="9" t="str">
        <f t="shared" si="1"/>
        <v/>
      </c>
      <c r="H48" s="9" t="e">
        <f>VLOOKUP($A48,INICIO!$A$5:$J$72,4,FALSE)</f>
        <v>#N/A</v>
      </c>
      <c r="I48" s="11"/>
      <c r="J48" s="242" t="str">
        <f>IFERROR(IF(I48&gt;0,"",I48*VLOOKUP($A48,'VALOR I.'!$B$6:$K$418,10,FALSE)),"")</f>
        <v/>
      </c>
      <c r="K48" s="276" t="e">
        <f>VLOOKUP($A48,INICIO!$A$5:$J$72,4,FALSE)</f>
        <v>#N/A</v>
      </c>
      <c r="L48" s="232" t="e">
        <f>VLOOKUP($A48,REPOSICIONES!$A$5:$J$72,4,FALSE)</f>
        <v>#N/A</v>
      </c>
      <c r="M48" s="79" t="e">
        <f t="shared" si="2"/>
        <v>#N/A</v>
      </c>
      <c r="N48" s="230" t="str">
        <f>IFERROR(VLOOKUP($A48,VENTAS!$H$2:$O$201,3,FALSE),"")</f>
        <v/>
      </c>
      <c r="O48" s="267" t="str">
        <f t="shared" si="3"/>
        <v/>
      </c>
      <c r="P48" s="270" t="e">
        <f>VLOOKUP($A48,INICIO!$A$5:$J$72,5,FALSE)</f>
        <v>#N/A</v>
      </c>
      <c r="Q48" s="11"/>
      <c r="R48" s="242" t="str">
        <f>IFERROR(IF(Q48&gt;0,"",Q48*VLOOKUP($A48,'VALOR I.'!$B$6:$K$418,10,FALSE)),"")</f>
        <v/>
      </c>
      <c r="S48" s="276" t="e">
        <f>VLOOKUP($A48,INICIO!$A$5:$J$72,5,FALSE)</f>
        <v>#N/A</v>
      </c>
      <c r="T48" s="232" t="e">
        <f>VLOOKUP($A48,REPOSICIONES!$A$5:$J$72,5,FALSE)</f>
        <v>#N/A</v>
      </c>
      <c r="U48" s="79" t="e">
        <f t="shared" si="4"/>
        <v>#N/A</v>
      </c>
      <c r="V48" s="230" t="str">
        <f>IFERROR(VLOOKUP($A48,VENTAS!$H$2:$O$201,4,FALSE),"")</f>
        <v/>
      </c>
      <c r="W48" s="9" t="str">
        <f t="shared" si="5"/>
        <v/>
      </c>
      <c r="X48" s="270" t="e">
        <f>VLOOKUP($A48,INICIO!$A$5:$J$72,6,FALSE)</f>
        <v>#N/A</v>
      </c>
      <c r="Y48" s="11"/>
      <c r="Z48" s="242" t="str">
        <f>IFERROR(IF(Y48&gt;0,"",Y48*VLOOKUP($A48,'VALOR I.'!$B$6:$K$418,10,FALSE)),"")</f>
        <v/>
      </c>
      <c r="AA48" s="276" t="e">
        <f>VLOOKUP($A48,INICIO!$A$5:$J$72,6,FALSE)</f>
        <v>#N/A</v>
      </c>
      <c r="AB48" s="232" t="e">
        <f>VLOOKUP($A48,REPOSICIONES!$A$5:$J$72,6,FALSE)</f>
        <v>#N/A</v>
      </c>
      <c r="AC48" s="79" t="e">
        <f t="shared" si="6"/>
        <v>#N/A</v>
      </c>
      <c r="AD48" s="230" t="str">
        <f>IFERROR(VLOOKUP($A48,VENTAS!$H$2:$O$201,5,FALSE),"")</f>
        <v/>
      </c>
      <c r="AE48" s="9" t="str">
        <f t="shared" si="7"/>
        <v/>
      </c>
      <c r="AF48" s="270" t="e">
        <f>VLOOKUP($A48,INICIO!$A$5:$J$72,7,FALSE)</f>
        <v>#N/A</v>
      </c>
      <c r="AG48" s="11"/>
      <c r="AH48" s="242" t="str">
        <f>IFERROR(IF(AG48&gt;0,"",AG48*VLOOKUP($A48,'VALOR I.'!$B$6:$K$418,10,FALSE)),"")</f>
        <v/>
      </c>
      <c r="AI48" s="269" t="e">
        <f>VLOOKUP($A48,INICIO!$A$5:$J$72,7,FALSE)</f>
        <v>#N/A</v>
      </c>
      <c r="AJ48" s="232" t="e">
        <f>VLOOKUP($A48,REPOSICIONES!$A$5:$J$72,7,FALSE)</f>
        <v>#N/A</v>
      </c>
      <c r="AK48" s="79" t="e">
        <f t="shared" si="8"/>
        <v>#N/A</v>
      </c>
      <c r="AL48" s="230" t="str">
        <f>IFERROR(VLOOKUP($A48,VENTAS!$H$2:$O$201,6,FALSE),"")</f>
        <v/>
      </c>
      <c r="AM48" s="9" t="str">
        <f t="shared" si="9"/>
        <v/>
      </c>
      <c r="AN48" s="270" t="e">
        <f>VLOOKUP($A48,INICIO!$A$5:$J$72,8,FALSE)</f>
        <v>#N/A</v>
      </c>
      <c r="AO48" s="11"/>
      <c r="AP48" s="204" t="str">
        <f>IFERROR(IF(AO48&gt;0,"",AO48*VLOOKUP($A48,'VALOR I.'!$B$6:$K$418,10,FALSE)),"")</f>
        <v/>
      </c>
      <c r="AQ48" s="269" t="e">
        <f>VLOOKUP($A48,INICIO!$A$5:$J$72,8,FALSE)</f>
        <v>#N/A</v>
      </c>
      <c r="AR48" s="232" t="e">
        <f>VLOOKUP($A48,REPOSICIONES!$A$5:$J$72,8,FALSE)</f>
        <v>#N/A</v>
      </c>
      <c r="AS48" s="79" t="e">
        <f t="shared" si="10"/>
        <v>#N/A</v>
      </c>
      <c r="AT48" s="230" t="str">
        <f>IFERROR(VLOOKUP($A48,VENTAS!$H$2:$O$201,7,FALSE),"")</f>
        <v/>
      </c>
      <c r="AU48" s="9" t="str">
        <f t="shared" si="11"/>
        <v/>
      </c>
      <c r="AV48" s="270" t="e">
        <f>VLOOKUP($A48,INICIO!$A$5:$J$72,9,FALSE)</f>
        <v>#N/A</v>
      </c>
      <c r="AW48" s="11"/>
      <c r="AX48" s="204" t="str">
        <f>IFERROR(IF(AW48&gt;0,"",AW48*VLOOKUP($A48,'VALOR I.'!$B$6:$K$418,10,FALSE)),"")</f>
        <v/>
      </c>
      <c r="AY48" s="269" t="e">
        <f>VLOOKUP($A48,INICIO!$A$5:$J$72,9,FALSE)</f>
        <v>#N/A</v>
      </c>
      <c r="AZ48" s="232" t="e">
        <f>VLOOKUP($A48,REPOSICIONES!$A$5:$J$72,9,FALSE)</f>
        <v>#N/A</v>
      </c>
      <c r="BA48" s="79" t="e">
        <f t="shared" si="18"/>
        <v>#N/A</v>
      </c>
      <c r="BB48" s="230" t="str">
        <f>IFERROR(VLOOKUP($A48,VENTAS!$H$2:$O$201,8,FALSE),"")</f>
        <v/>
      </c>
      <c r="BC48" s="9" t="str">
        <f t="shared" si="19"/>
        <v/>
      </c>
      <c r="BD48" s="270" t="e">
        <f>VLOOKUP($A48,INICIO!$A$5:$J$72,10,FALSE)</f>
        <v>#N/A</v>
      </c>
      <c r="BE48" s="11"/>
      <c r="BF48" s="204" t="str">
        <f>IFERROR(IF(BE48&gt;0,"",BE48*VLOOKUP($A48,'VALOR I.'!$B$6:$K$418,10,FALSE)),"")</f>
        <v/>
      </c>
    </row>
    <row r="49" spans="2:58" ht="15.75" hidden="1" customHeight="1" x14ac:dyDescent="0.25">
      <c r="B49" s="213"/>
      <c r="C49" s="271"/>
      <c r="D49" s="55"/>
      <c r="E49" s="55"/>
      <c r="F49" s="55"/>
      <c r="G49" s="55"/>
      <c r="H49" s="55"/>
      <c r="I49" s="55"/>
      <c r="J49" s="272"/>
      <c r="K49" s="271"/>
      <c r="L49" s="55"/>
      <c r="M49" s="55"/>
      <c r="N49" s="55"/>
      <c r="O49" s="55"/>
      <c r="P49" s="55"/>
      <c r="Q49" s="55"/>
      <c r="R49" s="272"/>
      <c r="S49" s="271"/>
      <c r="T49" s="55"/>
      <c r="U49" s="55"/>
      <c r="V49" s="55"/>
      <c r="W49" s="55"/>
      <c r="X49" s="55"/>
      <c r="Y49" s="55"/>
      <c r="Z49" s="272"/>
      <c r="AA49" s="271"/>
      <c r="AB49" s="55"/>
      <c r="AC49" s="55"/>
      <c r="AD49" s="55"/>
      <c r="AE49" s="55"/>
      <c r="AF49" s="55"/>
      <c r="AG49" s="55"/>
      <c r="AH49" s="272"/>
      <c r="AI49" s="220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</row>
    <row r="50" spans="2:58" ht="15.75" hidden="1" customHeight="1" x14ac:dyDescent="0.25">
      <c r="B50" s="281"/>
      <c r="C50" s="239" t="e">
        <f>VLOOKUP($A50,INICIO!$A$5:$J$72,3,FALSE)</f>
        <v>#N/A</v>
      </c>
      <c r="D50" s="9" t="e">
        <f>VLOOKUP($A50,REPOSICIONES!$A$5:$J$72,3,FALSE)</f>
        <v>#N/A</v>
      </c>
      <c r="E50" s="79" t="e">
        <f t="shared" si="0"/>
        <v>#N/A</v>
      </c>
      <c r="F50" s="80" t="str">
        <f>IFERROR(VLOOKUP($A50,VENTAS!$H$2:$O$201,2,FALSE),"")</f>
        <v/>
      </c>
      <c r="G50" s="9" t="str">
        <f t="shared" si="1"/>
        <v/>
      </c>
      <c r="H50" s="9" t="e">
        <f>VLOOKUP($A50,INICIO!$A$5:$J$72,4,FALSE)</f>
        <v>#N/A</v>
      </c>
      <c r="I50" s="11"/>
      <c r="J50" s="242" t="str">
        <f>IFERROR(IF(I50&gt;0,"",I50*VLOOKUP($A50,'VALOR I.'!$B$6:$K$418,10,FALSE)),"")</f>
        <v/>
      </c>
      <c r="K50" s="276" t="e">
        <f>VLOOKUP($A50,INICIO!$A$5:$J$72,4,FALSE)</f>
        <v>#N/A</v>
      </c>
      <c r="L50" s="232" t="e">
        <f>VLOOKUP($A50,REPOSICIONES!$A$5:$J$72,4,FALSE)</f>
        <v>#N/A</v>
      </c>
      <c r="M50" s="79" t="e">
        <f t="shared" si="2"/>
        <v>#N/A</v>
      </c>
      <c r="N50" s="230" t="str">
        <f>IFERROR(VLOOKUP($A50,VENTAS!$H$2:$O$201,3,FALSE),"")</f>
        <v/>
      </c>
      <c r="O50" s="267" t="str">
        <f t="shared" si="3"/>
        <v/>
      </c>
      <c r="P50" s="270" t="e">
        <f>VLOOKUP($A50,INICIO!$A$5:$J$72,5,FALSE)</f>
        <v>#N/A</v>
      </c>
      <c r="Q50" s="11"/>
      <c r="R50" s="242" t="str">
        <f>IFERROR(IF(Q50&gt;0,"",Q50*VLOOKUP($A50,'VALOR I.'!$B$6:$K$418,10,FALSE)),"")</f>
        <v/>
      </c>
      <c r="S50" s="276" t="e">
        <f>VLOOKUP($A50,INICIO!$A$5:$J$72,5,FALSE)</f>
        <v>#N/A</v>
      </c>
      <c r="T50" s="232" t="e">
        <f>VLOOKUP($A50,REPOSICIONES!$A$5:$J$72,5,FALSE)</f>
        <v>#N/A</v>
      </c>
      <c r="U50" s="79" t="e">
        <f t="shared" si="4"/>
        <v>#N/A</v>
      </c>
      <c r="V50" s="230" t="str">
        <f>IFERROR(VLOOKUP($A50,VENTAS!$H$2:$O$201,4,FALSE),"")</f>
        <v/>
      </c>
      <c r="W50" s="11" t="str">
        <f t="shared" si="5"/>
        <v/>
      </c>
      <c r="X50" s="270" t="e">
        <f>VLOOKUP($A50,INICIO!$A$5:$J$72,6,FALSE)</f>
        <v>#N/A</v>
      </c>
      <c r="Y50" s="11"/>
      <c r="Z50" s="242" t="str">
        <f>IFERROR(IF(Y50&gt;0,"",Y50*VLOOKUP($A50,'VALOR I.'!$B$6:$K$418,10,FALSE)),"")</f>
        <v/>
      </c>
      <c r="AA50" s="276" t="e">
        <f>VLOOKUP($A50,INICIO!$A$5:$J$72,6,FALSE)</f>
        <v>#N/A</v>
      </c>
      <c r="AB50" s="232" t="e">
        <f>VLOOKUP($A50,REPOSICIONES!$A$5:$J$72,6,FALSE)</f>
        <v>#N/A</v>
      </c>
      <c r="AC50" s="79" t="e">
        <f t="shared" si="6"/>
        <v>#N/A</v>
      </c>
      <c r="AD50" s="230" t="str">
        <f>IFERROR(VLOOKUP($A50,VENTAS!$H$2:$O$201,5,FALSE),"")</f>
        <v/>
      </c>
      <c r="AE50" s="11" t="str">
        <f t="shared" si="7"/>
        <v/>
      </c>
      <c r="AF50" s="270" t="e">
        <f>VLOOKUP($A50,INICIO!$A$5:$J$72,7,FALSE)</f>
        <v>#N/A</v>
      </c>
      <c r="AG50" s="11"/>
      <c r="AH50" s="242" t="str">
        <f>IFERROR(IF(AG50&gt;0,"",AG50*VLOOKUP($A50,'VALOR I.'!$B$6:$K$418,10,FALSE)),"")</f>
        <v/>
      </c>
      <c r="AI50" s="269" t="e">
        <f>VLOOKUP($A50,INICIO!$A$5:$J$72,7,FALSE)</f>
        <v>#N/A</v>
      </c>
      <c r="AJ50" s="232" t="e">
        <f>VLOOKUP($A50,REPOSICIONES!$A$5:$J$72,7,FALSE)</f>
        <v>#N/A</v>
      </c>
      <c r="AK50" s="79" t="e">
        <f t="shared" si="8"/>
        <v>#N/A</v>
      </c>
      <c r="AL50" s="230" t="str">
        <f>IFERROR(VLOOKUP($A50,VENTAS!$H$2:$O$201,6,FALSE),"")</f>
        <v/>
      </c>
      <c r="AM50" s="11" t="str">
        <f t="shared" si="9"/>
        <v/>
      </c>
      <c r="AN50" s="270" t="e">
        <f>VLOOKUP($A50,INICIO!$A$5:$J$72,8,FALSE)</f>
        <v>#N/A</v>
      </c>
      <c r="AO50" s="11"/>
      <c r="AP50" s="204" t="str">
        <f>IFERROR(IF(AO50&gt;0,"",AO50*VLOOKUP($A50,'VALOR I.'!$B$6:$K$418,10,FALSE)),"")</f>
        <v/>
      </c>
      <c r="AQ50" s="269" t="e">
        <f>VLOOKUP($A50,INICIO!$A$5:$J$72,8,FALSE)</f>
        <v>#N/A</v>
      </c>
      <c r="AR50" s="232" t="e">
        <f>VLOOKUP($A50,REPOSICIONES!$A$5:$J$72,8,FALSE)</f>
        <v>#N/A</v>
      </c>
      <c r="AS50" s="79" t="e">
        <f t="shared" si="10"/>
        <v>#N/A</v>
      </c>
      <c r="AT50" s="230" t="str">
        <f>IFERROR(VLOOKUP($A50,VENTAS!$H$2:$O$201,7,FALSE),"")</f>
        <v/>
      </c>
      <c r="AU50" s="11" t="str">
        <f t="shared" si="11"/>
        <v/>
      </c>
      <c r="AV50" s="270" t="e">
        <f>VLOOKUP($A50,INICIO!$A$5:$J$72,9,FALSE)</f>
        <v>#N/A</v>
      </c>
      <c r="AW50" s="11"/>
      <c r="AX50" s="204" t="str">
        <f>IFERROR(IF(AW50&gt;0,"",AW50*VLOOKUP($A50,'VALOR I.'!$B$6:$K$418,10,FALSE)),"")</f>
        <v/>
      </c>
      <c r="AY50" s="269" t="e">
        <f>VLOOKUP($A50,INICIO!$A$5:$J$72,9,FALSE)</f>
        <v>#N/A</v>
      </c>
      <c r="AZ50" s="232" t="e">
        <f>VLOOKUP($A50,REPOSICIONES!$A$5:$J$72,9,FALSE)</f>
        <v>#N/A</v>
      </c>
      <c r="BA50" s="79" t="e">
        <f t="shared" si="18"/>
        <v>#N/A</v>
      </c>
      <c r="BB50" s="230" t="str">
        <f>IFERROR(VLOOKUP($A50,VENTAS!$H$2:$O$201,8,FALSE),"")</f>
        <v/>
      </c>
      <c r="BC50" s="11" t="str">
        <f t="shared" si="19"/>
        <v/>
      </c>
      <c r="BD50" s="270" t="e">
        <f>VLOOKUP($A50,INICIO!$A$5:$J$72,10,FALSE)</f>
        <v>#N/A</v>
      </c>
      <c r="BE50" s="11"/>
      <c r="BF50" s="204" t="str">
        <f>IFERROR(IF(BE50&gt;0,"",BE50*VLOOKUP($A50,'VALOR I.'!$B$6:$K$418,10,FALSE)),"")</f>
        <v/>
      </c>
    </row>
    <row r="51" spans="2:58" ht="15.75" hidden="1" customHeight="1" x14ac:dyDescent="0.25">
      <c r="B51" s="282"/>
      <c r="C51" s="239" t="e">
        <f>VLOOKUP($A51,INICIO!$A$5:$J$72,3,FALSE)</f>
        <v>#N/A</v>
      </c>
      <c r="D51" s="9" t="e">
        <f>VLOOKUP($A51,REPOSICIONES!$A$5:$J$72,3,FALSE)</f>
        <v>#N/A</v>
      </c>
      <c r="E51" s="79" t="e">
        <f t="shared" si="0"/>
        <v>#N/A</v>
      </c>
      <c r="F51" s="80" t="str">
        <f>IFERROR(VLOOKUP($A51,VENTAS!$H$2:$O$201,2,FALSE),"")</f>
        <v/>
      </c>
      <c r="G51" s="9" t="str">
        <f t="shared" si="1"/>
        <v/>
      </c>
      <c r="H51" s="9" t="e">
        <f>VLOOKUP($A51,INICIO!$A$5:$J$72,4,FALSE)</f>
        <v>#N/A</v>
      </c>
      <c r="I51" s="11"/>
      <c r="J51" s="242" t="str">
        <f>IFERROR(IF(I51&gt;0,"",I51*VLOOKUP($A51,'VALOR I.'!$B$6:$K$418,10,FALSE)),"")</f>
        <v/>
      </c>
      <c r="K51" s="276" t="e">
        <f>VLOOKUP($A51,INICIO!$A$5:$J$72,4,FALSE)</f>
        <v>#N/A</v>
      </c>
      <c r="L51" s="232" t="e">
        <f>VLOOKUP($A51,REPOSICIONES!$A$5:$J$72,4,FALSE)</f>
        <v>#N/A</v>
      </c>
      <c r="M51" s="79" t="e">
        <f t="shared" si="2"/>
        <v>#N/A</v>
      </c>
      <c r="N51" s="230" t="str">
        <f>IFERROR(VLOOKUP($A51,VENTAS!$H$2:$O$201,3,FALSE),"")</f>
        <v/>
      </c>
      <c r="O51" s="267" t="str">
        <f t="shared" si="3"/>
        <v/>
      </c>
      <c r="P51" s="270" t="e">
        <f>VLOOKUP($A51,INICIO!$A$5:$J$72,5,FALSE)</f>
        <v>#N/A</v>
      </c>
      <c r="Q51" s="11"/>
      <c r="R51" s="242" t="str">
        <f>IFERROR(IF(Q51&gt;0,"",Q51*VLOOKUP($A51,'VALOR I.'!$B$6:$K$418,10,FALSE)),"")</f>
        <v/>
      </c>
      <c r="S51" s="276" t="e">
        <f>VLOOKUP($A51,INICIO!$A$5:$J$72,5,FALSE)</f>
        <v>#N/A</v>
      </c>
      <c r="T51" s="232" t="e">
        <f>VLOOKUP($A51,REPOSICIONES!$A$5:$J$72,5,FALSE)</f>
        <v>#N/A</v>
      </c>
      <c r="U51" s="79" t="e">
        <f t="shared" si="4"/>
        <v>#N/A</v>
      </c>
      <c r="V51" s="230" t="str">
        <f>IFERROR(VLOOKUP($A51,VENTAS!$H$2:$O$201,4,FALSE),"")</f>
        <v/>
      </c>
      <c r="W51" s="11" t="str">
        <f t="shared" si="5"/>
        <v/>
      </c>
      <c r="X51" s="270" t="e">
        <f>VLOOKUP($A51,INICIO!$A$5:$J$72,6,FALSE)</f>
        <v>#N/A</v>
      </c>
      <c r="Y51" s="11"/>
      <c r="Z51" s="242" t="str">
        <f>IFERROR(IF(Y51&gt;0,"",Y51*VLOOKUP($A51,'VALOR I.'!$B$6:$K$418,10,FALSE)),"")</f>
        <v/>
      </c>
      <c r="AA51" s="276" t="e">
        <f>VLOOKUP($A51,INICIO!$A$5:$J$72,6,FALSE)</f>
        <v>#N/A</v>
      </c>
      <c r="AB51" s="232" t="e">
        <f>VLOOKUP($A51,REPOSICIONES!$A$5:$J$72,6,FALSE)</f>
        <v>#N/A</v>
      </c>
      <c r="AC51" s="79" t="e">
        <f t="shared" si="6"/>
        <v>#N/A</v>
      </c>
      <c r="AD51" s="230" t="str">
        <f>IFERROR(VLOOKUP($A51,VENTAS!$H$2:$O$201,5,FALSE),"")</f>
        <v/>
      </c>
      <c r="AE51" s="11" t="str">
        <f t="shared" si="7"/>
        <v/>
      </c>
      <c r="AF51" s="270" t="e">
        <f>VLOOKUP($A51,INICIO!$A$5:$J$72,7,FALSE)</f>
        <v>#N/A</v>
      </c>
      <c r="AG51" s="11"/>
      <c r="AH51" s="242" t="str">
        <f>IFERROR(IF(AG51&gt;0,"",AG51*VLOOKUP($A51,'VALOR I.'!$B$6:$K$418,10,FALSE)),"")</f>
        <v/>
      </c>
      <c r="AI51" s="269" t="e">
        <f>VLOOKUP($A51,INICIO!$A$5:$J$72,7,FALSE)</f>
        <v>#N/A</v>
      </c>
      <c r="AJ51" s="232" t="e">
        <f>VLOOKUP($A51,REPOSICIONES!$A$5:$J$72,7,FALSE)</f>
        <v>#N/A</v>
      </c>
      <c r="AK51" s="79" t="e">
        <f t="shared" si="8"/>
        <v>#N/A</v>
      </c>
      <c r="AL51" s="230" t="str">
        <f>IFERROR(VLOOKUP($A51,VENTAS!$H$2:$O$201,6,FALSE),"")</f>
        <v/>
      </c>
      <c r="AM51" s="11" t="str">
        <f t="shared" si="9"/>
        <v/>
      </c>
      <c r="AN51" s="270" t="e">
        <f>VLOOKUP($A51,INICIO!$A$5:$J$72,8,FALSE)</f>
        <v>#N/A</v>
      </c>
      <c r="AO51" s="11"/>
      <c r="AP51" s="204" t="str">
        <f>IFERROR(IF(AO51&gt;0,"",AO51*VLOOKUP($A51,'VALOR I.'!$B$6:$K$418,10,FALSE)),"")</f>
        <v/>
      </c>
      <c r="AQ51" s="269" t="e">
        <f>VLOOKUP($A51,INICIO!$A$5:$J$72,8,FALSE)</f>
        <v>#N/A</v>
      </c>
      <c r="AR51" s="232" t="e">
        <f>VLOOKUP($A51,REPOSICIONES!$A$5:$J$72,8,FALSE)</f>
        <v>#N/A</v>
      </c>
      <c r="AS51" s="79" t="e">
        <f t="shared" si="10"/>
        <v>#N/A</v>
      </c>
      <c r="AT51" s="230" t="str">
        <f>IFERROR(VLOOKUP($A51,VENTAS!$H$2:$O$201,7,FALSE),"")</f>
        <v/>
      </c>
      <c r="AU51" s="11" t="str">
        <f t="shared" si="11"/>
        <v/>
      </c>
      <c r="AV51" s="270" t="e">
        <f>VLOOKUP($A51,INICIO!$A$5:$J$72,9,FALSE)</f>
        <v>#N/A</v>
      </c>
      <c r="AW51" s="11"/>
      <c r="AX51" s="204" t="str">
        <f>IFERROR(IF(AW51&gt;0,"",AW51*VLOOKUP($A51,'VALOR I.'!$B$6:$K$418,10,FALSE)),"")</f>
        <v/>
      </c>
      <c r="AY51" s="269" t="e">
        <f>VLOOKUP($A51,INICIO!$A$5:$J$72,9,FALSE)</f>
        <v>#N/A</v>
      </c>
      <c r="AZ51" s="232" t="e">
        <f>VLOOKUP($A51,REPOSICIONES!$A$5:$J$72,9,FALSE)</f>
        <v>#N/A</v>
      </c>
      <c r="BA51" s="79" t="e">
        <f t="shared" si="18"/>
        <v>#N/A</v>
      </c>
      <c r="BB51" s="230" t="str">
        <f>IFERROR(VLOOKUP($A51,VENTAS!$H$2:$O$201,8,FALSE),"")</f>
        <v/>
      </c>
      <c r="BC51" s="11" t="str">
        <f t="shared" si="19"/>
        <v/>
      </c>
      <c r="BD51" s="270" t="e">
        <f>VLOOKUP($A51,INICIO!$A$5:$J$72,10,FALSE)</f>
        <v>#N/A</v>
      </c>
      <c r="BE51" s="11"/>
      <c r="BF51" s="204" t="str">
        <f>IFERROR(IF(BE51&gt;0,"",BE51*VLOOKUP($A51,'VALOR I.'!$B$6:$K$418,10,FALSE)),"")</f>
        <v/>
      </c>
    </row>
    <row r="52" spans="2:58" ht="15.75" hidden="1" customHeight="1" x14ac:dyDescent="0.25">
      <c r="B52" s="282"/>
      <c r="C52" s="239" t="e">
        <f>VLOOKUP($A52,INICIO!$A$5:$J$72,3,FALSE)</f>
        <v>#N/A</v>
      </c>
      <c r="D52" s="9" t="e">
        <f>VLOOKUP($A52,REPOSICIONES!$A$5:$J$72,3,FALSE)</f>
        <v>#N/A</v>
      </c>
      <c r="E52" s="79" t="e">
        <f t="shared" si="0"/>
        <v>#N/A</v>
      </c>
      <c r="F52" s="80" t="str">
        <f>IFERROR(VLOOKUP($A52,VENTAS!$H$2:$O$201,2,FALSE),"")</f>
        <v/>
      </c>
      <c r="G52" s="9" t="str">
        <f t="shared" si="1"/>
        <v/>
      </c>
      <c r="H52" s="9" t="e">
        <f>VLOOKUP($A52,INICIO!$A$5:$J$72,4,FALSE)</f>
        <v>#N/A</v>
      </c>
      <c r="I52" s="11"/>
      <c r="J52" s="242" t="str">
        <f>IFERROR(IF(I52&gt;0,"",I52*VLOOKUP($A52,'VALOR I.'!$B$6:$K$418,10,FALSE)),"")</f>
        <v/>
      </c>
      <c r="K52" s="276" t="e">
        <f>VLOOKUP($A52,INICIO!$A$5:$J$72,4,FALSE)</f>
        <v>#N/A</v>
      </c>
      <c r="L52" s="232" t="e">
        <f>VLOOKUP($A52,REPOSICIONES!$A$5:$J$72,4,FALSE)</f>
        <v>#N/A</v>
      </c>
      <c r="M52" s="79" t="e">
        <f t="shared" si="2"/>
        <v>#N/A</v>
      </c>
      <c r="N52" s="230" t="str">
        <f>IFERROR(VLOOKUP($A52,VENTAS!$H$2:$O$201,3,FALSE),"")</f>
        <v/>
      </c>
      <c r="O52" s="267" t="str">
        <f t="shared" si="3"/>
        <v/>
      </c>
      <c r="P52" s="270" t="e">
        <f>VLOOKUP($A52,INICIO!$A$5:$J$72,5,FALSE)</f>
        <v>#N/A</v>
      </c>
      <c r="Q52" s="11"/>
      <c r="R52" s="242" t="str">
        <f>IFERROR(IF(Q52&gt;0,"",Q52*VLOOKUP($A52,'VALOR I.'!$B$6:$K$418,10,FALSE)),"")</f>
        <v/>
      </c>
      <c r="S52" s="276" t="e">
        <f>VLOOKUP($A52,INICIO!$A$5:$J$72,5,FALSE)</f>
        <v>#N/A</v>
      </c>
      <c r="T52" s="232" t="e">
        <f>VLOOKUP($A52,REPOSICIONES!$A$5:$J$72,5,FALSE)</f>
        <v>#N/A</v>
      </c>
      <c r="U52" s="79" t="e">
        <f t="shared" si="4"/>
        <v>#N/A</v>
      </c>
      <c r="V52" s="230" t="str">
        <f>IFERROR(VLOOKUP($A52,VENTAS!$H$2:$O$201,4,FALSE),"")</f>
        <v/>
      </c>
      <c r="W52" s="11" t="str">
        <f t="shared" si="5"/>
        <v/>
      </c>
      <c r="X52" s="270" t="e">
        <f>VLOOKUP($A52,INICIO!$A$5:$J$72,6,FALSE)</f>
        <v>#N/A</v>
      </c>
      <c r="Y52" s="11"/>
      <c r="Z52" s="242" t="str">
        <f>IFERROR(IF(Y52&gt;0,"",Y52*VLOOKUP($A52,'VALOR I.'!$B$6:$K$418,10,FALSE)),"")</f>
        <v/>
      </c>
      <c r="AA52" s="276" t="e">
        <f>VLOOKUP($A52,INICIO!$A$5:$J$72,6,FALSE)</f>
        <v>#N/A</v>
      </c>
      <c r="AB52" s="232" t="e">
        <f>VLOOKUP($A52,REPOSICIONES!$A$5:$J$72,6,FALSE)</f>
        <v>#N/A</v>
      </c>
      <c r="AC52" s="79" t="e">
        <f t="shared" si="6"/>
        <v>#N/A</v>
      </c>
      <c r="AD52" s="230" t="str">
        <f>IFERROR(VLOOKUP($A52,VENTAS!$H$2:$O$201,5,FALSE),"")</f>
        <v/>
      </c>
      <c r="AE52" s="11" t="str">
        <f t="shared" si="7"/>
        <v/>
      </c>
      <c r="AF52" s="270" t="e">
        <f>VLOOKUP($A52,INICIO!$A$5:$J$72,7,FALSE)</f>
        <v>#N/A</v>
      </c>
      <c r="AG52" s="11"/>
      <c r="AH52" s="242" t="str">
        <f>IFERROR(IF(AG52&gt;0,"",AG52*VLOOKUP($A52,'VALOR I.'!$B$6:$K$418,10,FALSE)),"")</f>
        <v/>
      </c>
      <c r="AI52" s="269" t="e">
        <f>VLOOKUP($A52,INICIO!$A$5:$J$72,7,FALSE)</f>
        <v>#N/A</v>
      </c>
      <c r="AJ52" s="232" t="e">
        <f>VLOOKUP($A52,REPOSICIONES!$A$5:$J$72,7,FALSE)</f>
        <v>#N/A</v>
      </c>
      <c r="AK52" s="79" t="e">
        <f t="shared" si="8"/>
        <v>#N/A</v>
      </c>
      <c r="AL52" s="230" t="str">
        <f>IFERROR(VLOOKUP($A52,VENTAS!$H$2:$O$201,6,FALSE),"")</f>
        <v/>
      </c>
      <c r="AM52" s="11" t="str">
        <f t="shared" si="9"/>
        <v/>
      </c>
      <c r="AN52" s="270" t="e">
        <f>VLOOKUP($A52,INICIO!$A$5:$J$72,8,FALSE)</f>
        <v>#N/A</v>
      </c>
      <c r="AO52" s="11"/>
      <c r="AP52" s="204" t="str">
        <f>IFERROR(IF(AO52&gt;0,"",AO52*VLOOKUP($A52,'VALOR I.'!$B$6:$K$418,10,FALSE)),"")</f>
        <v/>
      </c>
      <c r="AQ52" s="269" t="e">
        <f>VLOOKUP($A52,INICIO!$A$5:$J$72,8,FALSE)</f>
        <v>#N/A</v>
      </c>
      <c r="AR52" s="232" t="e">
        <f>VLOOKUP($A52,REPOSICIONES!$A$5:$J$72,8,FALSE)</f>
        <v>#N/A</v>
      </c>
      <c r="AS52" s="79" t="e">
        <f t="shared" si="10"/>
        <v>#N/A</v>
      </c>
      <c r="AT52" s="230" t="str">
        <f>IFERROR(VLOOKUP($A52,VENTAS!$H$2:$O$201,7,FALSE),"")</f>
        <v/>
      </c>
      <c r="AU52" s="11" t="str">
        <f t="shared" si="11"/>
        <v/>
      </c>
      <c r="AV52" s="270" t="e">
        <f>VLOOKUP($A52,INICIO!$A$5:$J$72,9,FALSE)</f>
        <v>#N/A</v>
      </c>
      <c r="AW52" s="11"/>
      <c r="AX52" s="204" t="str">
        <f>IFERROR(IF(AW52&gt;0,"",AW52*VLOOKUP($A52,'VALOR I.'!$B$6:$K$418,10,FALSE)),"")</f>
        <v/>
      </c>
      <c r="AY52" s="269" t="e">
        <f>VLOOKUP($A52,INICIO!$A$5:$J$72,9,FALSE)</f>
        <v>#N/A</v>
      </c>
      <c r="AZ52" s="232" t="e">
        <f>VLOOKUP($A52,REPOSICIONES!$A$5:$J$72,9,FALSE)</f>
        <v>#N/A</v>
      </c>
      <c r="BA52" s="79" t="e">
        <f t="shared" si="18"/>
        <v>#N/A</v>
      </c>
      <c r="BB52" s="230" t="str">
        <f>IFERROR(VLOOKUP($A52,VENTAS!$H$2:$O$201,8,FALSE),"")</f>
        <v/>
      </c>
      <c r="BC52" s="11" t="str">
        <f t="shared" si="19"/>
        <v/>
      </c>
      <c r="BD52" s="270" t="e">
        <f>VLOOKUP($A52,INICIO!$A$5:$J$72,10,FALSE)</f>
        <v>#N/A</v>
      </c>
      <c r="BE52" s="11"/>
      <c r="BF52" s="204" t="str">
        <f>IFERROR(IF(BE52&gt;0,"",BE52*VLOOKUP($A52,'VALOR I.'!$B$6:$K$418,10,FALSE)),"")</f>
        <v/>
      </c>
    </row>
    <row r="53" spans="2:58" ht="15.75" hidden="1" customHeight="1" x14ac:dyDescent="0.25">
      <c r="B53" s="283"/>
      <c r="C53" s="239" t="e">
        <f>VLOOKUP($A53,INICIO!$A$5:$J$72,3,FALSE)</f>
        <v>#N/A</v>
      </c>
      <c r="D53" s="9" t="e">
        <f>VLOOKUP($A53,REPOSICIONES!$A$5:$J$72,3,FALSE)</f>
        <v>#N/A</v>
      </c>
      <c r="E53" s="79" t="e">
        <f t="shared" si="0"/>
        <v>#N/A</v>
      </c>
      <c r="F53" s="80" t="str">
        <f>IFERROR(VLOOKUP($A53,VENTAS!$H$2:$O$201,2,FALSE),"")</f>
        <v/>
      </c>
      <c r="G53" s="9" t="str">
        <f t="shared" si="1"/>
        <v/>
      </c>
      <c r="H53" s="9" t="e">
        <f>VLOOKUP($A53,INICIO!$A$5:$J$72,4,FALSE)</f>
        <v>#N/A</v>
      </c>
      <c r="I53" s="11"/>
      <c r="J53" s="242" t="str">
        <f>IFERROR(IF(I53&gt;0,"",I53*VLOOKUP($A53,'VALOR I.'!$B$6:$K$418,10,FALSE)),"")</f>
        <v/>
      </c>
      <c r="K53" s="276" t="e">
        <f>VLOOKUP($A53,INICIO!$A$5:$J$72,4,FALSE)</f>
        <v>#N/A</v>
      </c>
      <c r="L53" s="232" t="e">
        <f>VLOOKUP($A53,REPOSICIONES!$A$5:$J$72,4,FALSE)</f>
        <v>#N/A</v>
      </c>
      <c r="M53" s="79" t="e">
        <f t="shared" si="2"/>
        <v>#N/A</v>
      </c>
      <c r="N53" s="230" t="str">
        <f>IFERROR(VLOOKUP($A53,VENTAS!$H$2:$O$201,3,FALSE),"")</f>
        <v/>
      </c>
      <c r="O53" s="267" t="str">
        <f t="shared" si="3"/>
        <v/>
      </c>
      <c r="P53" s="270" t="e">
        <f>VLOOKUP($A53,INICIO!$A$5:$J$72,5,FALSE)</f>
        <v>#N/A</v>
      </c>
      <c r="Q53" s="11"/>
      <c r="R53" s="242" t="str">
        <f>IFERROR(IF(Q53&gt;0,"",Q53*VLOOKUP($A53,'VALOR I.'!$B$6:$K$418,10,FALSE)),"")</f>
        <v/>
      </c>
      <c r="S53" s="276" t="e">
        <f>VLOOKUP($A53,INICIO!$A$5:$J$72,5,FALSE)</f>
        <v>#N/A</v>
      </c>
      <c r="T53" s="232" t="e">
        <f>VLOOKUP($A53,REPOSICIONES!$A$5:$J$72,5,FALSE)</f>
        <v>#N/A</v>
      </c>
      <c r="U53" s="79" t="e">
        <f t="shared" si="4"/>
        <v>#N/A</v>
      </c>
      <c r="V53" s="230" t="str">
        <f>IFERROR(VLOOKUP($A53,VENTAS!$H$2:$O$201,4,FALSE),"")</f>
        <v/>
      </c>
      <c r="W53" s="11" t="str">
        <f t="shared" si="5"/>
        <v/>
      </c>
      <c r="X53" s="270" t="e">
        <f>VLOOKUP($A53,INICIO!$A$5:$J$72,6,FALSE)</f>
        <v>#N/A</v>
      </c>
      <c r="Y53" s="11"/>
      <c r="Z53" s="242" t="str">
        <f>IFERROR(IF(Y53&gt;0,"",Y53*VLOOKUP($A53,'VALOR I.'!$B$6:$K$418,10,FALSE)),"")</f>
        <v/>
      </c>
      <c r="AA53" s="276" t="e">
        <f>VLOOKUP($A53,INICIO!$A$5:$J$72,6,FALSE)</f>
        <v>#N/A</v>
      </c>
      <c r="AB53" s="232" t="e">
        <f>VLOOKUP($A53,REPOSICIONES!$A$5:$J$72,6,FALSE)</f>
        <v>#N/A</v>
      </c>
      <c r="AC53" s="79" t="e">
        <f t="shared" si="6"/>
        <v>#N/A</v>
      </c>
      <c r="AD53" s="230" t="str">
        <f>IFERROR(VLOOKUP($A53,VENTAS!$H$2:$O$201,5,FALSE),"")</f>
        <v/>
      </c>
      <c r="AE53" s="11" t="str">
        <f t="shared" si="7"/>
        <v/>
      </c>
      <c r="AF53" s="270" t="e">
        <f>VLOOKUP($A53,INICIO!$A$5:$J$72,7,FALSE)</f>
        <v>#N/A</v>
      </c>
      <c r="AG53" s="11"/>
      <c r="AH53" s="242" t="str">
        <f>IFERROR(IF(AG53&gt;0,"",AG53*VLOOKUP($A53,'VALOR I.'!$B$6:$K$418,10,FALSE)),"")</f>
        <v/>
      </c>
      <c r="AI53" s="269" t="e">
        <f>VLOOKUP($A53,INICIO!$A$5:$J$72,7,FALSE)</f>
        <v>#N/A</v>
      </c>
      <c r="AJ53" s="232" t="e">
        <f>VLOOKUP($A53,REPOSICIONES!$A$5:$J$72,7,FALSE)</f>
        <v>#N/A</v>
      </c>
      <c r="AK53" s="79" t="e">
        <f t="shared" si="8"/>
        <v>#N/A</v>
      </c>
      <c r="AL53" s="230" t="str">
        <f>IFERROR(VLOOKUP($A53,VENTAS!$H$2:$O$201,6,FALSE),"")</f>
        <v/>
      </c>
      <c r="AM53" s="11" t="str">
        <f t="shared" si="9"/>
        <v/>
      </c>
      <c r="AN53" s="270" t="e">
        <f>VLOOKUP($A53,INICIO!$A$5:$J$72,8,FALSE)</f>
        <v>#N/A</v>
      </c>
      <c r="AO53" s="11"/>
      <c r="AP53" s="204" t="str">
        <f>IFERROR(IF(AO53&gt;0,"",AO53*VLOOKUP($A53,'VALOR I.'!$B$6:$K$418,10,FALSE)),"")</f>
        <v/>
      </c>
      <c r="AQ53" s="269" t="e">
        <f>VLOOKUP($A53,INICIO!$A$5:$J$72,8,FALSE)</f>
        <v>#N/A</v>
      </c>
      <c r="AR53" s="232" t="e">
        <f>VLOOKUP($A53,REPOSICIONES!$A$5:$J$72,8,FALSE)</f>
        <v>#N/A</v>
      </c>
      <c r="AS53" s="79" t="e">
        <f t="shared" si="10"/>
        <v>#N/A</v>
      </c>
      <c r="AT53" s="230" t="str">
        <f>IFERROR(VLOOKUP($A53,VENTAS!$H$2:$O$201,7,FALSE),"")</f>
        <v/>
      </c>
      <c r="AU53" s="11" t="str">
        <f t="shared" si="11"/>
        <v/>
      </c>
      <c r="AV53" s="270" t="e">
        <f>VLOOKUP($A53,INICIO!$A$5:$J$72,9,FALSE)</f>
        <v>#N/A</v>
      </c>
      <c r="AW53" s="11"/>
      <c r="AX53" s="204" t="str">
        <f>IFERROR(IF(AW53&gt;0,"",AW53*VLOOKUP($A53,'VALOR I.'!$B$6:$K$418,10,FALSE)),"")</f>
        <v/>
      </c>
      <c r="AY53" s="269" t="e">
        <f>VLOOKUP($A53,INICIO!$A$5:$J$72,9,FALSE)</f>
        <v>#N/A</v>
      </c>
      <c r="AZ53" s="232" t="e">
        <f>VLOOKUP($A53,REPOSICIONES!$A$5:$J$72,9,FALSE)</f>
        <v>#N/A</v>
      </c>
      <c r="BA53" s="79" t="e">
        <f t="shared" si="18"/>
        <v>#N/A</v>
      </c>
      <c r="BB53" s="230" t="str">
        <f>IFERROR(VLOOKUP($A53,VENTAS!$H$2:$O$201,8,FALSE),"")</f>
        <v/>
      </c>
      <c r="BC53" s="11" t="str">
        <f t="shared" si="19"/>
        <v/>
      </c>
      <c r="BD53" s="270" t="e">
        <f>VLOOKUP($A53,INICIO!$A$5:$J$72,10,FALSE)</f>
        <v>#N/A</v>
      </c>
      <c r="BE53" s="11"/>
      <c r="BF53" s="204" t="str">
        <f>IFERROR(IF(BE53&gt;0,"",BE53*VLOOKUP($A53,'VALOR I.'!$B$6:$K$418,10,FALSE)),"")</f>
        <v/>
      </c>
    </row>
    <row r="54" spans="2:58" ht="15.75" hidden="1" customHeight="1" x14ac:dyDescent="0.25">
      <c r="B54" s="214"/>
      <c r="C54" s="239" t="e">
        <f>VLOOKUP($A54,INICIO!$A$5:$J$72,3,FALSE)</f>
        <v>#N/A</v>
      </c>
      <c r="D54" s="9" t="e">
        <f>VLOOKUP($A54,REPOSICIONES!$A$5:$J$72,3,FALSE)</f>
        <v>#N/A</v>
      </c>
      <c r="E54" s="79" t="e">
        <f t="shared" si="0"/>
        <v>#N/A</v>
      </c>
      <c r="F54" s="80" t="str">
        <f>IFERROR(VLOOKUP($A54,VENTAS!$H$2:$O$201,2,FALSE),"")</f>
        <v/>
      </c>
      <c r="G54" s="9" t="str">
        <f t="shared" si="1"/>
        <v/>
      </c>
      <c r="H54" s="9" t="e">
        <f>VLOOKUP($A54,INICIO!$A$5:$J$72,4,FALSE)</f>
        <v>#N/A</v>
      </c>
      <c r="I54" s="11"/>
      <c r="J54" s="242" t="str">
        <f>IFERROR(IF(I54&gt;0,"",I54*VLOOKUP($A54,'VALOR I.'!$B$6:$K$418,10,FALSE)),"")</f>
        <v/>
      </c>
      <c r="K54" s="276" t="e">
        <f>VLOOKUP($A54,INICIO!$A$5:$J$72,4,FALSE)</f>
        <v>#N/A</v>
      </c>
      <c r="L54" s="232" t="e">
        <f>VLOOKUP($A54,REPOSICIONES!$A$5:$J$72,4,FALSE)</f>
        <v>#N/A</v>
      </c>
      <c r="M54" s="79" t="e">
        <f t="shared" si="2"/>
        <v>#N/A</v>
      </c>
      <c r="N54" s="230" t="str">
        <f>IFERROR(VLOOKUP($A54,VENTAS!$H$2:$O$201,3,FALSE),"")</f>
        <v/>
      </c>
      <c r="O54" s="267" t="str">
        <f t="shared" si="3"/>
        <v/>
      </c>
      <c r="P54" s="270" t="e">
        <f>VLOOKUP($A54,INICIO!$A$5:$J$72,5,FALSE)</f>
        <v>#N/A</v>
      </c>
      <c r="Q54" s="11"/>
      <c r="R54" s="242" t="str">
        <f>IFERROR(IF(Q54&gt;0,"",Q54*VLOOKUP($A54,'VALOR I.'!$B$6:$K$418,10,FALSE)),"")</f>
        <v/>
      </c>
      <c r="S54" s="276" t="e">
        <f>VLOOKUP($A54,INICIO!$A$5:$J$72,5,FALSE)</f>
        <v>#N/A</v>
      </c>
      <c r="T54" s="232" t="e">
        <f>VLOOKUP($A54,REPOSICIONES!$A$5:$J$72,5,FALSE)</f>
        <v>#N/A</v>
      </c>
      <c r="U54" s="79" t="e">
        <f t="shared" si="4"/>
        <v>#N/A</v>
      </c>
      <c r="V54" s="230" t="str">
        <f>IFERROR(VLOOKUP($A54,VENTAS!$H$2:$O$201,4,FALSE),"")</f>
        <v/>
      </c>
      <c r="W54" s="11" t="str">
        <f t="shared" si="5"/>
        <v/>
      </c>
      <c r="X54" s="270" t="e">
        <f>VLOOKUP($A54,INICIO!$A$5:$J$72,6,FALSE)</f>
        <v>#N/A</v>
      </c>
      <c r="Y54" s="11"/>
      <c r="Z54" s="242" t="str">
        <f>IFERROR(IF(Y54&gt;0,"",Y54*VLOOKUP($A54,'VALOR I.'!$B$6:$K$418,10,FALSE)),"")</f>
        <v/>
      </c>
      <c r="AA54" s="276" t="e">
        <f>VLOOKUP($A54,INICIO!$A$5:$J$72,6,FALSE)</f>
        <v>#N/A</v>
      </c>
      <c r="AB54" s="232" t="e">
        <f>VLOOKUP($A54,REPOSICIONES!$A$5:$J$72,6,FALSE)</f>
        <v>#N/A</v>
      </c>
      <c r="AC54" s="79" t="e">
        <f t="shared" si="6"/>
        <v>#N/A</v>
      </c>
      <c r="AD54" s="230" t="str">
        <f>IFERROR(VLOOKUP($A54,VENTAS!$H$2:$O$201,5,FALSE),"")</f>
        <v/>
      </c>
      <c r="AE54" s="11" t="str">
        <f t="shared" si="7"/>
        <v/>
      </c>
      <c r="AF54" s="270" t="e">
        <f>VLOOKUP($A54,INICIO!$A$5:$J$72,7,FALSE)</f>
        <v>#N/A</v>
      </c>
      <c r="AG54" s="11"/>
      <c r="AH54" s="242" t="str">
        <f>IFERROR(IF(AG54&gt;0,"",AG54*VLOOKUP($A54,'VALOR I.'!$B$6:$K$418,10,FALSE)),"")</f>
        <v/>
      </c>
      <c r="AI54" s="269" t="e">
        <f>VLOOKUP($A54,INICIO!$A$5:$J$72,7,FALSE)</f>
        <v>#N/A</v>
      </c>
      <c r="AJ54" s="232" t="e">
        <f>VLOOKUP($A54,REPOSICIONES!$A$5:$J$72,7,FALSE)</f>
        <v>#N/A</v>
      </c>
      <c r="AK54" s="79" t="e">
        <f t="shared" si="8"/>
        <v>#N/A</v>
      </c>
      <c r="AL54" s="230" t="str">
        <f>IFERROR(VLOOKUP($A54,VENTAS!$H$2:$O$201,6,FALSE),"")</f>
        <v/>
      </c>
      <c r="AM54" s="11" t="str">
        <f t="shared" si="9"/>
        <v/>
      </c>
      <c r="AN54" s="270" t="e">
        <f>VLOOKUP($A54,INICIO!$A$5:$J$72,8,FALSE)</f>
        <v>#N/A</v>
      </c>
      <c r="AO54" s="11"/>
      <c r="AP54" s="204" t="str">
        <f>IFERROR(IF(AO54&gt;0,"",AO54*VLOOKUP($A54,'VALOR I.'!$B$6:$K$418,10,FALSE)),"")</f>
        <v/>
      </c>
      <c r="AQ54" s="269" t="e">
        <f>VLOOKUP($A54,INICIO!$A$5:$J$72,8,FALSE)</f>
        <v>#N/A</v>
      </c>
      <c r="AR54" s="232" t="e">
        <f>VLOOKUP($A54,REPOSICIONES!$A$5:$J$72,8,FALSE)</f>
        <v>#N/A</v>
      </c>
      <c r="AS54" s="79" t="e">
        <f t="shared" si="10"/>
        <v>#N/A</v>
      </c>
      <c r="AT54" s="230" t="str">
        <f>IFERROR(VLOOKUP($A54,VENTAS!$H$2:$O$201,7,FALSE),"")</f>
        <v/>
      </c>
      <c r="AU54" s="11" t="str">
        <f t="shared" si="11"/>
        <v/>
      </c>
      <c r="AV54" s="270" t="e">
        <f>VLOOKUP($A54,INICIO!$A$5:$J$72,9,FALSE)</f>
        <v>#N/A</v>
      </c>
      <c r="AW54" s="11"/>
      <c r="AX54" s="204" t="str">
        <f>IFERROR(IF(AW54&gt;0,"",AW54*VLOOKUP($A54,'VALOR I.'!$B$6:$K$418,10,FALSE)),"")</f>
        <v/>
      </c>
      <c r="AY54" s="269" t="e">
        <f>VLOOKUP($A54,INICIO!$A$5:$J$72,9,FALSE)</f>
        <v>#N/A</v>
      </c>
      <c r="AZ54" s="232" t="e">
        <f>VLOOKUP($A54,REPOSICIONES!$A$5:$J$72,9,FALSE)</f>
        <v>#N/A</v>
      </c>
      <c r="BA54" s="79" t="e">
        <f t="shared" si="18"/>
        <v>#N/A</v>
      </c>
      <c r="BB54" s="230" t="str">
        <f>IFERROR(VLOOKUP($A54,VENTAS!$H$2:$O$201,8,FALSE),"")</f>
        <v/>
      </c>
      <c r="BC54" s="11" t="str">
        <f t="shared" si="19"/>
        <v/>
      </c>
      <c r="BD54" s="270" t="e">
        <f>VLOOKUP($A54,INICIO!$A$5:$J$72,10,FALSE)</f>
        <v>#N/A</v>
      </c>
      <c r="BE54" s="11"/>
      <c r="BF54" s="204" t="str">
        <f>IFERROR(IF(BE54&gt;0,"",BE54*VLOOKUP($A54,'VALOR I.'!$B$6:$K$418,10,FALSE)),"")</f>
        <v/>
      </c>
    </row>
    <row r="55" spans="2:58" ht="15.75" hidden="1" customHeight="1" x14ac:dyDescent="0.25">
      <c r="B55" s="282"/>
      <c r="C55" s="239" t="e">
        <f>VLOOKUP($A55,INICIO!$A$5:$J$72,3,FALSE)</f>
        <v>#N/A</v>
      </c>
      <c r="D55" s="9" t="e">
        <f>VLOOKUP($A55,REPOSICIONES!$A$5:$J$72,3,FALSE)</f>
        <v>#N/A</v>
      </c>
      <c r="E55" s="79" t="e">
        <f t="shared" si="0"/>
        <v>#N/A</v>
      </c>
      <c r="F55" s="80" t="str">
        <f>IFERROR(VLOOKUP($A55,VENTAS!$H$2:$O$201,2,FALSE),"")</f>
        <v/>
      </c>
      <c r="G55" s="9" t="str">
        <f t="shared" si="1"/>
        <v/>
      </c>
      <c r="H55" s="9" t="e">
        <f>VLOOKUP($A55,INICIO!$A$5:$J$72,4,FALSE)</f>
        <v>#N/A</v>
      </c>
      <c r="I55" s="11"/>
      <c r="J55" s="242" t="str">
        <f>IFERROR(IF(I55&gt;0,"",I55*VLOOKUP($A55,'VALOR I.'!$B$6:$K$418,10,FALSE)),"")</f>
        <v/>
      </c>
      <c r="K55" s="276" t="e">
        <f>VLOOKUP($A55,INICIO!$A$5:$J$72,4,FALSE)</f>
        <v>#N/A</v>
      </c>
      <c r="L55" s="232" t="e">
        <f>VLOOKUP($A55,REPOSICIONES!$A$5:$J$72,4,FALSE)</f>
        <v>#N/A</v>
      </c>
      <c r="M55" s="79" t="e">
        <f t="shared" si="2"/>
        <v>#N/A</v>
      </c>
      <c r="N55" s="230" t="str">
        <f>IFERROR(VLOOKUP($A55,VENTAS!$H$2:$O$201,3,FALSE),"")</f>
        <v/>
      </c>
      <c r="O55" s="267" t="str">
        <f t="shared" si="3"/>
        <v/>
      </c>
      <c r="P55" s="270" t="e">
        <f>VLOOKUP($A55,INICIO!$A$5:$J$72,5,FALSE)</f>
        <v>#N/A</v>
      </c>
      <c r="Q55" s="11"/>
      <c r="R55" s="242" t="str">
        <f>IFERROR(IF(Q55&gt;0,"",Q55*VLOOKUP($A55,'VALOR I.'!$B$6:$K$418,10,FALSE)),"")</f>
        <v/>
      </c>
      <c r="S55" s="276" t="e">
        <f>VLOOKUP($A55,INICIO!$A$5:$J$72,5,FALSE)</f>
        <v>#N/A</v>
      </c>
      <c r="T55" s="232" t="e">
        <f>VLOOKUP($A55,REPOSICIONES!$A$5:$J$72,5,FALSE)</f>
        <v>#N/A</v>
      </c>
      <c r="U55" s="79" t="e">
        <f t="shared" si="4"/>
        <v>#N/A</v>
      </c>
      <c r="V55" s="230" t="str">
        <f>IFERROR(VLOOKUP($A55,VENTAS!$H$2:$O$201,4,FALSE),"")</f>
        <v/>
      </c>
      <c r="W55" s="11" t="str">
        <f t="shared" si="5"/>
        <v/>
      </c>
      <c r="X55" s="270" t="e">
        <f>VLOOKUP($A55,INICIO!$A$5:$J$72,6,FALSE)</f>
        <v>#N/A</v>
      </c>
      <c r="Y55" s="11"/>
      <c r="Z55" s="242" t="str">
        <f>IFERROR(IF(Y55&gt;0,"",Y55*VLOOKUP($A55,'VALOR I.'!$B$6:$K$418,10,FALSE)),"")</f>
        <v/>
      </c>
      <c r="AA55" s="276" t="e">
        <f>VLOOKUP($A55,INICIO!$A$5:$J$72,6,FALSE)</f>
        <v>#N/A</v>
      </c>
      <c r="AB55" s="232" t="e">
        <f>VLOOKUP($A55,REPOSICIONES!$A$5:$J$72,6,FALSE)</f>
        <v>#N/A</v>
      </c>
      <c r="AC55" s="79" t="e">
        <f t="shared" si="6"/>
        <v>#N/A</v>
      </c>
      <c r="AD55" s="230" t="str">
        <f>IFERROR(VLOOKUP($A55,VENTAS!$H$2:$O$201,5,FALSE),"")</f>
        <v/>
      </c>
      <c r="AE55" s="11" t="str">
        <f t="shared" si="7"/>
        <v/>
      </c>
      <c r="AF55" s="270" t="e">
        <f>VLOOKUP($A55,INICIO!$A$5:$J$72,7,FALSE)</f>
        <v>#N/A</v>
      </c>
      <c r="AG55" s="11"/>
      <c r="AH55" s="242" t="str">
        <f>IFERROR(IF(AG55&gt;0,"",AG55*VLOOKUP($A55,'VALOR I.'!$B$6:$K$418,10,FALSE)),"")</f>
        <v/>
      </c>
      <c r="AI55" s="269" t="e">
        <f>VLOOKUP($A55,INICIO!$A$5:$J$72,7,FALSE)</f>
        <v>#N/A</v>
      </c>
      <c r="AJ55" s="232" t="e">
        <f>VLOOKUP($A55,REPOSICIONES!$A$5:$J$72,7,FALSE)</f>
        <v>#N/A</v>
      </c>
      <c r="AK55" s="79" t="e">
        <f t="shared" si="8"/>
        <v>#N/A</v>
      </c>
      <c r="AL55" s="230" t="str">
        <f>IFERROR(VLOOKUP($A55,VENTAS!$H$2:$O$201,6,FALSE),"")</f>
        <v/>
      </c>
      <c r="AM55" s="11" t="str">
        <f t="shared" si="9"/>
        <v/>
      </c>
      <c r="AN55" s="270" t="e">
        <f>VLOOKUP($A55,INICIO!$A$5:$J$72,8,FALSE)</f>
        <v>#N/A</v>
      </c>
      <c r="AO55" s="11"/>
      <c r="AP55" s="204" t="str">
        <f>IFERROR(IF(AO55&gt;0,"",AO55*VLOOKUP($A55,'VALOR I.'!$B$6:$K$418,10,FALSE)),"")</f>
        <v/>
      </c>
      <c r="AQ55" s="269" t="e">
        <f>VLOOKUP($A55,INICIO!$A$5:$J$72,8,FALSE)</f>
        <v>#N/A</v>
      </c>
      <c r="AR55" s="232" t="e">
        <f>VLOOKUP($A55,REPOSICIONES!$A$5:$J$72,8,FALSE)</f>
        <v>#N/A</v>
      </c>
      <c r="AS55" s="79" t="e">
        <f t="shared" si="10"/>
        <v>#N/A</v>
      </c>
      <c r="AT55" s="230" t="str">
        <f>IFERROR(VLOOKUP($A55,VENTAS!$H$2:$O$201,7,FALSE),"")</f>
        <v/>
      </c>
      <c r="AU55" s="11" t="str">
        <f t="shared" si="11"/>
        <v/>
      </c>
      <c r="AV55" s="270" t="e">
        <f>VLOOKUP($A55,INICIO!$A$5:$J$72,9,FALSE)</f>
        <v>#N/A</v>
      </c>
      <c r="AW55" s="11"/>
      <c r="AX55" s="204" t="str">
        <f>IFERROR(IF(AW55&gt;0,"",AW55*VLOOKUP($A55,'VALOR I.'!$B$6:$K$418,10,FALSE)),"")</f>
        <v/>
      </c>
      <c r="AY55" s="269" t="e">
        <f>VLOOKUP($A55,INICIO!$A$5:$J$72,9,FALSE)</f>
        <v>#N/A</v>
      </c>
      <c r="AZ55" s="232" t="e">
        <f>VLOOKUP($A55,REPOSICIONES!$A$5:$J$72,9,FALSE)</f>
        <v>#N/A</v>
      </c>
      <c r="BA55" s="79" t="e">
        <f t="shared" si="18"/>
        <v>#N/A</v>
      </c>
      <c r="BB55" s="230" t="str">
        <f>IFERROR(VLOOKUP($A55,VENTAS!$H$2:$O$201,8,FALSE),"")</f>
        <v/>
      </c>
      <c r="BC55" s="11" t="str">
        <f t="shared" si="19"/>
        <v/>
      </c>
      <c r="BD55" s="270" t="e">
        <f>VLOOKUP($A55,INICIO!$A$5:$J$72,10,FALSE)</f>
        <v>#N/A</v>
      </c>
      <c r="BE55" s="11"/>
      <c r="BF55" s="204" t="str">
        <f>IFERROR(IF(BE55&gt;0,"",BE55*VLOOKUP($A55,'VALOR I.'!$B$6:$K$418,10,FALSE)),"")</f>
        <v/>
      </c>
    </row>
    <row r="56" spans="2:58" ht="15.75" hidden="1" customHeight="1" x14ac:dyDescent="0.25">
      <c r="B56" s="214"/>
      <c r="C56" s="239" t="e">
        <f>VLOOKUP($A56,INICIO!$A$5:$J$72,3,FALSE)</f>
        <v>#N/A</v>
      </c>
      <c r="D56" s="9" t="e">
        <f>VLOOKUP($A56,REPOSICIONES!$A$5:$J$72,3,FALSE)</f>
        <v>#N/A</v>
      </c>
      <c r="E56" s="79" t="e">
        <f t="shared" si="0"/>
        <v>#N/A</v>
      </c>
      <c r="F56" s="80" t="str">
        <f>IFERROR(VLOOKUP($A56,VENTAS!$H$2:$O$201,2,FALSE),"")</f>
        <v/>
      </c>
      <c r="G56" s="9" t="str">
        <f t="shared" si="1"/>
        <v/>
      </c>
      <c r="H56" s="9" t="e">
        <f>VLOOKUP($A56,INICIO!$A$5:$J$72,4,FALSE)</f>
        <v>#N/A</v>
      </c>
      <c r="I56" s="11"/>
      <c r="J56" s="242" t="str">
        <f>IFERROR(IF(I56&gt;0,"",I56*VLOOKUP($A56,'VALOR I.'!$B$6:$K$418,10,FALSE)),"")</f>
        <v/>
      </c>
      <c r="K56" s="276" t="e">
        <f>VLOOKUP($A56,INICIO!$A$5:$J$72,4,FALSE)</f>
        <v>#N/A</v>
      </c>
      <c r="L56" s="232" t="e">
        <f>VLOOKUP($A56,REPOSICIONES!$A$5:$J$72,4,FALSE)</f>
        <v>#N/A</v>
      </c>
      <c r="M56" s="79" t="e">
        <f t="shared" si="2"/>
        <v>#N/A</v>
      </c>
      <c r="N56" s="230" t="str">
        <f>IFERROR(VLOOKUP($A56,VENTAS!$H$2:$O$201,3,FALSE),"")</f>
        <v/>
      </c>
      <c r="O56" s="267" t="str">
        <f t="shared" si="3"/>
        <v/>
      </c>
      <c r="P56" s="270" t="e">
        <f>VLOOKUP($A56,INICIO!$A$5:$J$72,5,FALSE)</f>
        <v>#N/A</v>
      </c>
      <c r="Q56" s="11"/>
      <c r="R56" s="242" t="str">
        <f>IFERROR(IF(Q56&gt;0,"",Q56*VLOOKUP($A56,'VALOR I.'!$B$6:$K$418,10,FALSE)),"")</f>
        <v/>
      </c>
      <c r="S56" s="276" t="e">
        <f>VLOOKUP($A56,INICIO!$A$5:$J$72,5,FALSE)</f>
        <v>#N/A</v>
      </c>
      <c r="T56" s="232" t="e">
        <f>VLOOKUP($A56,REPOSICIONES!$A$5:$J$72,5,FALSE)</f>
        <v>#N/A</v>
      </c>
      <c r="U56" s="79" t="e">
        <f t="shared" si="4"/>
        <v>#N/A</v>
      </c>
      <c r="V56" s="230" t="str">
        <f>IFERROR(VLOOKUP($A56,VENTAS!$H$2:$O$201,4,FALSE),"")</f>
        <v/>
      </c>
      <c r="W56" s="11" t="str">
        <f t="shared" si="5"/>
        <v/>
      </c>
      <c r="X56" s="270" t="e">
        <f>VLOOKUP($A56,INICIO!$A$5:$J$72,6,FALSE)</f>
        <v>#N/A</v>
      </c>
      <c r="Y56" s="11"/>
      <c r="Z56" s="242" t="str">
        <f>IFERROR(IF(Y56&gt;0,"",Y56*VLOOKUP($A56,'VALOR I.'!$B$6:$K$418,10,FALSE)),"")</f>
        <v/>
      </c>
      <c r="AA56" s="276" t="e">
        <f>VLOOKUP($A56,INICIO!$A$5:$J$72,6,FALSE)</f>
        <v>#N/A</v>
      </c>
      <c r="AB56" s="232" t="e">
        <f>VLOOKUP($A56,REPOSICIONES!$A$5:$J$72,6,FALSE)</f>
        <v>#N/A</v>
      </c>
      <c r="AC56" s="79" t="e">
        <f t="shared" si="6"/>
        <v>#N/A</v>
      </c>
      <c r="AD56" s="230" t="str">
        <f>IFERROR(VLOOKUP($A56,VENTAS!$H$2:$O$201,5,FALSE),"")</f>
        <v/>
      </c>
      <c r="AE56" s="11" t="str">
        <f t="shared" si="7"/>
        <v/>
      </c>
      <c r="AF56" s="270" t="e">
        <f>VLOOKUP($A56,INICIO!$A$5:$J$72,7,FALSE)</f>
        <v>#N/A</v>
      </c>
      <c r="AG56" s="11"/>
      <c r="AH56" s="242" t="str">
        <f>IFERROR(IF(AG56&gt;0,"",AG56*VLOOKUP($A56,'VALOR I.'!$B$6:$K$418,10,FALSE)),"")</f>
        <v/>
      </c>
      <c r="AI56" s="269" t="e">
        <f>VLOOKUP($A56,INICIO!$A$5:$J$72,7,FALSE)</f>
        <v>#N/A</v>
      </c>
      <c r="AJ56" s="232" t="e">
        <f>VLOOKUP($A56,REPOSICIONES!$A$5:$J$72,7,FALSE)</f>
        <v>#N/A</v>
      </c>
      <c r="AK56" s="79" t="e">
        <f t="shared" si="8"/>
        <v>#N/A</v>
      </c>
      <c r="AL56" s="230" t="str">
        <f>IFERROR(VLOOKUP($A56,VENTAS!$H$2:$O$201,6,FALSE),"")</f>
        <v/>
      </c>
      <c r="AM56" s="11" t="str">
        <f t="shared" si="9"/>
        <v/>
      </c>
      <c r="AN56" s="270" t="e">
        <f>VLOOKUP($A56,INICIO!$A$5:$J$72,8,FALSE)</f>
        <v>#N/A</v>
      </c>
      <c r="AO56" s="11"/>
      <c r="AP56" s="204" t="str">
        <f>IFERROR(IF(AO56&gt;0,"",AO56*VLOOKUP($A56,'VALOR I.'!$B$6:$K$418,10,FALSE)),"")</f>
        <v/>
      </c>
      <c r="AQ56" s="269" t="e">
        <f>VLOOKUP($A56,INICIO!$A$5:$J$72,8,FALSE)</f>
        <v>#N/A</v>
      </c>
      <c r="AR56" s="232" t="e">
        <f>VLOOKUP($A56,REPOSICIONES!$A$5:$J$72,8,FALSE)</f>
        <v>#N/A</v>
      </c>
      <c r="AS56" s="79" t="e">
        <f t="shared" si="10"/>
        <v>#N/A</v>
      </c>
      <c r="AT56" s="230" t="str">
        <f>IFERROR(VLOOKUP($A56,VENTAS!$H$2:$O$201,7,FALSE),"")</f>
        <v/>
      </c>
      <c r="AU56" s="11" t="str">
        <f t="shared" si="11"/>
        <v/>
      </c>
      <c r="AV56" s="270" t="e">
        <f>VLOOKUP($A56,INICIO!$A$5:$J$72,9,FALSE)</f>
        <v>#N/A</v>
      </c>
      <c r="AW56" s="11"/>
      <c r="AX56" s="204" t="str">
        <f>IFERROR(IF(AW56&gt;0,"",AW56*VLOOKUP($A56,'VALOR I.'!$B$6:$K$418,10,FALSE)),"")</f>
        <v/>
      </c>
      <c r="AY56" s="269" t="e">
        <f>VLOOKUP($A56,INICIO!$A$5:$J$72,9,FALSE)</f>
        <v>#N/A</v>
      </c>
      <c r="AZ56" s="232" t="e">
        <f>VLOOKUP($A56,REPOSICIONES!$A$5:$J$72,9,FALSE)</f>
        <v>#N/A</v>
      </c>
      <c r="BA56" s="79" t="e">
        <f t="shared" si="18"/>
        <v>#N/A</v>
      </c>
      <c r="BB56" s="230" t="str">
        <f>IFERROR(VLOOKUP($A56,VENTAS!$H$2:$O$201,8,FALSE),"")</f>
        <v/>
      </c>
      <c r="BC56" s="11" t="str">
        <f t="shared" si="19"/>
        <v/>
      </c>
      <c r="BD56" s="270" t="e">
        <f>VLOOKUP($A56,INICIO!$A$5:$J$72,10,FALSE)</f>
        <v>#N/A</v>
      </c>
      <c r="BE56" s="11"/>
      <c r="BF56" s="204" t="str">
        <f>IFERROR(IF(BE56&gt;0,"",BE56*VLOOKUP($A56,'VALOR I.'!$B$6:$K$418,10,FALSE)),"")</f>
        <v/>
      </c>
    </row>
    <row r="57" spans="2:58" ht="15.75" hidden="1" customHeight="1" x14ac:dyDescent="0.25">
      <c r="B57" s="282"/>
      <c r="C57" s="239" t="e">
        <f>VLOOKUP($A57,INICIO!$A$5:$J$72,3,FALSE)</f>
        <v>#N/A</v>
      </c>
      <c r="D57" s="9" t="e">
        <f>VLOOKUP($A57,REPOSICIONES!$A$5:$J$72,3,FALSE)</f>
        <v>#N/A</v>
      </c>
      <c r="E57" s="79" t="e">
        <f t="shared" si="0"/>
        <v>#N/A</v>
      </c>
      <c r="F57" s="80" t="str">
        <f>IFERROR(VLOOKUP($A57,VENTAS!$H$2:$O$201,2,FALSE),"")</f>
        <v/>
      </c>
      <c r="G57" s="9" t="str">
        <f t="shared" si="1"/>
        <v/>
      </c>
      <c r="H57" s="9" t="e">
        <f>VLOOKUP($A57,INICIO!$A$5:$J$72,4,FALSE)</f>
        <v>#N/A</v>
      </c>
      <c r="I57" s="11"/>
      <c r="J57" s="242" t="str">
        <f>IFERROR(IF(I57&gt;0,"",I57*VLOOKUP($A57,'VALOR I.'!$B$6:$K$418,10,FALSE)),"")</f>
        <v/>
      </c>
      <c r="K57" s="276" t="e">
        <f>VLOOKUP($A57,INICIO!$A$5:$J$72,4,FALSE)</f>
        <v>#N/A</v>
      </c>
      <c r="L57" s="232" t="e">
        <f>VLOOKUP($A57,REPOSICIONES!$A$5:$J$72,4,FALSE)</f>
        <v>#N/A</v>
      </c>
      <c r="M57" s="79" t="e">
        <f t="shared" si="2"/>
        <v>#N/A</v>
      </c>
      <c r="N57" s="230" t="str">
        <f>IFERROR(VLOOKUP($A57,VENTAS!$H$2:$O$201,3,FALSE),"")</f>
        <v/>
      </c>
      <c r="O57" s="267" t="str">
        <f t="shared" si="3"/>
        <v/>
      </c>
      <c r="P57" s="270" t="e">
        <f>VLOOKUP($A57,INICIO!$A$5:$J$72,5,FALSE)</f>
        <v>#N/A</v>
      </c>
      <c r="Q57" s="11"/>
      <c r="R57" s="242" t="str">
        <f>IFERROR(IF(Q57&gt;0,"",Q57*VLOOKUP($A57,'VALOR I.'!$B$6:$K$418,10,FALSE)),"")</f>
        <v/>
      </c>
      <c r="S57" s="276" t="e">
        <f>VLOOKUP($A57,INICIO!$A$5:$J$72,5,FALSE)</f>
        <v>#N/A</v>
      </c>
      <c r="T57" s="232" t="e">
        <f>VLOOKUP($A57,REPOSICIONES!$A$5:$J$72,5,FALSE)</f>
        <v>#N/A</v>
      </c>
      <c r="U57" s="79" t="e">
        <f t="shared" si="4"/>
        <v>#N/A</v>
      </c>
      <c r="V57" s="230" t="str">
        <f>IFERROR(VLOOKUP($A57,VENTAS!$H$2:$O$201,4,FALSE),"")</f>
        <v/>
      </c>
      <c r="W57" s="11" t="str">
        <f t="shared" si="5"/>
        <v/>
      </c>
      <c r="X57" s="270" t="e">
        <f>VLOOKUP($A57,INICIO!$A$5:$J$72,6,FALSE)</f>
        <v>#N/A</v>
      </c>
      <c r="Y57" s="11"/>
      <c r="Z57" s="242" t="str">
        <f>IFERROR(IF(Y57&gt;0,"",Y57*VLOOKUP($A57,'VALOR I.'!$B$6:$K$418,10,FALSE)),"")</f>
        <v/>
      </c>
      <c r="AA57" s="276" t="e">
        <f>VLOOKUP($A57,INICIO!$A$5:$J$72,6,FALSE)</f>
        <v>#N/A</v>
      </c>
      <c r="AB57" s="232" t="e">
        <f>VLOOKUP($A57,REPOSICIONES!$A$5:$J$72,6,FALSE)</f>
        <v>#N/A</v>
      </c>
      <c r="AC57" s="79" t="e">
        <f t="shared" si="6"/>
        <v>#N/A</v>
      </c>
      <c r="AD57" s="230" t="str">
        <f>IFERROR(VLOOKUP($A57,VENTAS!$H$2:$O$201,5,FALSE),"")</f>
        <v/>
      </c>
      <c r="AE57" s="11" t="str">
        <f t="shared" si="7"/>
        <v/>
      </c>
      <c r="AF57" s="270" t="e">
        <f>VLOOKUP($A57,INICIO!$A$5:$J$72,7,FALSE)</f>
        <v>#N/A</v>
      </c>
      <c r="AG57" s="11"/>
      <c r="AH57" s="242" t="str">
        <f>IFERROR(IF(AG57&gt;0,"",AG57*VLOOKUP($A57,'VALOR I.'!$B$6:$K$418,10,FALSE)),"")</f>
        <v/>
      </c>
      <c r="AI57" s="269" t="e">
        <f>VLOOKUP($A57,INICIO!$A$5:$J$72,7,FALSE)</f>
        <v>#N/A</v>
      </c>
      <c r="AJ57" s="232" t="e">
        <f>VLOOKUP($A57,REPOSICIONES!$A$5:$J$72,7,FALSE)</f>
        <v>#N/A</v>
      </c>
      <c r="AK57" s="79" t="e">
        <f t="shared" si="8"/>
        <v>#N/A</v>
      </c>
      <c r="AL57" s="230" t="str">
        <f>IFERROR(VLOOKUP($A57,VENTAS!$H$2:$O$201,6,FALSE),"")</f>
        <v/>
      </c>
      <c r="AM57" s="11" t="str">
        <f t="shared" si="9"/>
        <v/>
      </c>
      <c r="AN57" s="270" t="e">
        <f>VLOOKUP($A57,INICIO!$A$5:$J$72,8,FALSE)</f>
        <v>#N/A</v>
      </c>
      <c r="AO57" s="11"/>
      <c r="AP57" s="204" t="str">
        <f>IFERROR(IF(AO57&gt;0,"",AO57*VLOOKUP($A57,'VALOR I.'!$B$6:$K$418,10,FALSE)),"")</f>
        <v/>
      </c>
      <c r="AQ57" s="269" t="e">
        <f>VLOOKUP($A57,INICIO!$A$5:$J$72,8,FALSE)</f>
        <v>#N/A</v>
      </c>
      <c r="AR57" s="232" t="e">
        <f>VLOOKUP($A57,REPOSICIONES!$A$5:$J$72,8,FALSE)</f>
        <v>#N/A</v>
      </c>
      <c r="AS57" s="79" t="e">
        <f t="shared" si="10"/>
        <v>#N/A</v>
      </c>
      <c r="AT57" s="230" t="str">
        <f>IFERROR(VLOOKUP($A57,VENTAS!$H$2:$O$201,7,FALSE),"")</f>
        <v/>
      </c>
      <c r="AU57" s="11" t="str">
        <f t="shared" si="11"/>
        <v/>
      </c>
      <c r="AV57" s="270" t="e">
        <f>VLOOKUP($A57,INICIO!$A$5:$J$72,9,FALSE)</f>
        <v>#N/A</v>
      </c>
      <c r="AW57" s="11"/>
      <c r="AX57" s="204" t="str">
        <f>IFERROR(IF(AW57&gt;0,"",AW57*VLOOKUP($A57,'VALOR I.'!$B$6:$K$418,10,FALSE)),"")</f>
        <v/>
      </c>
      <c r="AY57" s="269" t="e">
        <f>VLOOKUP($A57,INICIO!$A$5:$J$72,9,FALSE)</f>
        <v>#N/A</v>
      </c>
      <c r="AZ57" s="232" t="e">
        <f>VLOOKUP($A57,REPOSICIONES!$A$5:$J$72,9,FALSE)</f>
        <v>#N/A</v>
      </c>
      <c r="BA57" s="79" t="e">
        <f t="shared" si="18"/>
        <v>#N/A</v>
      </c>
      <c r="BB57" s="230" t="str">
        <f>IFERROR(VLOOKUP($A57,VENTAS!$H$2:$O$201,8,FALSE),"")</f>
        <v/>
      </c>
      <c r="BC57" s="11" t="str">
        <f t="shared" si="19"/>
        <v/>
      </c>
      <c r="BD57" s="270" t="e">
        <f>VLOOKUP($A57,INICIO!$A$5:$J$72,10,FALSE)</f>
        <v>#N/A</v>
      </c>
      <c r="BE57" s="11"/>
      <c r="BF57" s="204" t="str">
        <f>IFERROR(IF(BE57&gt;0,"",BE57*VLOOKUP($A57,'VALOR I.'!$B$6:$K$418,10,FALSE)),"")</f>
        <v/>
      </c>
    </row>
    <row r="58" spans="2:58" ht="15.75" hidden="1" customHeight="1" x14ac:dyDescent="0.25">
      <c r="B58" s="214"/>
      <c r="C58" s="239" t="e">
        <f>VLOOKUP($A58,INICIO!$A$5:$J$72,3,FALSE)</f>
        <v>#N/A</v>
      </c>
      <c r="D58" s="9" t="e">
        <f>VLOOKUP($A58,REPOSICIONES!$A$5:$J$72,3,FALSE)</f>
        <v>#N/A</v>
      </c>
      <c r="E58" s="79" t="e">
        <f t="shared" si="0"/>
        <v>#N/A</v>
      </c>
      <c r="F58" s="80" t="str">
        <f>IFERROR(VLOOKUP($A58,VENTAS!$H$2:$O$201,2,FALSE),"")</f>
        <v/>
      </c>
      <c r="G58" s="9" t="str">
        <f t="shared" si="1"/>
        <v/>
      </c>
      <c r="H58" s="9" t="e">
        <f>VLOOKUP($A58,INICIO!$A$5:$J$72,4,FALSE)</f>
        <v>#N/A</v>
      </c>
      <c r="I58" s="11"/>
      <c r="J58" s="242" t="str">
        <f>IFERROR(IF(I58&gt;0,"",I58*VLOOKUP($A58,'VALOR I.'!$B$6:$K$418,10,FALSE)),"")</f>
        <v/>
      </c>
      <c r="K58" s="276" t="e">
        <f>VLOOKUP($A58,INICIO!$A$5:$J$72,4,FALSE)</f>
        <v>#N/A</v>
      </c>
      <c r="L58" s="232" t="e">
        <f>VLOOKUP($A58,REPOSICIONES!$A$5:$J$72,4,FALSE)</f>
        <v>#N/A</v>
      </c>
      <c r="M58" s="79" t="e">
        <f t="shared" si="2"/>
        <v>#N/A</v>
      </c>
      <c r="N58" s="230" t="str">
        <f>IFERROR(VLOOKUP($A58,VENTAS!$H$2:$O$201,3,FALSE),"")</f>
        <v/>
      </c>
      <c r="O58" s="267" t="str">
        <f t="shared" si="3"/>
        <v/>
      </c>
      <c r="P58" s="270" t="e">
        <f>VLOOKUP($A58,INICIO!$A$5:$J$72,5,FALSE)</f>
        <v>#N/A</v>
      </c>
      <c r="Q58" s="11"/>
      <c r="R58" s="242" t="str">
        <f>IFERROR(IF(Q58&gt;0,"",Q58*VLOOKUP($A58,'VALOR I.'!$B$6:$K$418,10,FALSE)),"")</f>
        <v/>
      </c>
      <c r="S58" s="276" t="e">
        <f>VLOOKUP($A58,INICIO!$A$5:$J$72,5,FALSE)</f>
        <v>#N/A</v>
      </c>
      <c r="T58" s="232" t="e">
        <f>VLOOKUP($A58,REPOSICIONES!$A$5:$J$72,5,FALSE)</f>
        <v>#N/A</v>
      </c>
      <c r="U58" s="79" t="e">
        <f t="shared" si="4"/>
        <v>#N/A</v>
      </c>
      <c r="V58" s="230" t="str">
        <f>IFERROR(VLOOKUP($A58,VENTAS!$H$2:$O$201,4,FALSE),"")</f>
        <v/>
      </c>
      <c r="W58" s="11" t="str">
        <f t="shared" si="5"/>
        <v/>
      </c>
      <c r="X58" s="270" t="e">
        <f>VLOOKUP($A58,INICIO!$A$5:$J$72,6,FALSE)</f>
        <v>#N/A</v>
      </c>
      <c r="Y58" s="11"/>
      <c r="Z58" s="242" t="str">
        <f>IFERROR(IF(Y58&gt;0,"",Y58*VLOOKUP($A58,'VALOR I.'!$B$6:$K$418,10,FALSE)),"")</f>
        <v/>
      </c>
      <c r="AA58" s="276" t="e">
        <f>VLOOKUP($A58,INICIO!$A$5:$J$72,6,FALSE)</f>
        <v>#N/A</v>
      </c>
      <c r="AB58" s="232" t="e">
        <f>VLOOKUP($A58,REPOSICIONES!$A$5:$J$72,6,FALSE)</f>
        <v>#N/A</v>
      </c>
      <c r="AC58" s="79" t="e">
        <f t="shared" si="6"/>
        <v>#N/A</v>
      </c>
      <c r="AD58" s="230" t="str">
        <f>IFERROR(VLOOKUP($A58,VENTAS!$H$2:$O$201,5,FALSE),"")</f>
        <v/>
      </c>
      <c r="AE58" s="11" t="str">
        <f t="shared" si="7"/>
        <v/>
      </c>
      <c r="AF58" s="270" t="e">
        <f>VLOOKUP($A58,INICIO!$A$5:$J$72,7,FALSE)</f>
        <v>#N/A</v>
      </c>
      <c r="AG58" s="11"/>
      <c r="AH58" s="242" t="str">
        <f>IFERROR(IF(AG58&gt;0,"",AG58*VLOOKUP($A58,'VALOR I.'!$B$6:$K$418,10,FALSE)),"")</f>
        <v/>
      </c>
      <c r="AI58" s="269" t="e">
        <f>VLOOKUP($A58,INICIO!$A$5:$J$72,7,FALSE)</f>
        <v>#N/A</v>
      </c>
      <c r="AJ58" s="232" t="e">
        <f>VLOOKUP($A58,REPOSICIONES!$A$5:$J$72,7,FALSE)</f>
        <v>#N/A</v>
      </c>
      <c r="AK58" s="79" t="e">
        <f t="shared" si="8"/>
        <v>#N/A</v>
      </c>
      <c r="AL58" s="230" t="str">
        <f>IFERROR(VLOOKUP($A58,VENTAS!$H$2:$O$201,6,FALSE),"")</f>
        <v/>
      </c>
      <c r="AM58" s="11" t="str">
        <f t="shared" si="9"/>
        <v/>
      </c>
      <c r="AN58" s="270" t="e">
        <f>VLOOKUP($A58,INICIO!$A$5:$J$72,8,FALSE)</f>
        <v>#N/A</v>
      </c>
      <c r="AO58" s="11"/>
      <c r="AP58" s="204" t="str">
        <f>IFERROR(IF(AO58&gt;0,"",AO58*VLOOKUP($A58,'VALOR I.'!$B$6:$K$418,10,FALSE)),"")</f>
        <v/>
      </c>
      <c r="AQ58" s="269" t="e">
        <f>VLOOKUP($A58,INICIO!$A$5:$J$72,8,FALSE)</f>
        <v>#N/A</v>
      </c>
      <c r="AR58" s="232" t="e">
        <f>VLOOKUP($A58,REPOSICIONES!$A$5:$J$72,8,FALSE)</f>
        <v>#N/A</v>
      </c>
      <c r="AS58" s="79" t="e">
        <f t="shared" si="10"/>
        <v>#N/A</v>
      </c>
      <c r="AT58" s="230" t="str">
        <f>IFERROR(VLOOKUP($A58,VENTAS!$H$2:$O$201,7,FALSE),"")</f>
        <v/>
      </c>
      <c r="AU58" s="11" t="str">
        <f t="shared" si="11"/>
        <v/>
      </c>
      <c r="AV58" s="270" t="e">
        <f>VLOOKUP($A58,INICIO!$A$5:$J$72,9,FALSE)</f>
        <v>#N/A</v>
      </c>
      <c r="AW58" s="11"/>
      <c r="AX58" s="204" t="str">
        <f>IFERROR(IF(AW58&gt;0,"",AW58*VLOOKUP($A58,'VALOR I.'!$B$6:$K$418,10,FALSE)),"")</f>
        <v/>
      </c>
      <c r="AY58" s="269" t="e">
        <f>VLOOKUP($A58,INICIO!$A$5:$J$72,9,FALSE)</f>
        <v>#N/A</v>
      </c>
      <c r="AZ58" s="232" t="e">
        <f>VLOOKUP($A58,REPOSICIONES!$A$5:$J$72,9,FALSE)</f>
        <v>#N/A</v>
      </c>
      <c r="BA58" s="79" t="e">
        <f t="shared" si="18"/>
        <v>#N/A</v>
      </c>
      <c r="BB58" s="230" t="str">
        <f>IFERROR(VLOOKUP($A58,VENTAS!$H$2:$O$201,8,FALSE),"")</f>
        <v/>
      </c>
      <c r="BC58" s="11" t="str">
        <f t="shared" si="19"/>
        <v/>
      </c>
      <c r="BD58" s="270" t="e">
        <f>VLOOKUP($A58,INICIO!$A$5:$J$72,10,FALSE)</f>
        <v>#N/A</v>
      </c>
      <c r="BE58" s="11"/>
      <c r="BF58" s="204" t="str">
        <f>IFERROR(IF(BE58&gt;0,"",BE58*VLOOKUP($A58,'VALOR I.'!$B$6:$K$418,10,FALSE)),"")</f>
        <v/>
      </c>
    </row>
    <row r="59" spans="2:58" ht="15.75" hidden="1" customHeight="1" x14ac:dyDescent="0.25">
      <c r="B59" s="214"/>
      <c r="C59" s="239" t="e">
        <f>VLOOKUP($A59,INICIO!$A$5:$J$72,3,FALSE)</f>
        <v>#N/A</v>
      </c>
      <c r="D59" s="9" t="e">
        <f>VLOOKUP($A59,REPOSICIONES!$A$5:$J$72,3,FALSE)</f>
        <v>#N/A</v>
      </c>
      <c r="E59" s="79" t="e">
        <f t="shared" si="0"/>
        <v>#N/A</v>
      </c>
      <c r="F59" s="80" t="str">
        <f>IFERROR(VLOOKUP($A59,VENTAS!$H$2:$O$201,2,FALSE),"")</f>
        <v/>
      </c>
      <c r="G59" s="9" t="str">
        <f t="shared" si="1"/>
        <v/>
      </c>
      <c r="H59" s="9" t="e">
        <f>VLOOKUP($A59,INICIO!$A$5:$J$72,4,FALSE)</f>
        <v>#N/A</v>
      </c>
      <c r="I59" s="11"/>
      <c r="J59" s="242" t="str">
        <f>IFERROR(IF(I59&gt;0,"",I59*VLOOKUP($A59,'VALOR I.'!$B$6:$K$418,10,FALSE)),"")</f>
        <v/>
      </c>
      <c r="K59" s="276" t="e">
        <f>VLOOKUP($A59,INICIO!$A$5:$J$72,4,FALSE)</f>
        <v>#N/A</v>
      </c>
      <c r="L59" s="232" t="e">
        <f>VLOOKUP($A59,REPOSICIONES!$A$5:$J$72,4,FALSE)</f>
        <v>#N/A</v>
      </c>
      <c r="M59" s="79" t="e">
        <f t="shared" si="2"/>
        <v>#N/A</v>
      </c>
      <c r="N59" s="230" t="str">
        <f>IFERROR(VLOOKUP($A59,VENTAS!$H$2:$O$201,3,FALSE),"")</f>
        <v/>
      </c>
      <c r="O59" s="267" t="str">
        <f t="shared" si="3"/>
        <v/>
      </c>
      <c r="P59" s="270" t="e">
        <f>VLOOKUP($A59,INICIO!$A$5:$J$72,5,FALSE)</f>
        <v>#N/A</v>
      </c>
      <c r="Q59" s="11"/>
      <c r="R59" s="242" t="str">
        <f>IFERROR(IF(Q59&gt;0,"",Q59*VLOOKUP($A59,'VALOR I.'!$B$6:$K$418,10,FALSE)),"")</f>
        <v/>
      </c>
      <c r="S59" s="276" t="e">
        <f>VLOOKUP($A59,INICIO!$A$5:$J$72,5,FALSE)</f>
        <v>#N/A</v>
      </c>
      <c r="T59" s="232" t="e">
        <f>VLOOKUP($A59,REPOSICIONES!$A$5:$J$72,5,FALSE)</f>
        <v>#N/A</v>
      </c>
      <c r="U59" s="79" t="e">
        <f t="shared" si="4"/>
        <v>#N/A</v>
      </c>
      <c r="V59" s="230" t="str">
        <f>IFERROR(VLOOKUP($A59,VENTAS!$H$2:$O$201,4,FALSE),"")</f>
        <v/>
      </c>
      <c r="W59" s="11" t="str">
        <f t="shared" si="5"/>
        <v/>
      </c>
      <c r="X59" s="270" t="e">
        <f>VLOOKUP($A59,INICIO!$A$5:$J$72,6,FALSE)</f>
        <v>#N/A</v>
      </c>
      <c r="Y59" s="11"/>
      <c r="Z59" s="242" t="str">
        <f>IFERROR(IF(Y59&gt;0,"",Y59*VLOOKUP($A59,'VALOR I.'!$B$6:$K$418,10,FALSE)),"")</f>
        <v/>
      </c>
      <c r="AA59" s="276" t="e">
        <f>VLOOKUP($A59,INICIO!$A$5:$J$72,6,FALSE)</f>
        <v>#N/A</v>
      </c>
      <c r="AB59" s="232" t="e">
        <f>VLOOKUP($A59,REPOSICIONES!$A$5:$J$72,6,FALSE)</f>
        <v>#N/A</v>
      </c>
      <c r="AC59" s="79" t="e">
        <f t="shared" si="6"/>
        <v>#N/A</v>
      </c>
      <c r="AD59" s="230" t="str">
        <f>IFERROR(VLOOKUP($A59,VENTAS!$H$2:$O$201,5,FALSE),"")</f>
        <v/>
      </c>
      <c r="AE59" s="11" t="str">
        <f t="shared" si="7"/>
        <v/>
      </c>
      <c r="AF59" s="270" t="e">
        <f>VLOOKUP($A59,INICIO!$A$5:$J$72,7,FALSE)</f>
        <v>#N/A</v>
      </c>
      <c r="AG59" s="11"/>
      <c r="AH59" s="242" t="str">
        <f>IFERROR(IF(AG59&gt;0,"",AG59*VLOOKUP($A59,'VALOR I.'!$B$6:$K$418,10,FALSE)),"")</f>
        <v/>
      </c>
      <c r="AI59" s="269" t="e">
        <f>VLOOKUP($A59,INICIO!$A$5:$J$72,7,FALSE)</f>
        <v>#N/A</v>
      </c>
      <c r="AJ59" s="232" t="e">
        <f>VLOOKUP($A59,REPOSICIONES!$A$5:$J$72,7,FALSE)</f>
        <v>#N/A</v>
      </c>
      <c r="AK59" s="79" t="e">
        <f t="shared" si="8"/>
        <v>#N/A</v>
      </c>
      <c r="AL59" s="230" t="str">
        <f>IFERROR(VLOOKUP($A59,VENTAS!$H$2:$O$201,6,FALSE),"")</f>
        <v/>
      </c>
      <c r="AM59" s="11" t="str">
        <f t="shared" si="9"/>
        <v/>
      </c>
      <c r="AN59" s="270" t="e">
        <f>VLOOKUP($A59,INICIO!$A$5:$J$72,8,FALSE)</f>
        <v>#N/A</v>
      </c>
      <c r="AO59" s="11"/>
      <c r="AP59" s="204" t="str">
        <f>IFERROR(IF(AO59&gt;0,"",AO59*VLOOKUP($A59,'VALOR I.'!$B$6:$K$418,10,FALSE)),"")</f>
        <v/>
      </c>
      <c r="AQ59" s="269" t="e">
        <f>VLOOKUP($A59,INICIO!$A$5:$J$72,8,FALSE)</f>
        <v>#N/A</v>
      </c>
      <c r="AR59" s="232" t="e">
        <f>VLOOKUP($A59,REPOSICIONES!$A$5:$J$72,8,FALSE)</f>
        <v>#N/A</v>
      </c>
      <c r="AS59" s="79" t="e">
        <f t="shared" si="10"/>
        <v>#N/A</v>
      </c>
      <c r="AT59" s="230" t="str">
        <f>IFERROR(VLOOKUP($A59,VENTAS!$H$2:$O$201,7,FALSE),"")</f>
        <v/>
      </c>
      <c r="AU59" s="11" t="str">
        <f t="shared" si="11"/>
        <v/>
      </c>
      <c r="AV59" s="270" t="e">
        <f>VLOOKUP($A59,INICIO!$A$5:$J$72,9,FALSE)</f>
        <v>#N/A</v>
      </c>
      <c r="AW59" s="11"/>
      <c r="AX59" s="204" t="str">
        <f>IFERROR(IF(AW59&gt;0,"",AW59*VLOOKUP($A59,'VALOR I.'!$B$6:$K$418,10,FALSE)),"")</f>
        <v/>
      </c>
      <c r="AY59" s="269" t="e">
        <f>VLOOKUP($A59,INICIO!$A$5:$J$72,9,FALSE)</f>
        <v>#N/A</v>
      </c>
      <c r="AZ59" s="232" t="e">
        <f>VLOOKUP($A59,REPOSICIONES!$A$5:$J$72,9,FALSE)</f>
        <v>#N/A</v>
      </c>
      <c r="BA59" s="79" t="e">
        <f t="shared" si="18"/>
        <v>#N/A</v>
      </c>
      <c r="BB59" s="230" t="str">
        <f>IFERROR(VLOOKUP($A59,VENTAS!$H$2:$O$201,8,FALSE),"")</f>
        <v/>
      </c>
      <c r="BC59" s="11" t="str">
        <f t="shared" si="19"/>
        <v/>
      </c>
      <c r="BD59" s="270" t="e">
        <f>VLOOKUP($A59,INICIO!$A$5:$J$72,10,FALSE)</f>
        <v>#N/A</v>
      </c>
      <c r="BE59" s="11"/>
      <c r="BF59" s="204" t="str">
        <f>IFERROR(IF(BE59&gt;0,"",BE59*VLOOKUP($A59,'VALOR I.'!$B$6:$K$418,10,FALSE)),"")</f>
        <v/>
      </c>
    </row>
    <row r="60" spans="2:58" ht="15.75" hidden="1" customHeight="1" x14ac:dyDescent="0.25">
      <c r="B60" s="282"/>
      <c r="C60" s="239" t="e">
        <f>VLOOKUP($A60,INICIO!$A$5:$J$72,3,FALSE)</f>
        <v>#N/A</v>
      </c>
      <c r="D60" s="9" t="e">
        <f>VLOOKUP($A60,REPOSICIONES!$A$5:$J$72,3,FALSE)</f>
        <v>#N/A</v>
      </c>
      <c r="E60" s="79" t="e">
        <f t="shared" si="0"/>
        <v>#N/A</v>
      </c>
      <c r="F60" s="80" t="str">
        <f>IFERROR(VLOOKUP($A60,VENTAS!$H$2:$O$201,2,FALSE),"")</f>
        <v/>
      </c>
      <c r="G60" s="9" t="str">
        <f t="shared" si="1"/>
        <v/>
      </c>
      <c r="H60" s="9" t="e">
        <f>VLOOKUP($A60,INICIO!$A$5:$J$72,4,FALSE)</f>
        <v>#N/A</v>
      </c>
      <c r="I60" s="11"/>
      <c r="J60" s="242" t="str">
        <f>IFERROR(IF(I60&gt;0,"",I60*VLOOKUP($A60,'VALOR I.'!$B$6:$K$418,10,FALSE)),"")</f>
        <v/>
      </c>
      <c r="K60" s="276" t="e">
        <f>VLOOKUP($A60,INICIO!$A$5:$J$72,4,FALSE)</f>
        <v>#N/A</v>
      </c>
      <c r="L60" s="232" t="e">
        <f>VLOOKUP($A60,REPOSICIONES!$A$5:$J$72,4,FALSE)</f>
        <v>#N/A</v>
      </c>
      <c r="M60" s="79" t="e">
        <f t="shared" si="2"/>
        <v>#N/A</v>
      </c>
      <c r="N60" s="230" t="str">
        <f>IFERROR(VLOOKUP($A60,VENTAS!$H$2:$O$201,3,FALSE),"")</f>
        <v/>
      </c>
      <c r="O60" s="267" t="str">
        <f t="shared" si="3"/>
        <v/>
      </c>
      <c r="P60" s="270" t="e">
        <f>VLOOKUP($A60,INICIO!$A$5:$J$72,5,FALSE)</f>
        <v>#N/A</v>
      </c>
      <c r="Q60" s="11"/>
      <c r="R60" s="242" t="str">
        <f>IFERROR(IF(Q60&gt;0,"",Q60*VLOOKUP($A60,'VALOR I.'!$B$6:$K$418,10,FALSE)),"")</f>
        <v/>
      </c>
      <c r="S60" s="276" t="e">
        <f>VLOOKUP($A60,INICIO!$A$5:$J$72,5,FALSE)</f>
        <v>#N/A</v>
      </c>
      <c r="T60" s="232" t="e">
        <f>VLOOKUP($A60,REPOSICIONES!$A$5:$J$72,5,FALSE)</f>
        <v>#N/A</v>
      </c>
      <c r="U60" s="79" t="e">
        <f t="shared" si="4"/>
        <v>#N/A</v>
      </c>
      <c r="V60" s="230" t="str">
        <f>IFERROR(VLOOKUP($A60,VENTAS!$H$2:$O$201,4,FALSE),"")</f>
        <v/>
      </c>
      <c r="W60" s="11" t="str">
        <f t="shared" si="5"/>
        <v/>
      </c>
      <c r="X60" s="270" t="e">
        <f>VLOOKUP($A60,INICIO!$A$5:$J$72,6,FALSE)</f>
        <v>#N/A</v>
      </c>
      <c r="Y60" s="11"/>
      <c r="Z60" s="242" t="str">
        <f>IFERROR(IF(Y60&gt;0,"",Y60*VLOOKUP($A60,'VALOR I.'!$B$6:$K$418,10,FALSE)),"")</f>
        <v/>
      </c>
      <c r="AA60" s="276" t="e">
        <f>VLOOKUP($A60,INICIO!$A$5:$J$72,6,FALSE)</f>
        <v>#N/A</v>
      </c>
      <c r="AB60" s="232" t="e">
        <f>VLOOKUP($A60,REPOSICIONES!$A$5:$J$72,6,FALSE)</f>
        <v>#N/A</v>
      </c>
      <c r="AC60" s="79" t="e">
        <f t="shared" si="6"/>
        <v>#N/A</v>
      </c>
      <c r="AD60" s="230" t="str">
        <f>IFERROR(VLOOKUP($A60,VENTAS!$H$2:$O$201,5,FALSE),"")</f>
        <v/>
      </c>
      <c r="AE60" s="11" t="str">
        <f t="shared" si="7"/>
        <v/>
      </c>
      <c r="AF60" s="270" t="e">
        <f>VLOOKUP($A60,INICIO!$A$5:$J$72,7,FALSE)</f>
        <v>#N/A</v>
      </c>
      <c r="AG60" s="11"/>
      <c r="AH60" s="242" t="str">
        <f>IFERROR(IF(AG60&gt;0,"",AG60*VLOOKUP($A60,'VALOR I.'!$B$6:$K$418,10,FALSE)),"")</f>
        <v/>
      </c>
      <c r="AI60" s="269" t="e">
        <f>VLOOKUP($A60,INICIO!$A$5:$J$72,7,FALSE)</f>
        <v>#N/A</v>
      </c>
      <c r="AJ60" s="232" t="e">
        <f>VLOOKUP($A60,REPOSICIONES!$A$5:$J$72,7,FALSE)</f>
        <v>#N/A</v>
      </c>
      <c r="AK60" s="79" t="e">
        <f t="shared" si="8"/>
        <v>#N/A</v>
      </c>
      <c r="AL60" s="230" t="str">
        <f>IFERROR(VLOOKUP($A60,VENTAS!$H$2:$O$201,6,FALSE),"")</f>
        <v/>
      </c>
      <c r="AM60" s="11" t="str">
        <f t="shared" si="9"/>
        <v/>
      </c>
      <c r="AN60" s="270" t="e">
        <f>VLOOKUP($A60,INICIO!$A$5:$J$72,8,FALSE)</f>
        <v>#N/A</v>
      </c>
      <c r="AO60" s="11"/>
      <c r="AP60" s="204" t="str">
        <f>IFERROR(IF(AO60&gt;0,"",AO60*VLOOKUP($A60,'VALOR I.'!$B$6:$K$418,10,FALSE)),"")</f>
        <v/>
      </c>
      <c r="AQ60" s="269" t="e">
        <f>VLOOKUP($A60,INICIO!$A$5:$J$72,8,FALSE)</f>
        <v>#N/A</v>
      </c>
      <c r="AR60" s="232" t="e">
        <f>VLOOKUP($A60,REPOSICIONES!$A$5:$J$72,8,FALSE)</f>
        <v>#N/A</v>
      </c>
      <c r="AS60" s="79" t="e">
        <f t="shared" si="10"/>
        <v>#N/A</v>
      </c>
      <c r="AT60" s="230" t="str">
        <f>IFERROR(VLOOKUP($A60,VENTAS!$H$2:$O$201,7,FALSE),"")</f>
        <v/>
      </c>
      <c r="AU60" s="11" t="str">
        <f t="shared" si="11"/>
        <v/>
      </c>
      <c r="AV60" s="270" t="e">
        <f>VLOOKUP($A60,INICIO!$A$5:$J$72,9,FALSE)</f>
        <v>#N/A</v>
      </c>
      <c r="AW60" s="11"/>
      <c r="AX60" s="204" t="str">
        <f>IFERROR(IF(AW60&gt;0,"",AW60*VLOOKUP($A60,'VALOR I.'!$B$6:$K$418,10,FALSE)),"")</f>
        <v/>
      </c>
      <c r="AY60" s="269" t="e">
        <f>VLOOKUP($A60,INICIO!$A$5:$J$72,9,FALSE)</f>
        <v>#N/A</v>
      </c>
      <c r="AZ60" s="232" t="e">
        <f>VLOOKUP($A60,REPOSICIONES!$A$5:$J$72,9,FALSE)</f>
        <v>#N/A</v>
      </c>
      <c r="BA60" s="79" t="e">
        <f t="shared" si="18"/>
        <v>#N/A</v>
      </c>
      <c r="BB60" s="230" t="str">
        <f>IFERROR(VLOOKUP($A60,VENTAS!$H$2:$O$201,8,FALSE),"")</f>
        <v/>
      </c>
      <c r="BC60" s="11" t="str">
        <f t="shared" si="19"/>
        <v/>
      </c>
      <c r="BD60" s="270" t="e">
        <f>VLOOKUP($A60,INICIO!$A$5:$J$72,10,FALSE)</f>
        <v>#N/A</v>
      </c>
      <c r="BE60" s="11"/>
      <c r="BF60" s="204" t="str">
        <f>IFERROR(IF(BE60&gt;0,"",BE60*VLOOKUP($A60,'VALOR I.'!$B$6:$K$418,10,FALSE)),"")</f>
        <v/>
      </c>
    </row>
    <row r="61" spans="2:58" ht="15.75" hidden="1" customHeight="1" x14ac:dyDescent="0.25">
      <c r="B61" s="282"/>
      <c r="C61" s="239" t="e">
        <f>VLOOKUP($A61,INICIO!$A$5:$J$72,3,FALSE)</f>
        <v>#N/A</v>
      </c>
      <c r="D61" s="9" t="e">
        <f>VLOOKUP($A61,REPOSICIONES!$A$5:$J$72,3,FALSE)</f>
        <v>#N/A</v>
      </c>
      <c r="E61" s="79" t="e">
        <f t="shared" si="0"/>
        <v>#N/A</v>
      </c>
      <c r="F61" s="80" t="str">
        <f>IFERROR(VLOOKUP($A61,VENTAS!$H$2:$O$201,2,FALSE),"")</f>
        <v/>
      </c>
      <c r="G61" s="9" t="str">
        <f t="shared" si="1"/>
        <v/>
      </c>
      <c r="H61" s="9" t="e">
        <f>VLOOKUP($A61,INICIO!$A$5:$J$72,4,FALSE)</f>
        <v>#N/A</v>
      </c>
      <c r="I61" s="11"/>
      <c r="J61" s="242" t="str">
        <f>IFERROR(IF(I61&gt;0,"",I61*VLOOKUP($A61,'VALOR I.'!$B$6:$K$418,10,FALSE)),"")</f>
        <v/>
      </c>
      <c r="K61" s="276" t="e">
        <f>VLOOKUP($A61,INICIO!$A$5:$J$72,4,FALSE)</f>
        <v>#N/A</v>
      </c>
      <c r="L61" s="232" t="e">
        <f>VLOOKUP($A61,REPOSICIONES!$A$5:$J$72,4,FALSE)</f>
        <v>#N/A</v>
      </c>
      <c r="M61" s="79" t="e">
        <f t="shared" si="2"/>
        <v>#N/A</v>
      </c>
      <c r="N61" s="230" t="str">
        <f>IFERROR(VLOOKUP($A61,VENTAS!$H$2:$O$201,3,FALSE),"")</f>
        <v/>
      </c>
      <c r="O61" s="267" t="str">
        <f t="shared" si="3"/>
        <v/>
      </c>
      <c r="P61" s="270" t="e">
        <f>VLOOKUP($A61,INICIO!$A$5:$J$72,5,FALSE)</f>
        <v>#N/A</v>
      </c>
      <c r="Q61" s="11"/>
      <c r="R61" s="242" t="str">
        <f>IFERROR(IF(Q61&gt;0,"",Q61*VLOOKUP($A61,'VALOR I.'!$B$6:$K$418,10,FALSE)),"")</f>
        <v/>
      </c>
      <c r="S61" s="276" t="e">
        <f>VLOOKUP($A61,INICIO!$A$5:$J$72,5,FALSE)</f>
        <v>#N/A</v>
      </c>
      <c r="T61" s="232" t="e">
        <f>VLOOKUP($A61,REPOSICIONES!$A$5:$J$72,5,FALSE)</f>
        <v>#N/A</v>
      </c>
      <c r="U61" s="79" t="e">
        <f t="shared" si="4"/>
        <v>#N/A</v>
      </c>
      <c r="V61" s="230" t="str">
        <f>IFERROR(VLOOKUP($A61,VENTAS!$H$2:$O$201,4,FALSE),"")</f>
        <v/>
      </c>
      <c r="W61" s="11" t="str">
        <f t="shared" si="5"/>
        <v/>
      </c>
      <c r="X61" s="270" t="e">
        <f>VLOOKUP($A61,INICIO!$A$5:$J$72,6,FALSE)</f>
        <v>#N/A</v>
      </c>
      <c r="Y61" s="11"/>
      <c r="Z61" s="242" t="str">
        <f>IFERROR(IF(Y61&gt;0,"",Y61*VLOOKUP($A61,'VALOR I.'!$B$6:$K$418,10,FALSE)),"")</f>
        <v/>
      </c>
      <c r="AA61" s="276" t="e">
        <f>VLOOKUP($A61,INICIO!$A$5:$J$72,6,FALSE)</f>
        <v>#N/A</v>
      </c>
      <c r="AB61" s="232" t="e">
        <f>VLOOKUP($A61,REPOSICIONES!$A$5:$J$72,6,FALSE)</f>
        <v>#N/A</v>
      </c>
      <c r="AC61" s="79" t="e">
        <f t="shared" si="6"/>
        <v>#N/A</v>
      </c>
      <c r="AD61" s="230" t="str">
        <f>IFERROR(VLOOKUP($A61,VENTAS!$H$2:$O$201,5,FALSE),"")</f>
        <v/>
      </c>
      <c r="AE61" s="11" t="str">
        <f t="shared" si="7"/>
        <v/>
      </c>
      <c r="AF61" s="270" t="e">
        <f>VLOOKUP($A61,INICIO!$A$5:$J$72,7,FALSE)</f>
        <v>#N/A</v>
      </c>
      <c r="AG61" s="11"/>
      <c r="AH61" s="242" t="str">
        <f>IFERROR(IF(AG61&gt;0,"",AG61*VLOOKUP($A61,'VALOR I.'!$B$6:$K$418,10,FALSE)),"")</f>
        <v/>
      </c>
      <c r="AI61" s="269" t="e">
        <f>VLOOKUP($A61,INICIO!$A$5:$J$72,7,FALSE)</f>
        <v>#N/A</v>
      </c>
      <c r="AJ61" s="232" t="e">
        <f>VLOOKUP($A61,REPOSICIONES!$A$5:$J$72,7,FALSE)</f>
        <v>#N/A</v>
      </c>
      <c r="AK61" s="79" t="e">
        <f t="shared" si="8"/>
        <v>#N/A</v>
      </c>
      <c r="AL61" s="230" t="str">
        <f>IFERROR(VLOOKUP($A61,VENTAS!$H$2:$O$201,6,FALSE),"")</f>
        <v/>
      </c>
      <c r="AM61" s="11" t="str">
        <f t="shared" si="9"/>
        <v/>
      </c>
      <c r="AN61" s="270" t="e">
        <f>VLOOKUP($A61,INICIO!$A$5:$J$72,8,FALSE)</f>
        <v>#N/A</v>
      </c>
      <c r="AO61" s="11"/>
      <c r="AP61" s="204" t="str">
        <f>IFERROR(IF(AO61&gt;0,"",AO61*VLOOKUP($A61,'VALOR I.'!$B$6:$K$418,10,FALSE)),"")</f>
        <v/>
      </c>
      <c r="AQ61" s="269" t="e">
        <f>VLOOKUP($A61,INICIO!$A$5:$J$72,8,FALSE)</f>
        <v>#N/A</v>
      </c>
      <c r="AR61" s="232" t="e">
        <f>VLOOKUP($A61,REPOSICIONES!$A$5:$J$72,8,FALSE)</f>
        <v>#N/A</v>
      </c>
      <c r="AS61" s="79" t="e">
        <f t="shared" si="10"/>
        <v>#N/A</v>
      </c>
      <c r="AT61" s="230" t="str">
        <f>IFERROR(VLOOKUP($A61,VENTAS!$H$2:$O$201,7,FALSE),"")</f>
        <v/>
      </c>
      <c r="AU61" s="11" t="str">
        <f t="shared" si="11"/>
        <v/>
      </c>
      <c r="AV61" s="270" t="e">
        <f>VLOOKUP($A61,INICIO!$A$5:$J$72,9,FALSE)</f>
        <v>#N/A</v>
      </c>
      <c r="AW61" s="11"/>
      <c r="AX61" s="204" t="str">
        <f>IFERROR(IF(AW61&gt;0,"",AW61*VLOOKUP($A61,'VALOR I.'!$B$6:$K$418,10,FALSE)),"")</f>
        <v/>
      </c>
      <c r="AY61" s="269" t="e">
        <f>VLOOKUP($A61,INICIO!$A$5:$J$72,9,FALSE)</f>
        <v>#N/A</v>
      </c>
      <c r="AZ61" s="232" t="e">
        <f>VLOOKUP($A61,REPOSICIONES!$A$5:$J$72,9,FALSE)</f>
        <v>#N/A</v>
      </c>
      <c r="BA61" s="79" t="e">
        <f t="shared" si="18"/>
        <v>#N/A</v>
      </c>
      <c r="BB61" s="230" t="str">
        <f>IFERROR(VLOOKUP($A61,VENTAS!$H$2:$O$201,8,FALSE),"")</f>
        <v/>
      </c>
      <c r="BC61" s="11" t="str">
        <f t="shared" si="19"/>
        <v/>
      </c>
      <c r="BD61" s="270" t="e">
        <f>VLOOKUP($A61,INICIO!$A$5:$J$72,10,FALSE)</f>
        <v>#N/A</v>
      </c>
      <c r="BE61" s="11"/>
      <c r="BF61" s="204" t="str">
        <f>IFERROR(IF(BE61&gt;0,"",BE61*VLOOKUP($A61,'VALOR I.'!$B$6:$K$418,10,FALSE)),"")</f>
        <v/>
      </c>
    </row>
    <row r="62" spans="2:58" ht="15.75" hidden="1" customHeight="1" x14ac:dyDescent="0.25">
      <c r="B62" s="281"/>
      <c r="C62" s="239" t="e">
        <f>VLOOKUP($A62,INICIO!$A$5:$J$72,3,FALSE)</f>
        <v>#N/A</v>
      </c>
      <c r="D62" s="9" t="e">
        <f>VLOOKUP($A62,REPOSICIONES!$A$5:$J$72,3,FALSE)</f>
        <v>#N/A</v>
      </c>
      <c r="E62" s="79" t="e">
        <f t="shared" si="0"/>
        <v>#N/A</v>
      </c>
      <c r="F62" s="80" t="str">
        <f>IFERROR(VLOOKUP($A62,VENTAS!$H$2:$O$201,2,FALSE),"")</f>
        <v/>
      </c>
      <c r="G62" s="9" t="str">
        <f t="shared" si="1"/>
        <v/>
      </c>
      <c r="H62" s="9" t="e">
        <f>VLOOKUP($A62,INICIO!$A$5:$J$72,4,FALSE)</f>
        <v>#N/A</v>
      </c>
      <c r="I62" s="11"/>
      <c r="J62" s="242" t="str">
        <f>IFERROR(IF(I62&gt;0,"",I62*VLOOKUP($A62,'VALOR I.'!$B$6:$K$418,10,FALSE)),"")</f>
        <v/>
      </c>
      <c r="K62" s="276" t="e">
        <f>VLOOKUP($A62,INICIO!$A$5:$J$72,4,FALSE)</f>
        <v>#N/A</v>
      </c>
      <c r="L62" s="232" t="e">
        <f>VLOOKUP($A62,REPOSICIONES!$A$5:$J$72,4,FALSE)</f>
        <v>#N/A</v>
      </c>
      <c r="M62" s="79" t="e">
        <f t="shared" si="2"/>
        <v>#N/A</v>
      </c>
      <c r="N62" s="230" t="str">
        <f>IFERROR(VLOOKUP($A62,VENTAS!$H$2:$O$201,3,FALSE),"")</f>
        <v/>
      </c>
      <c r="O62" s="267" t="str">
        <f t="shared" si="3"/>
        <v/>
      </c>
      <c r="P62" s="270" t="e">
        <f>VLOOKUP($A62,INICIO!$A$5:$J$72,5,FALSE)</f>
        <v>#N/A</v>
      </c>
      <c r="Q62" s="11"/>
      <c r="R62" s="242" t="str">
        <f>IFERROR(IF(Q62&gt;0,"",Q62*VLOOKUP($A62,'VALOR I.'!$B$6:$K$418,10,FALSE)),"")</f>
        <v/>
      </c>
      <c r="S62" s="276" t="e">
        <f>VLOOKUP($A62,INICIO!$A$5:$J$72,5,FALSE)</f>
        <v>#N/A</v>
      </c>
      <c r="T62" s="232" t="e">
        <f>VLOOKUP($A62,REPOSICIONES!$A$5:$J$72,5,FALSE)</f>
        <v>#N/A</v>
      </c>
      <c r="U62" s="79" t="e">
        <f t="shared" si="4"/>
        <v>#N/A</v>
      </c>
      <c r="V62" s="230" t="str">
        <f>IFERROR(VLOOKUP($A62,VENTAS!$H$2:$O$201,4,FALSE),"")</f>
        <v/>
      </c>
      <c r="W62" s="11" t="str">
        <f t="shared" si="5"/>
        <v/>
      </c>
      <c r="X62" s="270" t="e">
        <f>VLOOKUP($A62,INICIO!$A$5:$J$72,6,FALSE)</f>
        <v>#N/A</v>
      </c>
      <c r="Y62" s="11"/>
      <c r="Z62" s="242" t="str">
        <f>IFERROR(IF(Y62&gt;0,"",Y62*VLOOKUP($A62,'VALOR I.'!$B$6:$K$418,10,FALSE)),"")</f>
        <v/>
      </c>
      <c r="AA62" s="276" t="e">
        <f>VLOOKUP($A62,INICIO!$A$5:$J$72,6,FALSE)</f>
        <v>#N/A</v>
      </c>
      <c r="AB62" s="232" t="e">
        <f>VLOOKUP($A62,REPOSICIONES!$A$5:$J$72,6,FALSE)</f>
        <v>#N/A</v>
      </c>
      <c r="AC62" s="79" t="e">
        <f t="shared" si="6"/>
        <v>#N/A</v>
      </c>
      <c r="AD62" s="230" t="str">
        <f>IFERROR(VLOOKUP($A62,VENTAS!$H$2:$O$201,5,FALSE),"")</f>
        <v/>
      </c>
      <c r="AE62" s="11" t="str">
        <f t="shared" si="7"/>
        <v/>
      </c>
      <c r="AF62" s="270" t="e">
        <f>VLOOKUP($A62,INICIO!$A$5:$J$72,7,FALSE)</f>
        <v>#N/A</v>
      </c>
      <c r="AG62" s="11"/>
      <c r="AH62" s="242" t="str">
        <f>IFERROR(IF(AG62&gt;0,"",AG62*VLOOKUP($A62,'VALOR I.'!$B$6:$K$418,10,FALSE)),"")</f>
        <v/>
      </c>
      <c r="AI62" s="269" t="e">
        <f>VLOOKUP($A62,INICIO!$A$5:$J$72,7,FALSE)</f>
        <v>#N/A</v>
      </c>
      <c r="AJ62" s="232" t="e">
        <f>VLOOKUP($A62,REPOSICIONES!$A$5:$J$72,7,FALSE)</f>
        <v>#N/A</v>
      </c>
      <c r="AK62" s="79" t="e">
        <f t="shared" si="8"/>
        <v>#N/A</v>
      </c>
      <c r="AL62" s="230" t="str">
        <f>IFERROR(VLOOKUP($A62,VENTAS!$H$2:$O$201,6,FALSE),"")</f>
        <v/>
      </c>
      <c r="AM62" s="11" t="str">
        <f t="shared" si="9"/>
        <v/>
      </c>
      <c r="AN62" s="270" t="e">
        <f>VLOOKUP($A62,INICIO!$A$5:$J$72,8,FALSE)</f>
        <v>#N/A</v>
      </c>
      <c r="AO62" s="11"/>
      <c r="AP62" s="204" t="str">
        <f>IFERROR(IF(AO62&gt;0,"",AO62*VLOOKUP($A62,'VALOR I.'!$B$6:$K$418,10,FALSE)),"")</f>
        <v/>
      </c>
      <c r="AQ62" s="269" t="e">
        <f>VLOOKUP($A62,INICIO!$A$5:$J$72,8,FALSE)</f>
        <v>#N/A</v>
      </c>
      <c r="AR62" s="232" t="e">
        <f>VLOOKUP($A62,REPOSICIONES!$A$5:$J$72,8,FALSE)</f>
        <v>#N/A</v>
      </c>
      <c r="AS62" s="79" t="e">
        <f t="shared" si="10"/>
        <v>#N/A</v>
      </c>
      <c r="AT62" s="230" t="str">
        <f>IFERROR(VLOOKUP($A62,VENTAS!$H$2:$O$201,7,FALSE),"")</f>
        <v/>
      </c>
      <c r="AU62" s="11" t="str">
        <f t="shared" si="11"/>
        <v/>
      </c>
      <c r="AV62" s="270" t="e">
        <f>VLOOKUP($A62,INICIO!$A$5:$J$72,9,FALSE)</f>
        <v>#N/A</v>
      </c>
      <c r="AW62" s="11"/>
      <c r="AX62" s="204" t="str">
        <f>IFERROR(IF(AW62&gt;0,"",AW62*VLOOKUP($A62,'VALOR I.'!$B$6:$K$418,10,FALSE)),"")</f>
        <v/>
      </c>
      <c r="AY62" s="269" t="e">
        <f>VLOOKUP($A62,INICIO!$A$5:$J$72,9,FALSE)</f>
        <v>#N/A</v>
      </c>
      <c r="AZ62" s="232" t="e">
        <f>VLOOKUP($A62,REPOSICIONES!$A$5:$J$72,9,FALSE)</f>
        <v>#N/A</v>
      </c>
      <c r="BA62" s="79" t="e">
        <f t="shared" si="18"/>
        <v>#N/A</v>
      </c>
      <c r="BB62" s="230" t="str">
        <f>IFERROR(VLOOKUP($A62,VENTAS!$H$2:$O$201,8,FALSE),"")</f>
        <v/>
      </c>
      <c r="BC62" s="11" t="str">
        <f t="shared" si="19"/>
        <v/>
      </c>
      <c r="BD62" s="270" t="e">
        <f>VLOOKUP($A62,INICIO!$A$5:$J$72,10,FALSE)</f>
        <v>#N/A</v>
      </c>
      <c r="BE62" s="11"/>
      <c r="BF62" s="204" t="str">
        <f>IFERROR(IF(BE62&gt;0,"",BE62*VLOOKUP($A62,'VALOR I.'!$B$6:$K$418,10,FALSE)),"")</f>
        <v/>
      </c>
    </row>
    <row r="63" spans="2:58" ht="15.75" hidden="1" customHeight="1" x14ac:dyDescent="0.25">
      <c r="B63" s="282"/>
      <c r="C63" s="239" t="e">
        <f>VLOOKUP($A63,INICIO!$A$5:$J$72,3,FALSE)</f>
        <v>#N/A</v>
      </c>
      <c r="D63" s="9" t="e">
        <f>VLOOKUP($A63,REPOSICIONES!$A$5:$J$72,3,FALSE)</f>
        <v>#N/A</v>
      </c>
      <c r="E63" s="79" t="e">
        <f t="shared" si="0"/>
        <v>#N/A</v>
      </c>
      <c r="F63" s="80" t="str">
        <f>IFERROR(VLOOKUP($A63,VENTAS!$H$2:$O$201,2,FALSE),"")</f>
        <v/>
      </c>
      <c r="G63" s="9" t="str">
        <f t="shared" si="1"/>
        <v/>
      </c>
      <c r="H63" s="9" t="e">
        <f>VLOOKUP($A63,INICIO!$A$5:$J$72,4,FALSE)</f>
        <v>#N/A</v>
      </c>
      <c r="I63" s="11"/>
      <c r="J63" s="242" t="str">
        <f>IFERROR(IF(I63&gt;0,"",I63*VLOOKUP($A63,'VALOR I.'!$B$6:$K$418,10,FALSE)),"")</f>
        <v/>
      </c>
      <c r="K63" s="276" t="e">
        <f>VLOOKUP($A63,INICIO!$A$5:$J$72,4,FALSE)</f>
        <v>#N/A</v>
      </c>
      <c r="L63" s="232" t="e">
        <f>VLOOKUP($A63,REPOSICIONES!$A$5:$J$72,4,FALSE)</f>
        <v>#N/A</v>
      </c>
      <c r="M63" s="79" t="e">
        <f t="shared" si="2"/>
        <v>#N/A</v>
      </c>
      <c r="N63" s="230" t="str">
        <f>IFERROR(VLOOKUP($A63,VENTAS!$H$2:$O$201,3,FALSE),"")</f>
        <v/>
      </c>
      <c r="O63" s="267" t="str">
        <f t="shared" si="3"/>
        <v/>
      </c>
      <c r="P63" s="270" t="e">
        <f>VLOOKUP($A63,INICIO!$A$5:$J$72,5,FALSE)</f>
        <v>#N/A</v>
      </c>
      <c r="Q63" s="11"/>
      <c r="R63" s="242" t="str">
        <f>IFERROR(IF(Q63&gt;0,"",Q63*VLOOKUP($A63,'VALOR I.'!$B$6:$K$418,10,FALSE)),"")</f>
        <v/>
      </c>
      <c r="S63" s="276" t="e">
        <f>VLOOKUP($A63,INICIO!$A$5:$J$72,5,FALSE)</f>
        <v>#N/A</v>
      </c>
      <c r="T63" s="232" t="e">
        <f>VLOOKUP($A63,REPOSICIONES!$A$5:$J$72,5,FALSE)</f>
        <v>#N/A</v>
      </c>
      <c r="U63" s="79" t="e">
        <f t="shared" si="4"/>
        <v>#N/A</v>
      </c>
      <c r="V63" s="230" t="str">
        <f>IFERROR(VLOOKUP($A63,VENTAS!$H$2:$O$201,4,FALSE),"")</f>
        <v/>
      </c>
      <c r="W63" s="11" t="str">
        <f t="shared" si="5"/>
        <v/>
      </c>
      <c r="X63" s="270" t="e">
        <f>VLOOKUP($A63,INICIO!$A$5:$J$72,6,FALSE)</f>
        <v>#N/A</v>
      </c>
      <c r="Y63" s="11"/>
      <c r="Z63" s="242" t="str">
        <f>IFERROR(IF(Y63&gt;0,"",Y63*VLOOKUP($A63,'VALOR I.'!$B$6:$K$418,10,FALSE)),"")</f>
        <v/>
      </c>
      <c r="AA63" s="276" t="e">
        <f>VLOOKUP($A63,INICIO!$A$5:$J$72,6,FALSE)</f>
        <v>#N/A</v>
      </c>
      <c r="AB63" s="232" t="e">
        <f>VLOOKUP($A63,REPOSICIONES!$A$5:$J$72,6,FALSE)</f>
        <v>#N/A</v>
      </c>
      <c r="AC63" s="79" t="e">
        <f t="shared" si="6"/>
        <v>#N/A</v>
      </c>
      <c r="AD63" s="230" t="str">
        <f>IFERROR(VLOOKUP($A63,VENTAS!$H$2:$O$201,5,FALSE),"")</f>
        <v/>
      </c>
      <c r="AE63" s="11" t="str">
        <f t="shared" si="7"/>
        <v/>
      </c>
      <c r="AF63" s="270" t="e">
        <f>VLOOKUP($A63,INICIO!$A$5:$J$72,7,FALSE)</f>
        <v>#N/A</v>
      </c>
      <c r="AG63" s="11"/>
      <c r="AH63" s="242" t="str">
        <f>IFERROR(IF(AG63&gt;0,"",AG63*VLOOKUP($A63,'VALOR I.'!$B$6:$K$418,10,FALSE)),"")</f>
        <v/>
      </c>
      <c r="AI63" s="269" t="e">
        <f>VLOOKUP($A63,INICIO!$A$5:$J$72,7,FALSE)</f>
        <v>#N/A</v>
      </c>
      <c r="AJ63" s="232" t="e">
        <f>VLOOKUP($A63,REPOSICIONES!$A$5:$J$72,7,FALSE)</f>
        <v>#N/A</v>
      </c>
      <c r="AK63" s="79" t="e">
        <f t="shared" si="8"/>
        <v>#N/A</v>
      </c>
      <c r="AL63" s="230" t="str">
        <f>IFERROR(VLOOKUP($A63,VENTAS!$H$2:$O$201,6,FALSE),"")</f>
        <v/>
      </c>
      <c r="AM63" s="11" t="str">
        <f t="shared" si="9"/>
        <v/>
      </c>
      <c r="AN63" s="270" t="e">
        <f>VLOOKUP($A63,INICIO!$A$5:$J$72,8,FALSE)</f>
        <v>#N/A</v>
      </c>
      <c r="AO63" s="11"/>
      <c r="AP63" s="204" t="str">
        <f>IFERROR(IF(AO63&gt;0,"",AO63*VLOOKUP($A63,'VALOR I.'!$B$6:$K$418,10,FALSE)),"")</f>
        <v/>
      </c>
      <c r="AQ63" s="269" t="e">
        <f>VLOOKUP($A63,INICIO!$A$5:$J$72,8,FALSE)</f>
        <v>#N/A</v>
      </c>
      <c r="AR63" s="232" t="e">
        <f>VLOOKUP($A63,REPOSICIONES!$A$5:$J$72,8,FALSE)</f>
        <v>#N/A</v>
      </c>
      <c r="AS63" s="79" t="e">
        <f t="shared" si="10"/>
        <v>#N/A</v>
      </c>
      <c r="AT63" s="230" t="str">
        <f>IFERROR(VLOOKUP($A63,VENTAS!$H$2:$O$201,7,FALSE),"")</f>
        <v/>
      </c>
      <c r="AU63" s="11" t="str">
        <f t="shared" si="11"/>
        <v/>
      </c>
      <c r="AV63" s="270" t="e">
        <f>VLOOKUP($A63,INICIO!$A$5:$J$72,9,FALSE)</f>
        <v>#N/A</v>
      </c>
      <c r="AW63" s="11"/>
      <c r="AX63" s="204" t="str">
        <f>IFERROR(IF(AW63&gt;0,"",AW63*VLOOKUP($A63,'VALOR I.'!$B$6:$K$418,10,FALSE)),"")</f>
        <v/>
      </c>
      <c r="AY63" s="269" t="e">
        <f>VLOOKUP($A63,INICIO!$A$5:$J$72,9,FALSE)</f>
        <v>#N/A</v>
      </c>
      <c r="AZ63" s="232" t="e">
        <f>VLOOKUP($A63,REPOSICIONES!$A$5:$J$72,9,FALSE)</f>
        <v>#N/A</v>
      </c>
      <c r="BA63" s="79" t="e">
        <f t="shared" si="18"/>
        <v>#N/A</v>
      </c>
      <c r="BB63" s="230" t="str">
        <f>IFERROR(VLOOKUP($A63,VENTAS!$H$2:$O$201,8,FALSE),"")</f>
        <v/>
      </c>
      <c r="BC63" s="11" t="str">
        <f t="shared" si="19"/>
        <v/>
      </c>
      <c r="BD63" s="270" t="e">
        <f>VLOOKUP($A63,INICIO!$A$5:$J$72,10,FALSE)</f>
        <v>#N/A</v>
      </c>
      <c r="BE63" s="11"/>
      <c r="BF63" s="204" t="str">
        <f>IFERROR(IF(BE63&gt;0,"",BE63*VLOOKUP($A63,'VALOR I.'!$B$6:$K$418,10,FALSE)),"")</f>
        <v/>
      </c>
    </row>
    <row r="64" spans="2:58" ht="15.75" hidden="1" customHeight="1" x14ac:dyDescent="0.25">
      <c r="B64" s="282"/>
      <c r="C64" s="239" t="e">
        <f>VLOOKUP($A64,INICIO!$A$5:$J$72,3,FALSE)</f>
        <v>#N/A</v>
      </c>
      <c r="D64" s="9" t="e">
        <f>VLOOKUP($A64,REPOSICIONES!$A$5:$J$72,3,FALSE)</f>
        <v>#N/A</v>
      </c>
      <c r="E64" s="79" t="e">
        <f t="shared" si="0"/>
        <v>#N/A</v>
      </c>
      <c r="F64" s="80" t="str">
        <f>IFERROR(VLOOKUP($A64,VENTAS!$H$2:$O$201,2,FALSE),"")</f>
        <v/>
      </c>
      <c r="G64" s="9" t="str">
        <f t="shared" si="1"/>
        <v/>
      </c>
      <c r="H64" s="9" t="e">
        <f>VLOOKUP($A64,INICIO!$A$5:$J$72,4,FALSE)</f>
        <v>#N/A</v>
      </c>
      <c r="I64" s="11"/>
      <c r="J64" s="242" t="str">
        <f>IFERROR(IF(I64&gt;0,"",I64*VLOOKUP($A64,'VALOR I.'!$B$6:$K$418,10,FALSE)),"")</f>
        <v/>
      </c>
      <c r="K64" s="276" t="e">
        <f>VLOOKUP($A64,INICIO!$A$5:$J$72,4,FALSE)</f>
        <v>#N/A</v>
      </c>
      <c r="L64" s="232" t="e">
        <f>VLOOKUP($A64,REPOSICIONES!$A$5:$J$72,4,FALSE)</f>
        <v>#N/A</v>
      </c>
      <c r="M64" s="79" t="e">
        <f t="shared" si="2"/>
        <v>#N/A</v>
      </c>
      <c r="N64" s="230" t="str">
        <f>IFERROR(VLOOKUP($A64,VENTAS!$H$2:$O$201,3,FALSE),"")</f>
        <v/>
      </c>
      <c r="O64" s="267" t="str">
        <f t="shared" si="3"/>
        <v/>
      </c>
      <c r="P64" s="270" t="e">
        <f>VLOOKUP($A64,INICIO!$A$5:$J$72,5,FALSE)</f>
        <v>#N/A</v>
      </c>
      <c r="Q64" s="11"/>
      <c r="R64" s="242" t="str">
        <f>IFERROR(IF(Q64&gt;0,"",Q64*VLOOKUP($A64,'VALOR I.'!$B$6:$K$418,10,FALSE)),"")</f>
        <v/>
      </c>
      <c r="S64" s="276" t="e">
        <f>VLOOKUP($A64,INICIO!$A$5:$J$72,5,FALSE)</f>
        <v>#N/A</v>
      </c>
      <c r="T64" s="232" t="e">
        <f>VLOOKUP($A64,REPOSICIONES!$A$5:$J$72,5,FALSE)</f>
        <v>#N/A</v>
      </c>
      <c r="U64" s="79" t="e">
        <f t="shared" si="4"/>
        <v>#N/A</v>
      </c>
      <c r="V64" s="230" t="str">
        <f>IFERROR(VLOOKUP($A64,VENTAS!$H$2:$O$201,4,FALSE),"")</f>
        <v/>
      </c>
      <c r="W64" s="11" t="str">
        <f t="shared" si="5"/>
        <v/>
      </c>
      <c r="X64" s="270" t="e">
        <f>VLOOKUP($A64,INICIO!$A$5:$J$72,6,FALSE)</f>
        <v>#N/A</v>
      </c>
      <c r="Y64" s="11"/>
      <c r="Z64" s="242" t="str">
        <f>IFERROR(IF(Y64&gt;0,"",Y64*VLOOKUP($A64,'VALOR I.'!$B$6:$K$418,10,FALSE)),"")</f>
        <v/>
      </c>
      <c r="AA64" s="276" t="e">
        <f>VLOOKUP($A64,INICIO!$A$5:$J$72,6,FALSE)</f>
        <v>#N/A</v>
      </c>
      <c r="AB64" s="232" t="e">
        <f>VLOOKUP($A64,REPOSICIONES!$A$5:$J$72,6,FALSE)</f>
        <v>#N/A</v>
      </c>
      <c r="AC64" s="79" t="e">
        <f t="shared" si="6"/>
        <v>#N/A</v>
      </c>
      <c r="AD64" s="230" t="str">
        <f>IFERROR(VLOOKUP($A64,VENTAS!$H$2:$O$201,5,FALSE),"")</f>
        <v/>
      </c>
      <c r="AE64" s="11" t="str">
        <f t="shared" si="7"/>
        <v/>
      </c>
      <c r="AF64" s="270" t="e">
        <f>VLOOKUP($A64,INICIO!$A$5:$J$72,7,FALSE)</f>
        <v>#N/A</v>
      </c>
      <c r="AG64" s="11"/>
      <c r="AH64" s="242" t="str">
        <f>IFERROR(IF(AG64&gt;0,"",AG64*VLOOKUP($A64,'VALOR I.'!$B$6:$K$418,10,FALSE)),"")</f>
        <v/>
      </c>
      <c r="AI64" s="269" t="e">
        <f>VLOOKUP($A64,INICIO!$A$5:$J$72,7,FALSE)</f>
        <v>#N/A</v>
      </c>
      <c r="AJ64" s="232" t="e">
        <f>VLOOKUP($A64,REPOSICIONES!$A$5:$J$72,7,FALSE)</f>
        <v>#N/A</v>
      </c>
      <c r="AK64" s="79" t="e">
        <f t="shared" si="8"/>
        <v>#N/A</v>
      </c>
      <c r="AL64" s="230" t="str">
        <f>IFERROR(VLOOKUP($A64,VENTAS!$H$2:$O$201,6,FALSE),"")</f>
        <v/>
      </c>
      <c r="AM64" s="11" t="str">
        <f t="shared" si="9"/>
        <v/>
      </c>
      <c r="AN64" s="270" t="e">
        <f>VLOOKUP($A64,INICIO!$A$5:$J$72,8,FALSE)</f>
        <v>#N/A</v>
      </c>
      <c r="AO64" s="11"/>
      <c r="AP64" s="204" t="str">
        <f>IFERROR(IF(AO64&gt;0,"",AO64*VLOOKUP($A64,'VALOR I.'!$B$6:$K$418,10,FALSE)),"")</f>
        <v/>
      </c>
      <c r="AQ64" s="269" t="e">
        <f>VLOOKUP($A64,INICIO!$A$5:$J$72,8,FALSE)</f>
        <v>#N/A</v>
      </c>
      <c r="AR64" s="232" t="e">
        <f>VLOOKUP($A64,REPOSICIONES!$A$5:$J$72,8,FALSE)</f>
        <v>#N/A</v>
      </c>
      <c r="AS64" s="79" t="e">
        <f t="shared" si="10"/>
        <v>#N/A</v>
      </c>
      <c r="AT64" s="230" t="str">
        <f>IFERROR(VLOOKUP($A64,VENTAS!$H$2:$O$201,7,FALSE),"")</f>
        <v/>
      </c>
      <c r="AU64" s="11" t="str">
        <f t="shared" si="11"/>
        <v/>
      </c>
      <c r="AV64" s="270" t="e">
        <f>VLOOKUP($A64,INICIO!$A$5:$J$72,9,FALSE)</f>
        <v>#N/A</v>
      </c>
      <c r="AW64" s="11"/>
      <c r="AX64" s="204" t="str">
        <f>IFERROR(IF(AW64&gt;0,"",AW64*VLOOKUP($A64,'VALOR I.'!$B$6:$K$418,10,FALSE)),"")</f>
        <v/>
      </c>
      <c r="AY64" s="269" t="e">
        <f>VLOOKUP($A64,INICIO!$A$5:$J$72,9,FALSE)</f>
        <v>#N/A</v>
      </c>
      <c r="AZ64" s="232" t="e">
        <f>VLOOKUP($A64,REPOSICIONES!$A$5:$J$72,9,FALSE)</f>
        <v>#N/A</v>
      </c>
      <c r="BA64" s="79" t="e">
        <f t="shared" si="18"/>
        <v>#N/A</v>
      </c>
      <c r="BB64" s="230" t="str">
        <f>IFERROR(VLOOKUP($A64,VENTAS!$H$2:$O$201,8,FALSE),"")</f>
        <v/>
      </c>
      <c r="BC64" s="11" t="str">
        <f t="shared" si="19"/>
        <v/>
      </c>
      <c r="BD64" s="270" t="e">
        <f>VLOOKUP($A64,INICIO!$A$5:$J$72,10,FALSE)</f>
        <v>#N/A</v>
      </c>
      <c r="BE64" s="11"/>
      <c r="BF64" s="204" t="str">
        <f>IFERROR(IF(BE64&gt;0,"",BE64*VLOOKUP($A64,'VALOR I.'!$B$6:$K$418,10,FALSE)),"")</f>
        <v/>
      </c>
    </row>
    <row r="65" spans="1:58" ht="15.75" hidden="1" customHeight="1" x14ac:dyDescent="0.25">
      <c r="B65" s="282"/>
      <c r="C65" s="239" t="e">
        <f>VLOOKUP($A65,INICIO!$A$5:$J$72,3,FALSE)</f>
        <v>#N/A</v>
      </c>
      <c r="D65" s="9" t="e">
        <f>VLOOKUP($A65,REPOSICIONES!$A$5:$J$72,3,FALSE)</f>
        <v>#N/A</v>
      </c>
      <c r="E65" s="79" t="e">
        <f t="shared" si="0"/>
        <v>#N/A</v>
      </c>
      <c r="F65" s="80" t="str">
        <f>IFERROR(VLOOKUP($A65,VENTAS!$H$2:$O$201,2,FALSE),"")</f>
        <v/>
      </c>
      <c r="G65" s="9" t="str">
        <f t="shared" si="1"/>
        <v/>
      </c>
      <c r="H65" s="9" t="e">
        <f>VLOOKUP($A65,INICIO!$A$5:$J$72,4,FALSE)</f>
        <v>#N/A</v>
      </c>
      <c r="I65" s="11"/>
      <c r="J65" s="242" t="str">
        <f>IFERROR(IF(I65&gt;0,"",I65*VLOOKUP($A65,'VALOR I.'!$B$6:$K$418,10,FALSE)),"")</f>
        <v/>
      </c>
      <c r="K65" s="276" t="e">
        <f>VLOOKUP($A65,INICIO!$A$5:$J$72,4,FALSE)</f>
        <v>#N/A</v>
      </c>
      <c r="L65" s="232" t="e">
        <f>VLOOKUP($A65,REPOSICIONES!$A$5:$J$72,4,FALSE)</f>
        <v>#N/A</v>
      </c>
      <c r="M65" s="79" t="e">
        <f t="shared" si="2"/>
        <v>#N/A</v>
      </c>
      <c r="N65" s="230" t="str">
        <f>IFERROR(VLOOKUP($A65,VENTAS!$H$2:$O$201,3,FALSE),"")</f>
        <v/>
      </c>
      <c r="O65" s="267" t="str">
        <f t="shared" si="3"/>
        <v/>
      </c>
      <c r="P65" s="270" t="e">
        <f>VLOOKUP($A65,INICIO!$A$5:$J$72,5,FALSE)</f>
        <v>#N/A</v>
      </c>
      <c r="Q65" s="11"/>
      <c r="R65" s="242" t="str">
        <f>IFERROR(IF(Q65&gt;0,"",Q65*VLOOKUP($A65,'VALOR I.'!$B$6:$K$418,10,FALSE)),"")</f>
        <v/>
      </c>
      <c r="S65" s="276" t="e">
        <f>VLOOKUP($A65,INICIO!$A$5:$J$72,5,FALSE)</f>
        <v>#N/A</v>
      </c>
      <c r="T65" s="232" t="e">
        <f>VLOOKUP($A65,REPOSICIONES!$A$5:$J$72,5,FALSE)</f>
        <v>#N/A</v>
      </c>
      <c r="U65" s="79" t="e">
        <f t="shared" si="4"/>
        <v>#N/A</v>
      </c>
      <c r="V65" s="230" t="str">
        <f>IFERROR(VLOOKUP($A65,VENTAS!$H$2:$O$201,4,FALSE),"")</f>
        <v/>
      </c>
      <c r="W65" s="11" t="str">
        <f t="shared" si="5"/>
        <v/>
      </c>
      <c r="X65" s="270" t="e">
        <f>VLOOKUP($A65,INICIO!$A$5:$J$72,6,FALSE)</f>
        <v>#N/A</v>
      </c>
      <c r="Y65" s="11"/>
      <c r="Z65" s="242" t="str">
        <f>IFERROR(IF(Y65&gt;0,"",Y65*VLOOKUP($A65,'VALOR I.'!$B$6:$K$418,10,FALSE)),"")</f>
        <v/>
      </c>
      <c r="AA65" s="276" t="e">
        <f>VLOOKUP($A65,INICIO!$A$5:$J$72,6,FALSE)</f>
        <v>#N/A</v>
      </c>
      <c r="AB65" s="232" t="e">
        <f>VLOOKUP($A65,REPOSICIONES!$A$5:$J$72,6,FALSE)</f>
        <v>#N/A</v>
      </c>
      <c r="AC65" s="79" t="e">
        <f t="shared" si="6"/>
        <v>#N/A</v>
      </c>
      <c r="AD65" s="230" t="str">
        <f>IFERROR(VLOOKUP($A65,VENTAS!$H$2:$O$201,5,FALSE),"")</f>
        <v/>
      </c>
      <c r="AE65" s="11" t="str">
        <f t="shared" si="7"/>
        <v/>
      </c>
      <c r="AF65" s="270" t="e">
        <f>VLOOKUP($A65,INICIO!$A$5:$J$72,7,FALSE)</f>
        <v>#N/A</v>
      </c>
      <c r="AG65" s="11"/>
      <c r="AH65" s="242" t="str">
        <f>IFERROR(IF(AG65&gt;0,"",AG65*VLOOKUP($A65,'VALOR I.'!$B$6:$K$418,10,FALSE)),"")</f>
        <v/>
      </c>
      <c r="AI65" s="269" t="e">
        <f>VLOOKUP($A65,INICIO!$A$5:$J$72,7,FALSE)</f>
        <v>#N/A</v>
      </c>
      <c r="AJ65" s="232" t="e">
        <f>VLOOKUP($A65,REPOSICIONES!$A$5:$J$72,7,FALSE)</f>
        <v>#N/A</v>
      </c>
      <c r="AK65" s="79" t="e">
        <f t="shared" si="8"/>
        <v>#N/A</v>
      </c>
      <c r="AL65" s="230" t="str">
        <f>IFERROR(VLOOKUP($A65,VENTAS!$H$2:$O$201,6,FALSE),"")</f>
        <v/>
      </c>
      <c r="AM65" s="11" t="str">
        <f t="shared" si="9"/>
        <v/>
      </c>
      <c r="AN65" s="270" t="e">
        <f>VLOOKUP($A65,INICIO!$A$5:$J$72,8,FALSE)</f>
        <v>#N/A</v>
      </c>
      <c r="AO65" s="11"/>
      <c r="AP65" s="204" t="str">
        <f>IFERROR(IF(AO65&gt;0,"",AO65*VLOOKUP($A65,'VALOR I.'!$B$6:$K$418,10,FALSE)),"")</f>
        <v/>
      </c>
      <c r="AQ65" s="269" t="e">
        <f>VLOOKUP($A65,INICIO!$A$5:$J$72,8,FALSE)</f>
        <v>#N/A</v>
      </c>
      <c r="AR65" s="232" t="e">
        <f>VLOOKUP($A65,REPOSICIONES!$A$5:$J$72,8,FALSE)</f>
        <v>#N/A</v>
      </c>
      <c r="AS65" s="79" t="e">
        <f t="shared" si="10"/>
        <v>#N/A</v>
      </c>
      <c r="AT65" s="230" t="str">
        <f>IFERROR(VLOOKUP($A65,VENTAS!$H$2:$O$201,7,FALSE),"")</f>
        <v/>
      </c>
      <c r="AU65" s="11" t="str">
        <f t="shared" si="11"/>
        <v/>
      </c>
      <c r="AV65" s="270" t="e">
        <f>VLOOKUP($A65,INICIO!$A$5:$J$72,9,FALSE)</f>
        <v>#N/A</v>
      </c>
      <c r="AW65" s="11"/>
      <c r="AX65" s="204" t="str">
        <f>IFERROR(IF(AW65&gt;0,"",AW65*VLOOKUP($A65,'VALOR I.'!$B$6:$K$418,10,FALSE)),"")</f>
        <v/>
      </c>
      <c r="AY65" s="269" t="e">
        <f>VLOOKUP($A65,INICIO!$A$5:$J$72,9,FALSE)</f>
        <v>#N/A</v>
      </c>
      <c r="AZ65" s="232" t="e">
        <f>VLOOKUP($A65,REPOSICIONES!$A$5:$J$72,9,FALSE)</f>
        <v>#N/A</v>
      </c>
      <c r="BA65" s="79" t="e">
        <f t="shared" si="18"/>
        <v>#N/A</v>
      </c>
      <c r="BB65" s="230" t="str">
        <f>IFERROR(VLOOKUP($A65,VENTAS!$H$2:$O$201,8,FALSE),"")</f>
        <v/>
      </c>
      <c r="BC65" s="11" t="str">
        <f t="shared" si="19"/>
        <v/>
      </c>
      <c r="BD65" s="270" t="e">
        <f>VLOOKUP($A65,INICIO!$A$5:$J$72,10,FALSE)</f>
        <v>#N/A</v>
      </c>
      <c r="BE65" s="11"/>
      <c r="BF65" s="204" t="str">
        <f>IFERROR(IF(BE65&gt;0,"",BE65*VLOOKUP($A65,'VALOR I.'!$B$6:$K$418,10,FALSE)),"")</f>
        <v/>
      </c>
    </row>
    <row r="66" spans="1:58" ht="15.75" hidden="1" customHeight="1" x14ac:dyDescent="0.25">
      <c r="B66" s="282"/>
      <c r="C66" s="239" t="e">
        <f>VLOOKUP($A66,INICIO!$A$5:$J$72,3,FALSE)</f>
        <v>#N/A</v>
      </c>
      <c r="D66" s="9" t="e">
        <f>VLOOKUP($A66,REPOSICIONES!$A$5:$J$72,3,FALSE)</f>
        <v>#N/A</v>
      </c>
      <c r="E66" s="79" t="e">
        <f t="shared" si="0"/>
        <v>#N/A</v>
      </c>
      <c r="F66" s="80" t="str">
        <f>IFERROR(VLOOKUP($A66,VENTAS!$H$2:$O$201,2,FALSE),"")</f>
        <v/>
      </c>
      <c r="G66" s="9" t="str">
        <f t="shared" si="1"/>
        <v/>
      </c>
      <c r="H66" s="9" t="e">
        <f>VLOOKUP($A66,INICIO!$A$5:$J$72,4,FALSE)</f>
        <v>#N/A</v>
      </c>
      <c r="I66" s="11"/>
      <c r="J66" s="242" t="str">
        <f>IFERROR(IF(I66&gt;0,"",I66*VLOOKUP($A66,'VALOR I.'!$B$6:$K$418,10,FALSE)),"")</f>
        <v/>
      </c>
      <c r="K66" s="276" t="e">
        <f>VLOOKUP($A66,INICIO!$A$5:$J$72,4,FALSE)</f>
        <v>#N/A</v>
      </c>
      <c r="L66" s="232" t="e">
        <f>VLOOKUP($A66,REPOSICIONES!$A$5:$J$72,4,FALSE)</f>
        <v>#N/A</v>
      </c>
      <c r="M66" s="79" t="e">
        <f t="shared" si="2"/>
        <v>#N/A</v>
      </c>
      <c r="N66" s="230" t="str">
        <f>IFERROR(VLOOKUP($A66,VENTAS!$H$2:$O$201,3,FALSE),"")</f>
        <v/>
      </c>
      <c r="O66" s="267" t="str">
        <f t="shared" si="3"/>
        <v/>
      </c>
      <c r="P66" s="270" t="e">
        <f>VLOOKUP($A66,INICIO!$A$5:$J$72,5,FALSE)</f>
        <v>#N/A</v>
      </c>
      <c r="Q66" s="11"/>
      <c r="R66" s="242" t="str">
        <f>IFERROR(IF(Q66&gt;0,"",Q66*VLOOKUP($A66,'VALOR I.'!$B$6:$K$418,10,FALSE)),"")</f>
        <v/>
      </c>
      <c r="S66" s="276" t="e">
        <f>VLOOKUP($A66,INICIO!$A$5:$J$72,5,FALSE)</f>
        <v>#N/A</v>
      </c>
      <c r="T66" s="232" t="e">
        <f>VLOOKUP($A66,REPOSICIONES!$A$5:$J$72,5,FALSE)</f>
        <v>#N/A</v>
      </c>
      <c r="U66" s="79" t="e">
        <f t="shared" si="4"/>
        <v>#N/A</v>
      </c>
      <c r="V66" s="230" t="str">
        <f>IFERROR(VLOOKUP($A66,VENTAS!$H$2:$O$201,4,FALSE),"")</f>
        <v/>
      </c>
      <c r="W66" s="11" t="str">
        <f t="shared" si="5"/>
        <v/>
      </c>
      <c r="X66" s="270" t="e">
        <f>VLOOKUP($A66,INICIO!$A$5:$J$72,6,FALSE)</f>
        <v>#N/A</v>
      </c>
      <c r="Y66" s="11"/>
      <c r="Z66" s="242" t="str">
        <f>IFERROR(IF(Y66&gt;0,"",Y66*VLOOKUP($A66,'VALOR I.'!$B$6:$K$418,10,FALSE)),"")</f>
        <v/>
      </c>
      <c r="AA66" s="276" t="e">
        <f>VLOOKUP($A66,INICIO!$A$5:$J$72,6,FALSE)</f>
        <v>#N/A</v>
      </c>
      <c r="AB66" s="232" t="e">
        <f>VLOOKUP($A66,REPOSICIONES!$A$5:$J$72,6,FALSE)</f>
        <v>#N/A</v>
      </c>
      <c r="AC66" s="79" t="e">
        <f t="shared" si="6"/>
        <v>#N/A</v>
      </c>
      <c r="AD66" s="230" t="str">
        <f>IFERROR(VLOOKUP($A66,VENTAS!$H$2:$O$201,5,FALSE),"")</f>
        <v/>
      </c>
      <c r="AE66" s="11" t="str">
        <f t="shared" si="7"/>
        <v/>
      </c>
      <c r="AF66" s="270" t="e">
        <f>VLOOKUP($A66,INICIO!$A$5:$J$72,7,FALSE)</f>
        <v>#N/A</v>
      </c>
      <c r="AG66" s="11"/>
      <c r="AH66" s="242" t="str">
        <f>IFERROR(IF(AG66&gt;0,"",AG66*VLOOKUP($A66,'VALOR I.'!$B$6:$K$418,10,FALSE)),"")</f>
        <v/>
      </c>
      <c r="AI66" s="269" t="e">
        <f>VLOOKUP($A66,INICIO!$A$5:$J$72,7,FALSE)</f>
        <v>#N/A</v>
      </c>
      <c r="AJ66" s="232" t="e">
        <f>VLOOKUP($A66,REPOSICIONES!$A$5:$J$72,7,FALSE)</f>
        <v>#N/A</v>
      </c>
      <c r="AK66" s="79" t="e">
        <f t="shared" si="8"/>
        <v>#N/A</v>
      </c>
      <c r="AL66" s="230" t="str">
        <f>IFERROR(VLOOKUP($A66,VENTAS!$H$2:$O$201,6,FALSE),"")</f>
        <v/>
      </c>
      <c r="AM66" s="11" t="str">
        <f t="shared" si="9"/>
        <v/>
      </c>
      <c r="AN66" s="270" t="e">
        <f>VLOOKUP($A66,INICIO!$A$5:$J$72,8,FALSE)</f>
        <v>#N/A</v>
      </c>
      <c r="AO66" s="11"/>
      <c r="AP66" s="204" t="str">
        <f>IFERROR(IF(AO66&gt;0,"",AO66*VLOOKUP($A66,'VALOR I.'!$B$6:$K$418,10,FALSE)),"")</f>
        <v/>
      </c>
      <c r="AQ66" s="269" t="e">
        <f>VLOOKUP($A66,INICIO!$A$5:$J$72,8,FALSE)</f>
        <v>#N/A</v>
      </c>
      <c r="AR66" s="232" t="e">
        <f>VLOOKUP($A66,REPOSICIONES!$A$5:$J$72,8,FALSE)</f>
        <v>#N/A</v>
      </c>
      <c r="AS66" s="79" t="e">
        <f t="shared" si="10"/>
        <v>#N/A</v>
      </c>
      <c r="AT66" s="230" t="str">
        <f>IFERROR(VLOOKUP($A66,VENTAS!$H$2:$O$201,7,FALSE),"")</f>
        <v/>
      </c>
      <c r="AU66" s="11" t="str">
        <f t="shared" si="11"/>
        <v/>
      </c>
      <c r="AV66" s="270" t="e">
        <f>VLOOKUP($A66,INICIO!$A$5:$J$72,9,FALSE)</f>
        <v>#N/A</v>
      </c>
      <c r="AW66" s="11"/>
      <c r="AX66" s="204" t="str">
        <f>IFERROR(IF(AW66&gt;0,"",AW66*VLOOKUP($A66,'VALOR I.'!$B$6:$K$418,10,FALSE)),"")</f>
        <v/>
      </c>
      <c r="AY66" s="269" t="e">
        <f>VLOOKUP($A66,INICIO!$A$5:$J$72,9,FALSE)</f>
        <v>#N/A</v>
      </c>
      <c r="AZ66" s="232" t="e">
        <f>VLOOKUP($A66,REPOSICIONES!$A$5:$J$72,9,FALSE)</f>
        <v>#N/A</v>
      </c>
      <c r="BA66" s="79" t="e">
        <f t="shared" si="18"/>
        <v>#N/A</v>
      </c>
      <c r="BB66" s="230" t="str">
        <f>IFERROR(VLOOKUP($A66,VENTAS!$H$2:$O$201,8,FALSE),"")</f>
        <v/>
      </c>
      <c r="BC66" s="11" t="str">
        <f t="shared" si="19"/>
        <v/>
      </c>
      <c r="BD66" s="270" t="e">
        <f>VLOOKUP($A66,INICIO!$A$5:$J$72,10,FALSE)</f>
        <v>#N/A</v>
      </c>
      <c r="BE66" s="11"/>
      <c r="BF66" s="204" t="str">
        <f>IFERROR(IF(BE66&gt;0,"",BE66*VLOOKUP($A66,'VALOR I.'!$B$6:$K$418,10,FALSE)),"")</f>
        <v/>
      </c>
    </row>
    <row r="67" spans="1:58" ht="15.75" hidden="1" customHeight="1" x14ac:dyDescent="0.25">
      <c r="B67" s="282"/>
      <c r="C67" s="239" t="e">
        <f>VLOOKUP($A67,INICIO!$A$5:$J$72,3,FALSE)</f>
        <v>#N/A</v>
      </c>
      <c r="D67" s="9" t="e">
        <f>VLOOKUP($A67,REPOSICIONES!$A$5:$J$72,3,FALSE)</f>
        <v>#N/A</v>
      </c>
      <c r="E67" s="79" t="e">
        <f t="shared" si="0"/>
        <v>#N/A</v>
      </c>
      <c r="F67" s="80" t="str">
        <f>IFERROR(VLOOKUP($A67,VENTAS!$H$2:$O$201,2,FALSE),"")</f>
        <v/>
      </c>
      <c r="G67" s="9" t="str">
        <f t="shared" si="1"/>
        <v/>
      </c>
      <c r="H67" s="9" t="e">
        <f>VLOOKUP($A67,INICIO!$A$5:$J$72,4,FALSE)</f>
        <v>#N/A</v>
      </c>
      <c r="I67" s="11"/>
      <c r="J67" s="242" t="str">
        <f>IFERROR(IF(I67&gt;0,"",I67*VLOOKUP($A67,'VALOR I.'!$B$6:$K$418,10,FALSE)),"")</f>
        <v/>
      </c>
      <c r="K67" s="276" t="e">
        <f>VLOOKUP($A67,INICIO!$A$5:$J$72,4,FALSE)</f>
        <v>#N/A</v>
      </c>
      <c r="L67" s="232" t="e">
        <f>VLOOKUP($A67,REPOSICIONES!$A$5:$J$72,4,FALSE)</f>
        <v>#N/A</v>
      </c>
      <c r="M67" s="79" t="e">
        <f t="shared" si="2"/>
        <v>#N/A</v>
      </c>
      <c r="N67" s="230" t="str">
        <f>IFERROR(VLOOKUP($A67,VENTAS!$H$2:$O$201,3,FALSE),"")</f>
        <v/>
      </c>
      <c r="O67" s="267" t="str">
        <f t="shared" si="3"/>
        <v/>
      </c>
      <c r="P67" s="270" t="e">
        <f>VLOOKUP($A67,INICIO!$A$5:$J$72,5,FALSE)</f>
        <v>#N/A</v>
      </c>
      <c r="Q67" s="11"/>
      <c r="R67" s="242" t="str">
        <f>IFERROR(IF(Q67&gt;0,"",Q67*VLOOKUP($A67,'VALOR I.'!$B$6:$K$418,10,FALSE)),"")</f>
        <v/>
      </c>
      <c r="S67" s="276" t="e">
        <f>VLOOKUP($A67,INICIO!$A$5:$J$72,5,FALSE)</f>
        <v>#N/A</v>
      </c>
      <c r="T67" s="232" t="e">
        <f>VLOOKUP($A67,REPOSICIONES!$A$5:$J$72,5,FALSE)</f>
        <v>#N/A</v>
      </c>
      <c r="U67" s="79" t="e">
        <f t="shared" si="4"/>
        <v>#N/A</v>
      </c>
      <c r="V67" s="230" t="str">
        <f>IFERROR(VLOOKUP($A67,VENTAS!$H$2:$O$201,4,FALSE),"")</f>
        <v/>
      </c>
      <c r="W67" s="11" t="str">
        <f t="shared" si="5"/>
        <v/>
      </c>
      <c r="X67" s="270" t="e">
        <f>VLOOKUP($A67,INICIO!$A$5:$J$72,6,FALSE)</f>
        <v>#N/A</v>
      </c>
      <c r="Y67" s="11"/>
      <c r="Z67" s="242" t="str">
        <f>IFERROR(IF(Y67&gt;0,"",Y67*VLOOKUP($A67,'VALOR I.'!$B$6:$K$418,10,FALSE)),"")</f>
        <v/>
      </c>
      <c r="AA67" s="276" t="e">
        <f>VLOOKUP($A67,INICIO!$A$5:$J$72,6,FALSE)</f>
        <v>#N/A</v>
      </c>
      <c r="AB67" s="232" t="e">
        <f>VLOOKUP($A67,REPOSICIONES!$A$5:$J$72,6,FALSE)</f>
        <v>#N/A</v>
      </c>
      <c r="AC67" s="79" t="e">
        <f t="shared" si="6"/>
        <v>#N/A</v>
      </c>
      <c r="AD67" s="230" t="str">
        <f>IFERROR(VLOOKUP($A67,VENTAS!$H$2:$O$201,5,FALSE),"")</f>
        <v/>
      </c>
      <c r="AE67" s="11" t="str">
        <f t="shared" si="7"/>
        <v/>
      </c>
      <c r="AF67" s="270" t="e">
        <f>VLOOKUP($A67,INICIO!$A$5:$J$72,7,FALSE)</f>
        <v>#N/A</v>
      </c>
      <c r="AG67" s="11"/>
      <c r="AH67" s="242" t="str">
        <f>IFERROR(IF(AG67&gt;0,"",AG67*VLOOKUP($A67,'VALOR I.'!$B$6:$K$418,10,FALSE)),"")</f>
        <v/>
      </c>
      <c r="AI67" s="269" t="e">
        <f>VLOOKUP($A67,INICIO!$A$5:$J$72,7,FALSE)</f>
        <v>#N/A</v>
      </c>
      <c r="AJ67" s="232" t="e">
        <f>VLOOKUP($A67,REPOSICIONES!$A$5:$J$72,7,FALSE)</f>
        <v>#N/A</v>
      </c>
      <c r="AK67" s="79" t="e">
        <f t="shared" si="8"/>
        <v>#N/A</v>
      </c>
      <c r="AL67" s="230" t="str">
        <f>IFERROR(VLOOKUP($A67,VENTAS!$H$2:$O$201,6,FALSE),"")</f>
        <v/>
      </c>
      <c r="AM67" s="11" t="str">
        <f t="shared" si="9"/>
        <v/>
      </c>
      <c r="AN67" s="270" t="e">
        <f>VLOOKUP($A67,INICIO!$A$5:$J$72,8,FALSE)</f>
        <v>#N/A</v>
      </c>
      <c r="AO67" s="11"/>
      <c r="AP67" s="204" t="str">
        <f>IFERROR(IF(AO67&gt;0,"",AO67*VLOOKUP($A67,'VALOR I.'!$B$6:$K$418,10,FALSE)),"")</f>
        <v/>
      </c>
      <c r="AQ67" s="269" t="e">
        <f>VLOOKUP($A67,INICIO!$A$5:$J$72,8,FALSE)</f>
        <v>#N/A</v>
      </c>
      <c r="AR67" s="232" t="e">
        <f>VLOOKUP($A67,REPOSICIONES!$A$5:$J$72,8,FALSE)</f>
        <v>#N/A</v>
      </c>
      <c r="AS67" s="79" t="e">
        <f t="shared" si="10"/>
        <v>#N/A</v>
      </c>
      <c r="AT67" s="230" t="str">
        <f>IFERROR(VLOOKUP($A67,VENTAS!$H$2:$O$201,7,FALSE),"")</f>
        <v/>
      </c>
      <c r="AU67" s="11" t="str">
        <f t="shared" si="11"/>
        <v/>
      </c>
      <c r="AV67" s="270" t="e">
        <f>VLOOKUP($A67,INICIO!$A$5:$J$72,9,FALSE)</f>
        <v>#N/A</v>
      </c>
      <c r="AW67" s="11"/>
      <c r="AX67" s="204" t="str">
        <f>IFERROR(IF(AW67&gt;0,"",AW67*VLOOKUP($A67,'VALOR I.'!$B$6:$K$418,10,FALSE)),"")</f>
        <v/>
      </c>
      <c r="AY67" s="269" t="e">
        <f>VLOOKUP($A67,INICIO!$A$5:$J$72,9,FALSE)</f>
        <v>#N/A</v>
      </c>
      <c r="AZ67" s="232" t="e">
        <f>VLOOKUP($A67,REPOSICIONES!$A$5:$J$72,9,FALSE)</f>
        <v>#N/A</v>
      </c>
      <c r="BA67" s="79" t="e">
        <f t="shared" si="18"/>
        <v>#N/A</v>
      </c>
      <c r="BB67" s="230" t="str">
        <f>IFERROR(VLOOKUP($A67,VENTAS!$H$2:$O$201,8,FALSE),"")</f>
        <v/>
      </c>
      <c r="BC67" s="11" t="str">
        <f t="shared" si="19"/>
        <v/>
      </c>
      <c r="BD67" s="270" t="e">
        <f>VLOOKUP($A67,INICIO!$A$5:$J$72,10,FALSE)</f>
        <v>#N/A</v>
      </c>
      <c r="BE67" s="11"/>
      <c r="BF67" s="204" t="str">
        <f>IFERROR(IF(BE67&gt;0,"",BE67*VLOOKUP($A67,'VALOR I.'!$B$6:$K$418,10,FALSE)),"")</f>
        <v/>
      </c>
    </row>
    <row r="68" spans="1:58" ht="15.75" hidden="1" customHeight="1" x14ac:dyDescent="0.25">
      <c r="B68" s="284"/>
      <c r="C68" s="239" t="e">
        <f>VLOOKUP($A68,INICIO!$A$5:$J$72,3,FALSE)</f>
        <v>#N/A</v>
      </c>
      <c r="D68" s="9" t="e">
        <f>VLOOKUP($A68,REPOSICIONES!$A$5:$J$72,3,FALSE)</f>
        <v>#N/A</v>
      </c>
      <c r="E68" s="79" t="e">
        <f t="shared" si="0"/>
        <v>#N/A</v>
      </c>
      <c r="F68" s="80" t="str">
        <f>IFERROR(VLOOKUP($A68,VENTAS!$H$2:$O$201,2,FALSE),"")</f>
        <v/>
      </c>
      <c r="G68" s="9" t="str">
        <f t="shared" si="1"/>
        <v/>
      </c>
      <c r="H68" s="9" t="e">
        <f>VLOOKUP($A68,INICIO!$A$5:$J$72,4,FALSE)</f>
        <v>#N/A</v>
      </c>
      <c r="I68" s="19"/>
      <c r="J68" s="242" t="str">
        <f>IFERROR(IF(I68&gt;0,"",I68*VLOOKUP($A68,'VALOR I.'!$B$6:$K$418,10,FALSE)),"")</f>
        <v/>
      </c>
      <c r="K68" s="276" t="e">
        <f>VLOOKUP($A68,INICIO!$A$5:$J$72,4,FALSE)</f>
        <v>#N/A</v>
      </c>
      <c r="L68" s="232" t="e">
        <f>VLOOKUP($A68,REPOSICIONES!$A$5:$J$72,4,FALSE)</f>
        <v>#N/A</v>
      </c>
      <c r="M68" s="19" t="e">
        <f t="shared" si="2"/>
        <v>#N/A</v>
      </c>
      <c r="N68" s="230" t="str">
        <f>IFERROR(VLOOKUP($A68,VENTAS!$H$2:$O$201,3,FALSE),"")</f>
        <v/>
      </c>
      <c r="O68" s="267" t="str">
        <f t="shared" si="3"/>
        <v/>
      </c>
      <c r="P68" s="270" t="e">
        <f>VLOOKUP($A68,INICIO!$A$5:$J$72,5,FALSE)</f>
        <v>#N/A</v>
      </c>
      <c r="Q68" s="19"/>
      <c r="R68" s="242" t="str">
        <f>IFERROR(IF(Q68&gt;0,"",Q68*VLOOKUP($A68,'VALOR I.'!$B$6:$K$418,10,FALSE)),"")</f>
        <v/>
      </c>
      <c r="S68" s="276" t="e">
        <f>VLOOKUP($A68,INICIO!$A$5:$J$72,5,FALSE)</f>
        <v>#N/A</v>
      </c>
      <c r="T68" s="232" t="e">
        <f>VLOOKUP($A68,REPOSICIONES!$A$5:$J$72,5,FALSE)</f>
        <v>#N/A</v>
      </c>
      <c r="U68" s="19" t="e">
        <f t="shared" si="4"/>
        <v>#N/A</v>
      </c>
      <c r="V68" s="230" t="str">
        <f>IFERROR(VLOOKUP($A68,VENTAS!$H$2:$O$201,4,FALSE),"")</f>
        <v/>
      </c>
      <c r="W68" s="19" t="str">
        <f t="shared" si="5"/>
        <v/>
      </c>
      <c r="X68" s="270" t="e">
        <f>VLOOKUP($A68,INICIO!$A$5:$J$72,6,FALSE)</f>
        <v>#N/A</v>
      </c>
      <c r="Y68" s="19"/>
      <c r="Z68" s="242" t="str">
        <f>IFERROR(IF(Y68&gt;0,"",Y68*VLOOKUP($A68,'VALOR I.'!$B$6:$K$418,10,FALSE)),"")</f>
        <v/>
      </c>
      <c r="AA68" s="276" t="e">
        <f>VLOOKUP($A68,INICIO!$A$5:$J$72,6,FALSE)</f>
        <v>#N/A</v>
      </c>
      <c r="AB68" s="232" t="e">
        <f>VLOOKUP($A68,REPOSICIONES!$A$5:$J$72,6,FALSE)</f>
        <v>#N/A</v>
      </c>
      <c r="AC68" s="19" t="e">
        <f t="shared" si="6"/>
        <v>#N/A</v>
      </c>
      <c r="AD68" s="230" t="str">
        <f>IFERROR(VLOOKUP($A68,VENTAS!$H$2:$O$201,5,FALSE),"")</f>
        <v/>
      </c>
      <c r="AE68" s="19" t="str">
        <f t="shared" si="7"/>
        <v/>
      </c>
      <c r="AF68" s="270" t="e">
        <f>VLOOKUP($A68,INICIO!$A$5:$J$72,7,FALSE)</f>
        <v>#N/A</v>
      </c>
      <c r="AG68" s="19"/>
      <c r="AH68" s="242" t="str">
        <f>IFERROR(IF(AG68&gt;0,"",AG68*VLOOKUP($A68,'VALOR I.'!$B$6:$K$418,10,FALSE)),"")</f>
        <v/>
      </c>
      <c r="AI68" s="269" t="e">
        <f>VLOOKUP($A68,INICIO!$A$5:$J$72,7,FALSE)</f>
        <v>#N/A</v>
      </c>
      <c r="AJ68" s="232" t="e">
        <f>VLOOKUP($A68,REPOSICIONES!$A$5:$J$72,7,FALSE)</f>
        <v>#N/A</v>
      </c>
      <c r="AK68" s="19" t="e">
        <f t="shared" si="8"/>
        <v>#N/A</v>
      </c>
      <c r="AL68" s="230" t="str">
        <f>IFERROR(VLOOKUP($A68,VENTAS!$H$2:$O$201,6,FALSE),"")</f>
        <v/>
      </c>
      <c r="AM68" s="19" t="str">
        <f t="shared" si="9"/>
        <v/>
      </c>
      <c r="AN68" s="270" t="e">
        <f>VLOOKUP($A68,INICIO!$A$5:$J$72,8,FALSE)</f>
        <v>#N/A</v>
      </c>
      <c r="AO68" s="19"/>
      <c r="AP68" s="204" t="str">
        <f>IFERROR(IF(AO68&gt;0,"",AO68*VLOOKUP($A68,'VALOR I.'!$B$6:$K$418,10,FALSE)),"")</f>
        <v/>
      </c>
      <c r="AQ68" s="269" t="e">
        <f>VLOOKUP($A68,INICIO!$A$5:$J$72,8,FALSE)</f>
        <v>#N/A</v>
      </c>
      <c r="AR68" s="232" t="e">
        <f>VLOOKUP($A68,REPOSICIONES!$A$5:$J$72,8,FALSE)</f>
        <v>#N/A</v>
      </c>
      <c r="AS68" s="19" t="e">
        <f t="shared" si="10"/>
        <v>#N/A</v>
      </c>
      <c r="AT68" s="230" t="str">
        <f>IFERROR(VLOOKUP($A68,VENTAS!$H$2:$O$201,7,FALSE),"")</f>
        <v/>
      </c>
      <c r="AU68" s="19" t="str">
        <f t="shared" si="11"/>
        <v/>
      </c>
      <c r="AV68" s="270" t="e">
        <f>VLOOKUP($A68,INICIO!$A$5:$J$72,9,FALSE)</f>
        <v>#N/A</v>
      </c>
      <c r="AW68" s="19"/>
      <c r="AX68" s="204" t="str">
        <f>IFERROR(IF(AW68&gt;0,"",AW68*VLOOKUP($A68,'VALOR I.'!$B$6:$K$418,10,FALSE)),"")</f>
        <v/>
      </c>
      <c r="AY68" s="269" t="e">
        <f>VLOOKUP($A68,INICIO!$A$5:$J$72,9,FALSE)</f>
        <v>#N/A</v>
      </c>
      <c r="AZ68" s="232" t="e">
        <f>VLOOKUP($A68,REPOSICIONES!$A$5:$J$72,9,FALSE)</f>
        <v>#N/A</v>
      </c>
      <c r="BA68" s="19" t="e">
        <f t="shared" si="18"/>
        <v>#N/A</v>
      </c>
      <c r="BB68" s="230" t="str">
        <f>IFERROR(VLOOKUP($A68,VENTAS!$H$2:$O$201,8,FALSE),"")</f>
        <v/>
      </c>
      <c r="BC68" s="19" t="str">
        <f t="shared" si="19"/>
        <v/>
      </c>
      <c r="BD68" s="270" t="e">
        <f>VLOOKUP($A68,INICIO!$A$5:$J$72,10,FALSE)</f>
        <v>#N/A</v>
      </c>
      <c r="BE68" s="19"/>
      <c r="BF68" s="204" t="str">
        <f>IFERROR(IF(BE68&gt;0,"",BE68*VLOOKUP($A68,'VALOR I.'!$B$6:$K$418,10,FALSE)),"")</f>
        <v/>
      </c>
    </row>
    <row r="69" spans="1:58" ht="15.75" hidden="1" customHeight="1" x14ac:dyDescent="0.25">
      <c r="B69" s="211"/>
      <c r="C69" s="239" t="e">
        <f>VLOOKUP($A69,INICIO!$A$5:$J$72,3,FALSE)</f>
        <v>#N/A</v>
      </c>
      <c r="D69" s="9" t="e">
        <f>VLOOKUP($A69,REPOSICIONES!$A$5:$J$72,3,FALSE)</f>
        <v>#N/A</v>
      </c>
      <c r="E69" s="79" t="e">
        <f t="shared" si="0"/>
        <v>#N/A</v>
      </c>
      <c r="F69" s="80" t="str">
        <f>IFERROR(VLOOKUP($A69,VENTAS!$H$2:$O$201,2,FALSE),"")</f>
        <v/>
      </c>
      <c r="G69" s="9" t="str">
        <f t="shared" si="1"/>
        <v/>
      </c>
      <c r="H69" s="9" t="e">
        <f>VLOOKUP($A69,INICIO!$A$5:$J$72,4,FALSE)</f>
        <v>#N/A</v>
      </c>
      <c r="I69" s="11"/>
      <c r="J69" s="242" t="str">
        <f>IFERROR(IF(I69&gt;0,"",I69*VLOOKUP($A69,'VALOR I.'!$B$6:$K$418,10,FALSE)),"")</f>
        <v/>
      </c>
      <c r="K69" s="276" t="e">
        <f>VLOOKUP($A69,INICIO!$A$5:$J$72,4,FALSE)</f>
        <v>#N/A</v>
      </c>
      <c r="L69" s="232" t="e">
        <f>VLOOKUP($A69,REPOSICIONES!$A$5:$J$72,4,FALSE)</f>
        <v>#N/A</v>
      </c>
      <c r="M69" s="79" t="e">
        <f t="shared" si="2"/>
        <v>#N/A</v>
      </c>
      <c r="N69" s="230" t="str">
        <f>IFERROR(VLOOKUP($A69,VENTAS!$H$2:$O$201,3,FALSE),"")</f>
        <v/>
      </c>
      <c r="O69" s="267" t="str">
        <f t="shared" si="3"/>
        <v/>
      </c>
      <c r="P69" s="270" t="e">
        <f>VLOOKUP($A69,INICIO!$A$5:$J$72,5,FALSE)</f>
        <v>#N/A</v>
      </c>
      <c r="Q69" s="11"/>
      <c r="R69" s="242" t="str">
        <f>IFERROR(IF(Q69&gt;0,"",Q69*VLOOKUP($A69,'VALOR I.'!$B$6:$K$418,10,FALSE)),"")</f>
        <v/>
      </c>
      <c r="S69" s="276" t="e">
        <f>VLOOKUP($A69,INICIO!$A$5:$J$72,5,FALSE)</f>
        <v>#N/A</v>
      </c>
      <c r="T69" s="232" t="e">
        <f>VLOOKUP($A69,REPOSICIONES!$A$5:$J$72,5,FALSE)</f>
        <v>#N/A</v>
      </c>
      <c r="U69" s="79" t="e">
        <f t="shared" si="4"/>
        <v>#N/A</v>
      </c>
      <c r="V69" s="230" t="str">
        <f>IFERROR(VLOOKUP($A69,VENTAS!$H$2:$O$201,4,FALSE),"")</f>
        <v/>
      </c>
      <c r="W69" s="10" t="str">
        <f t="shared" si="5"/>
        <v/>
      </c>
      <c r="X69" s="270" t="e">
        <f>VLOOKUP($A69,INICIO!$A$5:$J$72,6,FALSE)</f>
        <v>#N/A</v>
      </c>
      <c r="Y69" s="11"/>
      <c r="Z69" s="242" t="str">
        <f>IFERROR(IF(Y69&gt;0,"",Y69*VLOOKUP($A69,'VALOR I.'!$B$6:$K$418,10,FALSE)),"")</f>
        <v/>
      </c>
      <c r="AA69" s="276" t="e">
        <f>VLOOKUP($A69,INICIO!$A$5:$J$72,6,FALSE)</f>
        <v>#N/A</v>
      </c>
      <c r="AB69" s="232" t="e">
        <f>VLOOKUP($A69,REPOSICIONES!$A$5:$J$72,6,FALSE)</f>
        <v>#N/A</v>
      </c>
      <c r="AC69" s="79" t="e">
        <f t="shared" si="6"/>
        <v>#N/A</v>
      </c>
      <c r="AD69" s="230" t="str">
        <f>IFERROR(VLOOKUP($A69,VENTAS!$H$2:$O$201,5,FALSE),"")</f>
        <v/>
      </c>
      <c r="AE69" s="10" t="str">
        <f t="shared" si="7"/>
        <v/>
      </c>
      <c r="AF69" s="270" t="e">
        <f>VLOOKUP($A69,INICIO!$A$5:$J$72,7,FALSE)</f>
        <v>#N/A</v>
      </c>
      <c r="AG69" s="11"/>
      <c r="AH69" s="242" t="str">
        <f>IFERROR(IF(AG69&gt;0,"",AG69*VLOOKUP($A69,'VALOR I.'!$B$6:$K$418,10,FALSE)),"")</f>
        <v/>
      </c>
      <c r="AI69" s="269" t="e">
        <f>VLOOKUP($A69,INICIO!$A$5:$J$72,7,FALSE)</f>
        <v>#N/A</v>
      </c>
      <c r="AJ69" s="232" t="e">
        <f>VLOOKUP($A69,REPOSICIONES!$A$5:$J$72,7,FALSE)</f>
        <v>#N/A</v>
      </c>
      <c r="AK69" s="79" t="e">
        <f t="shared" si="8"/>
        <v>#N/A</v>
      </c>
      <c r="AL69" s="230" t="str">
        <f>IFERROR(VLOOKUP($A69,VENTAS!$H$2:$O$201,6,FALSE),"")</f>
        <v/>
      </c>
      <c r="AM69" s="10" t="str">
        <f t="shared" si="9"/>
        <v/>
      </c>
      <c r="AN69" s="270" t="e">
        <f>VLOOKUP($A69,INICIO!$A$5:$J$72,8,FALSE)</f>
        <v>#N/A</v>
      </c>
      <c r="AO69" s="11"/>
      <c r="AP69" s="204" t="str">
        <f>IFERROR(IF(AO69&gt;0,"",AO69*VLOOKUP($A69,'VALOR I.'!$B$6:$K$418,10,FALSE)),"")</f>
        <v/>
      </c>
      <c r="AQ69" s="269" t="e">
        <f>VLOOKUP($A69,INICIO!$A$5:$J$72,8,FALSE)</f>
        <v>#N/A</v>
      </c>
      <c r="AR69" s="232" t="e">
        <f>VLOOKUP($A69,REPOSICIONES!$A$5:$J$72,8,FALSE)</f>
        <v>#N/A</v>
      </c>
      <c r="AS69" s="79" t="e">
        <f t="shared" si="10"/>
        <v>#N/A</v>
      </c>
      <c r="AT69" s="230" t="str">
        <f>IFERROR(VLOOKUP($A69,VENTAS!$H$2:$O$201,7,FALSE),"")</f>
        <v/>
      </c>
      <c r="AU69" s="10" t="str">
        <f t="shared" si="11"/>
        <v/>
      </c>
      <c r="AV69" s="270" t="e">
        <f>VLOOKUP($A69,INICIO!$A$5:$J$72,9,FALSE)</f>
        <v>#N/A</v>
      </c>
      <c r="AW69" s="11"/>
      <c r="AX69" s="204" t="str">
        <f>IFERROR(IF(AW69&gt;0,"",AW69*VLOOKUP($A69,'VALOR I.'!$B$6:$K$418,10,FALSE)),"")</f>
        <v/>
      </c>
      <c r="AY69" s="269" t="e">
        <f>VLOOKUP($A69,INICIO!$A$5:$J$72,9,FALSE)</f>
        <v>#N/A</v>
      </c>
      <c r="AZ69" s="232" t="e">
        <f>VLOOKUP($A69,REPOSICIONES!$A$5:$J$72,9,FALSE)</f>
        <v>#N/A</v>
      </c>
      <c r="BA69" s="79" t="e">
        <f t="shared" si="18"/>
        <v>#N/A</v>
      </c>
      <c r="BB69" s="230" t="str">
        <f>IFERROR(VLOOKUP($A69,VENTAS!$H$2:$O$201,8,FALSE),"")</f>
        <v/>
      </c>
      <c r="BC69" s="10" t="str">
        <f t="shared" si="19"/>
        <v/>
      </c>
      <c r="BD69" s="270" t="e">
        <f>VLOOKUP($A69,INICIO!$A$5:$J$72,10,FALSE)</f>
        <v>#N/A</v>
      </c>
      <c r="BE69" s="11"/>
      <c r="BF69" s="204" t="str">
        <f>IFERROR(IF(BE69&gt;0,"",BE69*VLOOKUP($A69,'VALOR I.'!$B$6:$K$418,10,FALSE)),"")</f>
        <v/>
      </c>
    </row>
    <row r="70" spans="1:58" ht="15.75" hidden="1" customHeight="1" x14ac:dyDescent="0.25">
      <c r="B70" s="211"/>
      <c r="C70" s="239" t="e">
        <f>VLOOKUP($A70,INICIO!$A$5:$J$72,3,FALSE)</f>
        <v>#N/A</v>
      </c>
      <c r="D70" s="9" t="e">
        <f>VLOOKUP($A70,REPOSICIONES!$A$5:$J$72,3,FALSE)</f>
        <v>#N/A</v>
      </c>
      <c r="E70" s="79" t="e">
        <f t="shared" si="0"/>
        <v>#N/A</v>
      </c>
      <c r="F70" s="80" t="str">
        <f>IFERROR(VLOOKUP($A70,VENTAS!$H$2:$O$201,2,FALSE),"")</f>
        <v/>
      </c>
      <c r="G70" s="9" t="str">
        <f t="shared" si="1"/>
        <v/>
      </c>
      <c r="H70" s="9" t="e">
        <f>VLOOKUP($A70,INICIO!$A$5:$J$72,4,FALSE)</f>
        <v>#N/A</v>
      </c>
      <c r="I70" s="11"/>
      <c r="J70" s="242" t="str">
        <f>IFERROR(IF(I70&gt;0,"",I70*VLOOKUP($A70,'VALOR I.'!$B$6:$K$418,10,FALSE)),"")</f>
        <v/>
      </c>
      <c r="K70" s="276" t="e">
        <f>VLOOKUP($A70,INICIO!$A$5:$J$72,4,FALSE)</f>
        <v>#N/A</v>
      </c>
      <c r="L70" s="232" t="e">
        <f>VLOOKUP($A70,REPOSICIONES!$A$5:$J$72,4,FALSE)</f>
        <v>#N/A</v>
      </c>
      <c r="M70" s="79" t="e">
        <f t="shared" si="2"/>
        <v>#N/A</v>
      </c>
      <c r="N70" s="230" t="str">
        <f>IFERROR(VLOOKUP($A70,VENTAS!$H$2:$O$201,3,FALSE),"")</f>
        <v/>
      </c>
      <c r="O70" s="267" t="str">
        <f t="shared" si="3"/>
        <v/>
      </c>
      <c r="P70" s="270" t="e">
        <f>VLOOKUP($A70,INICIO!$A$5:$J$72,5,FALSE)</f>
        <v>#N/A</v>
      </c>
      <c r="Q70" s="11"/>
      <c r="R70" s="242" t="str">
        <f>IFERROR(IF(Q70&gt;0,"",Q70*VLOOKUP($A70,'VALOR I.'!$B$6:$K$418,10,FALSE)),"")</f>
        <v/>
      </c>
      <c r="S70" s="276" t="e">
        <f>VLOOKUP($A70,INICIO!$A$5:$J$72,5,FALSE)</f>
        <v>#N/A</v>
      </c>
      <c r="T70" s="232" t="e">
        <f>VLOOKUP($A70,REPOSICIONES!$A$5:$J$72,5,FALSE)</f>
        <v>#N/A</v>
      </c>
      <c r="U70" s="79" t="e">
        <f t="shared" si="4"/>
        <v>#N/A</v>
      </c>
      <c r="V70" s="230" t="str">
        <f>IFERROR(VLOOKUP($A70,VENTAS!$H$2:$O$201,4,FALSE),"")</f>
        <v/>
      </c>
      <c r="W70" s="10" t="str">
        <f t="shared" si="5"/>
        <v/>
      </c>
      <c r="X70" s="270" t="e">
        <f>VLOOKUP($A70,INICIO!$A$5:$J$72,6,FALSE)</f>
        <v>#N/A</v>
      </c>
      <c r="Y70" s="11"/>
      <c r="Z70" s="242" t="str">
        <f>IFERROR(IF(Y70&gt;0,"",Y70*VLOOKUP($A70,'VALOR I.'!$B$6:$K$418,10,FALSE)),"")</f>
        <v/>
      </c>
      <c r="AA70" s="276" t="e">
        <f>VLOOKUP($A70,INICIO!$A$5:$J$72,6,FALSE)</f>
        <v>#N/A</v>
      </c>
      <c r="AB70" s="232" t="e">
        <f>VLOOKUP($A70,REPOSICIONES!$A$5:$J$72,6,FALSE)</f>
        <v>#N/A</v>
      </c>
      <c r="AC70" s="79" t="e">
        <f t="shared" si="6"/>
        <v>#N/A</v>
      </c>
      <c r="AD70" s="230" t="str">
        <f>IFERROR(VLOOKUP($A70,VENTAS!$H$2:$O$201,5,FALSE),"")</f>
        <v/>
      </c>
      <c r="AE70" s="10" t="str">
        <f t="shared" si="7"/>
        <v/>
      </c>
      <c r="AF70" s="270" t="e">
        <f>VLOOKUP($A70,INICIO!$A$5:$J$72,7,FALSE)</f>
        <v>#N/A</v>
      </c>
      <c r="AG70" s="11"/>
      <c r="AH70" s="242" t="str">
        <f>IFERROR(IF(AG70&gt;0,"",AG70*VLOOKUP($A70,'VALOR I.'!$B$6:$K$418,10,FALSE)),"")</f>
        <v/>
      </c>
      <c r="AI70" s="269" t="e">
        <f>VLOOKUP($A70,INICIO!$A$5:$J$72,7,FALSE)</f>
        <v>#N/A</v>
      </c>
      <c r="AJ70" s="232" t="e">
        <f>VLOOKUP($A70,REPOSICIONES!$A$5:$J$72,7,FALSE)</f>
        <v>#N/A</v>
      </c>
      <c r="AK70" s="79" t="e">
        <f t="shared" si="8"/>
        <v>#N/A</v>
      </c>
      <c r="AL70" s="230" t="str">
        <f>IFERROR(VLOOKUP($A70,VENTAS!$H$2:$O$201,6,FALSE),"")</f>
        <v/>
      </c>
      <c r="AM70" s="10" t="str">
        <f t="shared" si="9"/>
        <v/>
      </c>
      <c r="AN70" s="270" t="e">
        <f>VLOOKUP($A70,INICIO!$A$5:$J$72,8,FALSE)</f>
        <v>#N/A</v>
      </c>
      <c r="AO70" s="11"/>
      <c r="AP70" s="204" t="str">
        <f>IFERROR(IF(AO70&gt;0,"",AO70*VLOOKUP($A70,'VALOR I.'!$B$6:$K$418,10,FALSE)),"")</f>
        <v/>
      </c>
      <c r="AQ70" s="269" t="e">
        <f>VLOOKUP($A70,INICIO!$A$5:$J$72,8,FALSE)</f>
        <v>#N/A</v>
      </c>
      <c r="AR70" s="232" t="e">
        <f>VLOOKUP($A70,REPOSICIONES!$A$5:$J$72,8,FALSE)</f>
        <v>#N/A</v>
      </c>
      <c r="AS70" s="79" t="e">
        <f t="shared" si="10"/>
        <v>#N/A</v>
      </c>
      <c r="AT70" s="230" t="str">
        <f>IFERROR(VLOOKUP($A70,VENTAS!$H$2:$O$201,7,FALSE),"")</f>
        <v/>
      </c>
      <c r="AU70" s="10" t="str">
        <f t="shared" si="11"/>
        <v/>
      </c>
      <c r="AV70" s="270" t="e">
        <f>VLOOKUP($A70,INICIO!$A$5:$J$72,9,FALSE)</f>
        <v>#N/A</v>
      </c>
      <c r="AW70" s="11"/>
      <c r="AX70" s="204" t="str">
        <f>IFERROR(IF(AW70&gt;0,"",AW70*VLOOKUP($A70,'VALOR I.'!$B$6:$K$418,10,FALSE)),"")</f>
        <v/>
      </c>
      <c r="AY70" s="269" t="e">
        <f>VLOOKUP($A70,INICIO!$A$5:$J$72,9,FALSE)</f>
        <v>#N/A</v>
      </c>
      <c r="AZ70" s="232" t="e">
        <f>VLOOKUP($A70,REPOSICIONES!$A$5:$J$72,9,FALSE)</f>
        <v>#N/A</v>
      </c>
      <c r="BA70" s="79" t="e">
        <f t="shared" si="18"/>
        <v>#N/A</v>
      </c>
      <c r="BB70" s="230" t="str">
        <f>IFERROR(VLOOKUP($A70,VENTAS!$H$2:$O$201,8,FALSE),"")</f>
        <v/>
      </c>
      <c r="BC70" s="10" t="str">
        <f t="shared" si="19"/>
        <v/>
      </c>
      <c r="BD70" s="270" t="e">
        <f>VLOOKUP($A70,INICIO!$A$5:$J$72,10,FALSE)</f>
        <v>#N/A</v>
      </c>
      <c r="BE70" s="11"/>
      <c r="BF70" s="204" t="str">
        <f>IFERROR(IF(BE70&gt;0,"",BE70*VLOOKUP($A70,'VALOR I.'!$B$6:$K$418,10,FALSE)),"")</f>
        <v/>
      </c>
    </row>
    <row r="71" spans="1:58" ht="15.75" hidden="1" customHeight="1" x14ac:dyDescent="0.25">
      <c r="B71" s="211"/>
      <c r="C71" s="239" t="e">
        <f>VLOOKUP($A71,INICIO!$A$5:$J$72,3,FALSE)</f>
        <v>#N/A</v>
      </c>
      <c r="D71" s="9" t="e">
        <f>VLOOKUP($A71,REPOSICIONES!$A$5:$J$72,3,FALSE)</f>
        <v>#N/A</v>
      </c>
      <c r="E71" s="79" t="e">
        <f t="shared" si="0"/>
        <v>#N/A</v>
      </c>
      <c r="F71" s="80" t="str">
        <f>IFERROR(VLOOKUP($A71,VENTAS!$H$2:$O$201,2,FALSE),"")</f>
        <v/>
      </c>
      <c r="G71" s="9" t="str">
        <f t="shared" si="1"/>
        <v/>
      </c>
      <c r="H71" s="9" t="e">
        <f>VLOOKUP($A71,INICIO!$A$5:$J$72,4,FALSE)</f>
        <v>#N/A</v>
      </c>
      <c r="I71" s="11"/>
      <c r="J71" s="242" t="str">
        <f>IFERROR(IF(I71&gt;0,"",I71*VLOOKUP($A71,'VALOR I.'!$B$6:$K$418,10,FALSE)),"")</f>
        <v/>
      </c>
      <c r="K71" s="276" t="e">
        <f>VLOOKUP($A71,INICIO!$A$5:$J$72,4,FALSE)</f>
        <v>#N/A</v>
      </c>
      <c r="L71" s="232" t="e">
        <f>VLOOKUP($A71,REPOSICIONES!$A$5:$J$72,4,FALSE)</f>
        <v>#N/A</v>
      </c>
      <c r="M71" s="79" t="e">
        <f t="shared" si="2"/>
        <v>#N/A</v>
      </c>
      <c r="N71" s="230" t="str">
        <f>IFERROR(VLOOKUP($A71,VENTAS!$H$2:$O$201,3,FALSE),"")</f>
        <v/>
      </c>
      <c r="O71" s="267" t="str">
        <f t="shared" si="3"/>
        <v/>
      </c>
      <c r="P71" s="270" t="e">
        <f>VLOOKUP($A71,INICIO!$A$5:$J$72,5,FALSE)</f>
        <v>#N/A</v>
      </c>
      <c r="Q71" s="11"/>
      <c r="R71" s="242" t="str">
        <f>IFERROR(IF(Q71&gt;0,"",Q71*VLOOKUP($A71,'VALOR I.'!$B$6:$K$418,10,FALSE)),"")</f>
        <v/>
      </c>
      <c r="S71" s="276" t="e">
        <f>VLOOKUP($A71,INICIO!$A$5:$J$72,5,FALSE)</f>
        <v>#N/A</v>
      </c>
      <c r="T71" s="232" t="e">
        <f>VLOOKUP($A71,REPOSICIONES!$A$5:$J$72,5,FALSE)</f>
        <v>#N/A</v>
      </c>
      <c r="U71" s="79" t="e">
        <f t="shared" si="4"/>
        <v>#N/A</v>
      </c>
      <c r="V71" s="230" t="str">
        <f>IFERROR(VLOOKUP($A71,VENTAS!$H$2:$O$201,4,FALSE),"")</f>
        <v/>
      </c>
      <c r="W71" s="10" t="str">
        <f t="shared" si="5"/>
        <v/>
      </c>
      <c r="X71" s="270" t="e">
        <f>VLOOKUP($A71,INICIO!$A$5:$J$72,6,FALSE)</f>
        <v>#N/A</v>
      </c>
      <c r="Y71" s="11"/>
      <c r="Z71" s="242" t="str">
        <f>IFERROR(IF(Y71&gt;0,"",Y71*VLOOKUP($A71,'VALOR I.'!$B$6:$K$418,10,FALSE)),"")</f>
        <v/>
      </c>
      <c r="AA71" s="276" t="e">
        <f>VLOOKUP($A71,INICIO!$A$5:$J$72,6,FALSE)</f>
        <v>#N/A</v>
      </c>
      <c r="AB71" s="232" t="e">
        <f>VLOOKUP($A71,REPOSICIONES!$A$5:$J$72,6,FALSE)</f>
        <v>#N/A</v>
      </c>
      <c r="AC71" s="79" t="e">
        <f t="shared" si="6"/>
        <v>#N/A</v>
      </c>
      <c r="AD71" s="230" t="str">
        <f>IFERROR(VLOOKUP($A71,VENTAS!$H$2:$O$201,5,FALSE),"")</f>
        <v/>
      </c>
      <c r="AE71" s="10" t="str">
        <f t="shared" si="7"/>
        <v/>
      </c>
      <c r="AF71" s="270" t="e">
        <f>VLOOKUP($A71,INICIO!$A$5:$J$72,7,FALSE)</f>
        <v>#N/A</v>
      </c>
      <c r="AG71" s="11"/>
      <c r="AH71" s="242" t="str">
        <f>IFERROR(IF(AG71&gt;0,"",AG71*VLOOKUP($A71,'VALOR I.'!$B$6:$K$418,10,FALSE)),"")</f>
        <v/>
      </c>
      <c r="AI71" s="269" t="e">
        <f>VLOOKUP($A71,INICIO!$A$5:$J$72,7,FALSE)</f>
        <v>#N/A</v>
      </c>
      <c r="AJ71" s="232" t="e">
        <f>VLOOKUP($A71,REPOSICIONES!$A$5:$J$72,7,FALSE)</f>
        <v>#N/A</v>
      </c>
      <c r="AK71" s="79" t="e">
        <f t="shared" si="8"/>
        <v>#N/A</v>
      </c>
      <c r="AL71" s="230" t="str">
        <f>IFERROR(VLOOKUP($A71,VENTAS!$H$2:$O$201,6,FALSE),"")</f>
        <v/>
      </c>
      <c r="AM71" s="10" t="str">
        <f t="shared" si="9"/>
        <v/>
      </c>
      <c r="AN71" s="270" t="e">
        <f>VLOOKUP($A71,INICIO!$A$5:$J$72,8,FALSE)</f>
        <v>#N/A</v>
      </c>
      <c r="AO71" s="11"/>
      <c r="AP71" s="204" t="str">
        <f>IFERROR(IF(AO71&gt;0,"",AO71*VLOOKUP($A71,'VALOR I.'!$B$6:$K$418,10,FALSE)),"")</f>
        <v/>
      </c>
      <c r="AQ71" s="269" t="e">
        <f>VLOOKUP($A71,INICIO!$A$5:$J$72,8,FALSE)</f>
        <v>#N/A</v>
      </c>
      <c r="AR71" s="232" t="e">
        <f>VLOOKUP($A71,REPOSICIONES!$A$5:$J$72,8,FALSE)</f>
        <v>#N/A</v>
      </c>
      <c r="AS71" s="79" t="e">
        <f t="shared" si="10"/>
        <v>#N/A</v>
      </c>
      <c r="AT71" s="230" t="str">
        <f>IFERROR(VLOOKUP($A71,VENTAS!$H$2:$O$201,7,FALSE),"")</f>
        <v/>
      </c>
      <c r="AU71" s="10" t="str">
        <f t="shared" si="11"/>
        <v/>
      </c>
      <c r="AV71" s="270" t="e">
        <f>VLOOKUP($A71,INICIO!$A$5:$J$72,9,FALSE)</f>
        <v>#N/A</v>
      </c>
      <c r="AW71" s="11"/>
      <c r="AX71" s="204" t="str">
        <f>IFERROR(IF(AW71&gt;0,"",AW71*VLOOKUP($A71,'VALOR I.'!$B$6:$K$418,10,FALSE)),"")</f>
        <v/>
      </c>
      <c r="AY71" s="269" t="e">
        <f>VLOOKUP($A71,INICIO!$A$5:$J$72,9,FALSE)</f>
        <v>#N/A</v>
      </c>
      <c r="AZ71" s="232" t="e">
        <f>VLOOKUP($A71,REPOSICIONES!$A$5:$J$72,9,FALSE)</f>
        <v>#N/A</v>
      </c>
      <c r="BA71" s="79" t="e">
        <f t="shared" si="18"/>
        <v>#N/A</v>
      </c>
      <c r="BB71" s="230" t="str">
        <f>IFERROR(VLOOKUP($A71,VENTAS!$H$2:$O$201,8,FALSE),"")</f>
        <v/>
      </c>
      <c r="BC71" s="10" t="str">
        <f t="shared" si="19"/>
        <v/>
      </c>
      <c r="BD71" s="270" t="e">
        <f>VLOOKUP($A71,INICIO!$A$5:$J$72,10,FALSE)</f>
        <v>#N/A</v>
      </c>
      <c r="BE71" s="11"/>
      <c r="BF71" s="204" t="str">
        <f>IFERROR(IF(BE71&gt;0,"",BE71*VLOOKUP($A71,'VALOR I.'!$B$6:$K$418,10,FALSE)),"")</f>
        <v/>
      </c>
    </row>
    <row r="72" spans="1:58" ht="15.75" hidden="1" customHeight="1" x14ac:dyDescent="0.25">
      <c r="B72" s="211"/>
      <c r="C72" s="239" t="e">
        <f>VLOOKUP($A72,INICIO!$A$5:$J$72,3,FALSE)</f>
        <v>#N/A</v>
      </c>
      <c r="D72" s="9" t="e">
        <f>VLOOKUP($A72,REPOSICIONES!$A$5:$J$72,3,FALSE)</f>
        <v>#N/A</v>
      </c>
      <c r="E72" s="79" t="e">
        <f t="shared" si="0"/>
        <v>#N/A</v>
      </c>
      <c r="F72" s="80" t="str">
        <f>IFERROR(VLOOKUP($A72,VENTAS!$H$2:$O$201,2,FALSE),"")</f>
        <v/>
      </c>
      <c r="G72" s="9" t="str">
        <f t="shared" si="1"/>
        <v/>
      </c>
      <c r="H72" s="9" t="e">
        <f>VLOOKUP($A72,INICIO!$A$5:$J$72,4,FALSE)</f>
        <v>#N/A</v>
      </c>
      <c r="I72" s="11"/>
      <c r="J72" s="242" t="str">
        <f>IFERROR(IF(I72&gt;0,"",I72*VLOOKUP($A72,'VALOR I.'!$B$6:$K$418,10,FALSE)),"")</f>
        <v/>
      </c>
      <c r="K72" s="276" t="e">
        <f>VLOOKUP($A72,INICIO!$A$5:$J$72,4,FALSE)</f>
        <v>#N/A</v>
      </c>
      <c r="L72" s="232" t="e">
        <f>VLOOKUP($A72,REPOSICIONES!$A$5:$J$72,4,FALSE)</f>
        <v>#N/A</v>
      </c>
      <c r="M72" s="79" t="e">
        <f t="shared" si="2"/>
        <v>#N/A</v>
      </c>
      <c r="N72" s="230" t="str">
        <f>IFERROR(VLOOKUP($A72,VENTAS!$H$2:$O$201,3,FALSE),"")</f>
        <v/>
      </c>
      <c r="O72" s="267" t="str">
        <f t="shared" si="3"/>
        <v/>
      </c>
      <c r="P72" s="270" t="e">
        <f>VLOOKUP($A72,INICIO!$A$5:$J$72,5,FALSE)</f>
        <v>#N/A</v>
      </c>
      <c r="Q72" s="11"/>
      <c r="R72" s="242" t="str">
        <f>IFERROR(IF(Q72&gt;0,"",Q72*VLOOKUP($A72,'VALOR I.'!$B$6:$K$418,10,FALSE)),"")</f>
        <v/>
      </c>
      <c r="S72" s="276" t="e">
        <f>VLOOKUP($A72,INICIO!$A$5:$J$72,5,FALSE)</f>
        <v>#N/A</v>
      </c>
      <c r="T72" s="232" t="e">
        <f>VLOOKUP($A72,REPOSICIONES!$A$5:$J$72,5,FALSE)</f>
        <v>#N/A</v>
      </c>
      <c r="U72" s="79" t="e">
        <f t="shared" si="4"/>
        <v>#N/A</v>
      </c>
      <c r="V72" s="230" t="str">
        <f>IFERROR(VLOOKUP($A72,VENTAS!$H$2:$O$201,4,FALSE),"")</f>
        <v/>
      </c>
      <c r="W72" s="10" t="str">
        <f t="shared" si="5"/>
        <v/>
      </c>
      <c r="X72" s="270" t="e">
        <f>VLOOKUP($A72,INICIO!$A$5:$J$72,6,FALSE)</f>
        <v>#N/A</v>
      </c>
      <c r="Y72" s="11"/>
      <c r="Z72" s="242" t="str">
        <f>IFERROR(IF(Y72&gt;0,"",Y72*VLOOKUP($A72,'VALOR I.'!$B$6:$K$418,10,FALSE)),"")</f>
        <v/>
      </c>
      <c r="AA72" s="276" t="e">
        <f>VLOOKUP($A72,INICIO!$A$5:$J$72,6,FALSE)</f>
        <v>#N/A</v>
      </c>
      <c r="AB72" s="232" t="e">
        <f>VLOOKUP($A72,REPOSICIONES!$A$5:$J$72,6,FALSE)</f>
        <v>#N/A</v>
      </c>
      <c r="AC72" s="79" t="e">
        <f t="shared" si="6"/>
        <v>#N/A</v>
      </c>
      <c r="AD72" s="230" t="str">
        <f>IFERROR(VLOOKUP($A72,VENTAS!$H$2:$O$201,5,FALSE),"")</f>
        <v/>
      </c>
      <c r="AE72" s="10" t="str">
        <f t="shared" si="7"/>
        <v/>
      </c>
      <c r="AF72" s="270" t="e">
        <f>VLOOKUP($A72,INICIO!$A$5:$J$72,7,FALSE)</f>
        <v>#N/A</v>
      </c>
      <c r="AG72" s="11"/>
      <c r="AH72" s="242" t="str">
        <f>IFERROR(IF(AG72&gt;0,"",AG72*VLOOKUP($A72,'VALOR I.'!$B$6:$K$418,10,FALSE)),"")</f>
        <v/>
      </c>
      <c r="AI72" s="269" t="e">
        <f>VLOOKUP($A72,INICIO!$A$5:$J$72,7,FALSE)</f>
        <v>#N/A</v>
      </c>
      <c r="AJ72" s="232" t="e">
        <f>VLOOKUP($A72,REPOSICIONES!$A$5:$J$72,7,FALSE)</f>
        <v>#N/A</v>
      </c>
      <c r="AK72" s="79" t="e">
        <f t="shared" si="8"/>
        <v>#N/A</v>
      </c>
      <c r="AL72" s="230" t="str">
        <f>IFERROR(VLOOKUP($A72,VENTAS!$H$2:$O$201,6,FALSE),"")</f>
        <v/>
      </c>
      <c r="AM72" s="10" t="str">
        <f t="shared" si="9"/>
        <v/>
      </c>
      <c r="AN72" s="270" t="e">
        <f>VLOOKUP($A72,INICIO!$A$5:$J$72,8,FALSE)</f>
        <v>#N/A</v>
      </c>
      <c r="AO72" s="11"/>
      <c r="AP72" s="204" t="str">
        <f>IFERROR(IF(AO72&gt;0,"",AO72*VLOOKUP($A72,'VALOR I.'!$B$6:$K$418,10,FALSE)),"")</f>
        <v/>
      </c>
      <c r="AQ72" s="269" t="e">
        <f>VLOOKUP($A72,INICIO!$A$5:$J$72,8,FALSE)</f>
        <v>#N/A</v>
      </c>
      <c r="AR72" s="232" t="e">
        <f>VLOOKUP($A72,REPOSICIONES!$A$5:$J$72,8,FALSE)</f>
        <v>#N/A</v>
      </c>
      <c r="AS72" s="79" t="e">
        <f t="shared" si="10"/>
        <v>#N/A</v>
      </c>
      <c r="AT72" s="230" t="str">
        <f>IFERROR(VLOOKUP($A72,VENTAS!$H$2:$O$201,7,FALSE),"")</f>
        <v/>
      </c>
      <c r="AU72" s="10" t="str">
        <f t="shared" si="11"/>
        <v/>
      </c>
      <c r="AV72" s="270" t="e">
        <f>VLOOKUP($A72,INICIO!$A$5:$J$72,9,FALSE)</f>
        <v>#N/A</v>
      </c>
      <c r="AW72" s="11"/>
      <c r="AX72" s="204" t="str">
        <f>IFERROR(IF(AW72&gt;0,"",AW72*VLOOKUP($A72,'VALOR I.'!$B$6:$K$418,10,FALSE)),"")</f>
        <v/>
      </c>
      <c r="AY72" s="269" t="e">
        <f>VLOOKUP($A72,INICIO!$A$5:$J$72,9,FALSE)</f>
        <v>#N/A</v>
      </c>
      <c r="AZ72" s="232" t="e">
        <f>VLOOKUP($A72,REPOSICIONES!$A$5:$J$72,9,FALSE)</f>
        <v>#N/A</v>
      </c>
      <c r="BA72" s="79" t="e">
        <f t="shared" si="18"/>
        <v>#N/A</v>
      </c>
      <c r="BB72" s="230" t="str">
        <f>IFERROR(VLOOKUP($A72,VENTAS!$H$2:$O$201,8,FALSE),"")</f>
        <v/>
      </c>
      <c r="BC72" s="10" t="str">
        <f t="shared" si="19"/>
        <v/>
      </c>
      <c r="BD72" s="270" t="e">
        <f>VLOOKUP($A72,INICIO!$A$5:$J$72,10,FALSE)</f>
        <v>#N/A</v>
      </c>
      <c r="BE72" s="11"/>
      <c r="BF72" s="204" t="str">
        <f>IFERROR(IF(BE72&gt;0,"",BE72*VLOOKUP($A72,'VALOR I.'!$B$6:$K$418,10,FALSE)),"")</f>
        <v/>
      </c>
    </row>
    <row r="73" spans="1:58" ht="15.75" hidden="1" customHeight="1" x14ac:dyDescent="0.25">
      <c r="B73" s="211"/>
      <c r="C73" s="239" t="e">
        <f>VLOOKUP($A73,INICIO!$A$5:$J$72,3,FALSE)</f>
        <v>#N/A</v>
      </c>
      <c r="D73" s="9" t="e">
        <f>VLOOKUP($A73,REPOSICIONES!$A$5:$J$72,3,FALSE)</f>
        <v>#N/A</v>
      </c>
      <c r="E73" s="79" t="e">
        <f t="shared" si="0"/>
        <v>#N/A</v>
      </c>
      <c r="F73" s="80" t="str">
        <f>IFERROR(VLOOKUP($A73,VENTAS!$H$2:$O$201,2,FALSE),"")</f>
        <v/>
      </c>
      <c r="G73" s="9" t="str">
        <f t="shared" si="1"/>
        <v/>
      </c>
      <c r="H73" s="9" t="e">
        <f>VLOOKUP($A73,INICIO!$A$5:$J$72,4,FALSE)</f>
        <v>#N/A</v>
      </c>
      <c r="I73" s="11"/>
      <c r="J73" s="242" t="str">
        <f>IFERROR(IF(I73&gt;0,"",I73*VLOOKUP($A73,'VALOR I.'!$B$6:$K$418,10,FALSE)),"")</f>
        <v/>
      </c>
      <c r="K73" s="276" t="e">
        <f>VLOOKUP($A73,INICIO!$A$5:$J$72,4,FALSE)</f>
        <v>#N/A</v>
      </c>
      <c r="L73" s="232" t="e">
        <f>VLOOKUP($A73,REPOSICIONES!$A$5:$J$72,4,FALSE)</f>
        <v>#N/A</v>
      </c>
      <c r="M73" s="79" t="e">
        <f t="shared" si="2"/>
        <v>#N/A</v>
      </c>
      <c r="N73" s="230" t="str">
        <f>IFERROR(VLOOKUP($A73,VENTAS!$H$2:$O$201,3,FALSE),"")</f>
        <v/>
      </c>
      <c r="O73" s="267" t="str">
        <f t="shared" si="3"/>
        <v/>
      </c>
      <c r="P73" s="270" t="e">
        <f>VLOOKUP($A73,INICIO!$A$5:$J$72,5,FALSE)</f>
        <v>#N/A</v>
      </c>
      <c r="Q73" s="11"/>
      <c r="R73" s="242" t="str">
        <f>IFERROR(IF(Q73&gt;0,"",Q73*VLOOKUP($A73,'VALOR I.'!$B$6:$K$418,10,FALSE)),"")</f>
        <v/>
      </c>
      <c r="S73" s="276" t="e">
        <f>VLOOKUP($A73,INICIO!$A$5:$J$72,5,FALSE)</f>
        <v>#N/A</v>
      </c>
      <c r="T73" s="232" t="e">
        <f>VLOOKUP($A73,REPOSICIONES!$A$5:$J$72,5,FALSE)</f>
        <v>#N/A</v>
      </c>
      <c r="U73" s="79" t="e">
        <f t="shared" si="4"/>
        <v>#N/A</v>
      </c>
      <c r="V73" s="230" t="str">
        <f>IFERROR(VLOOKUP($A73,VENTAS!$H$2:$O$201,4,FALSE),"")</f>
        <v/>
      </c>
      <c r="W73" s="10" t="str">
        <f t="shared" si="5"/>
        <v/>
      </c>
      <c r="X73" s="270" t="e">
        <f>VLOOKUP($A73,INICIO!$A$5:$J$72,6,FALSE)</f>
        <v>#N/A</v>
      </c>
      <c r="Y73" s="11"/>
      <c r="Z73" s="242" t="str">
        <f>IFERROR(IF(Y73&gt;0,"",Y73*VLOOKUP($A73,'VALOR I.'!$B$6:$K$418,10,FALSE)),"")</f>
        <v/>
      </c>
      <c r="AA73" s="276" t="e">
        <f>VLOOKUP($A73,INICIO!$A$5:$J$72,6,FALSE)</f>
        <v>#N/A</v>
      </c>
      <c r="AB73" s="232" t="e">
        <f>VLOOKUP($A73,REPOSICIONES!$A$5:$J$72,6,FALSE)</f>
        <v>#N/A</v>
      </c>
      <c r="AC73" s="79" t="e">
        <f t="shared" si="6"/>
        <v>#N/A</v>
      </c>
      <c r="AD73" s="230" t="str">
        <f>IFERROR(VLOOKUP($A73,VENTAS!$H$2:$O$201,5,FALSE),"")</f>
        <v/>
      </c>
      <c r="AE73" s="10" t="str">
        <f t="shared" si="7"/>
        <v/>
      </c>
      <c r="AF73" s="270" t="e">
        <f>VLOOKUP($A73,INICIO!$A$5:$J$72,7,FALSE)</f>
        <v>#N/A</v>
      </c>
      <c r="AG73" s="11"/>
      <c r="AH73" s="242" t="str">
        <f>IFERROR(IF(AG73&gt;0,"",AG73*VLOOKUP($A73,'VALOR I.'!$B$6:$K$418,10,FALSE)),"")</f>
        <v/>
      </c>
      <c r="AI73" s="269" t="e">
        <f>VLOOKUP($A73,INICIO!$A$5:$J$72,7,FALSE)</f>
        <v>#N/A</v>
      </c>
      <c r="AJ73" s="232" t="e">
        <f>VLOOKUP($A73,REPOSICIONES!$A$5:$J$72,7,FALSE)</f>
        <v>#N/A</v>
      </c>
      <c r="AK73" s="79" t="e">
        <f t="shared" si="8"/>
        <v>#N/A</v>
      </c>
      <c r="AL73" s="230" t="str">
        <f>IFERROR(VLOOKUP($A73,VENTAS!$H$2:$O$201,6,FALSE),"")</f>
        <v/>
      </c>
      <c r="AM73" s="10" t="str">
        <f t="shared" si="9"/>
        <v/>
      </c>
      <c r="AN73" s="270" t="e">
        <f>VLOOKUP($A73,INICIO!$A$5:$J$72,8,FALSE)</f>
        <v>#N/A</v>
      </c>
      <c r="AO73" s="11"/>
      <c r="AP73" s="204" t="str">
        <f>IFERROR(IF(AO73&gt;0,"",AO73*VLOOKUP($A73,'VALOR I.'!$B$6:$K$418,10,FALSE)),"")</f>
        <v/>
      </c>
      <c r="AQ73" s="269" t="e">
        <f>VLOOKUP($A73,INICIO!$A$5:$J$72,8,FALSE)</f>
        <v>#N/A</v>
      </c>
      <c r="AR73" s="232" t="e">
        <f>VLOOKUP($A73,REPOSICIONES!$A$5:$J$72,8,FALSE)</f>
        <v>#N/A</v>
      </c>
      <c r="AS73" s="79" t="e">
        <f t="shared" si="10"/>
        <v>#N/A</v>
      </c>
      <c r="AT73" s="230" t="str">
        <f>IFERROR(VLOOKUP($A73,VENTAS!$H$2:$O$201,7,FALSE),"")</f>
        <v/>
      </c>
      <c r="AU73" s="10" t="str">
        <f t="shared" si="11"/>
        <v/>
      </c>
      <c r="AV73" s="270" t="e">
        <f>VLOOKUP($A73,INICIO!$A$5:$J$72,9,FALSE)</f>
        <v>#N/A</v>
      </c>
      <c r="AW73" s="11"/>
      <c r="AX73" s="204" t="str">
        <f>IFERROR(IF(AW73&gt;0,"",AW73*VLOOKUP($A73,'VALOR I.'!$B$6:$K$418,10,FALSE)),"")</f>
        <v/>
      </c>
      <c r="AY73" s="269" t="e">
        <f>VLOOKUP($A73,INICIO!$A$5:$J$72,9,FALSE)</f>
        <v>#N/A</v>
      </c>
      <c r="AZ73" s="232" t="e">
        <f>VLOOKUP($A73,REPOSICIONES!$A$5:$J$72,9,FALSE)</f>
        <v>#N/A</v>
      </c>
      <c r="BA73" s="79" t="e">
        <f t="shared" si="18"/>
        <v>#N/A</v>
      </c>
      <c r="BB73" s="230" t="str">
        <f>IFERROR(VLOOKUP($A73,VENTAS!$H$2:$O$201,8,FALSE),"")</f>
        <v/>
      </c>
      <c r="BC73" s="10" t="str">
        <f t="shared" si="19"/>
        <v/>
      </c>
      <c r="BD73" s="270" t="e">
        <f>VLOOKUP($A73,INICIO!$A$5:$J$72,10,FALSE)</f>
        <v>#N/A</v>
      </c>
      <c r="BE73" s="11"/>
      <c r="BF73" s="204" t="str">
        <f>IFERROR(IF(BE73&gt;0,"",BE73*VLOOKUP($A73,'VALOR I.'!$B$6:$K$418,10,FALSE)),"")</f>
        <v/>
      </c>
    </row>
    <row r="74" spans="1:58" ht="15.75" hidden="1" customHeight="1" x14ac:dyDescent="0.25">
      <c r="A74" s="66"/>
      <c r="B74" s="211"/>
      <c r="C74" s="239" t="e">
        <f>VLOOKUP($A74,INICIO!$A$5:$J$72,3,FALSE)</f>
        <v>#N/A</v>
      </c>
      <c r="D74" s="9" t="e">
        <f>VLOOKUP($A74,REPOSICIONES!$A$5:$J$72,3,FALSE)</f>
        <v>#N/A</v>
      </c>
      <c r="E74" s="79" t="e">
        <f t="shared" ref="E74:E135" si="36">C74+D74</f>
        <v>#N/A</v>
      </c>
      <c r="F74" s="80" t="str">
        <f>IFERROR(VLOOKUP($A74,VENTAS!$H$2:$O$201,2,FALSE),"")</f>
        <v/>
      </c>
      <c r="G74" s="9" t="str">
        <f t="shared" ref="G74:G135" si="37">IFERROR((E74-F74),"")</f>
        <v/>
      </c>
      <c r="H74" s="9" t="e">
        <f>VLOOKUP($A74,INICIO!$A$5:$J$72,4,FALSE)</f>
        <v>#N/A</v>
      </c>
      <c r="I74" s="11"/>
      <c r="J74" s="242" t="str">
        <f>IFERROR(IF(I74&gt;0,"",I74*VLOOKUP($A74,'VALOR I.'!$B$6:$K$418,10,FALSE)),"")</f>
        <v/>
      </c>
      <c r="K74" s="276" t="e">
        <f>VLOOKUP($A74,INICIO!$A$5:$J$72,4,FALSE)</f>
        <v>#N/A</v>
      </c>
      <c r="L74" s="232" t="e">
        <f>VLOOKUP($A74,REPOSICIONES!$A$5:$J$72,4,FALSE)</f>
        <v>#N/A</v>
      </c>
      <c r="M74" s="79" t="e">
        <f t="shared" ref="M74:M135" si="38">K74+L74</f>
        <v>#N/A</v>
      </c>
      <c r="N74" s="230" t="str">
        <f>IFERROR(VLOOKUP($A74,VENTAS!$H$2:$O$201,3,FALSE),"")</f>
        <v/>
      </c>
      <c r="O74" s="267" t="str">
        <f t="shared" ref="O74:O135" si="39">IFERROR((M74-N74),"")</f>
        <v/>
      </c>
      <c r="P74" s="270" t="e">
        <f>VLOOKUP($A74,INICIO!$A$5:$J$72,5,FALSE)</f>
        <v>#N/A</v>
      </c>
      <c r="Q74" s="11"/>
      <c r="R74" s="242" t="str">
        <f>IFERROR(IF(Q74&gt;0,"",Q74*VLOOKUP($A74,'VALOR I.'!$B$6:$K$418,10,FALSE)),"")</f>
        <v/>
      </c>
      <c r="S74" s="276" t="e">
        <f>VLOOKUP($A74,INICIO!$A$5:$J$72,5,FALSE)</f>
        <v>#N/A</v>
      </c>
      <c r="T74" s="232" t="e">
        <f>VLOOKUP($A74,REPOSICIONES!$A$5:$J$72,5,FALSE)</f>
        <v>#N/A</v>
      </c>
      <c r="U74" s="79" t="e">
        <f t="shared" ref="U74:U135" si="40">S74+T74</f>
        <v>#N/A</v>
      </c>
      <c r="V74" s="230" t="str">
        <f>IFERROR(VLOOKUP($A74,VENTAS!$H$2:$O$201,4,FALSE),"")</f>
        <v/>
      </c>
      <c r="W74" s="10" t="str">
        <f t="shared" ref="W74:W135" si="41">IFERROR((U74-V74),"")</f>
        <v/>
      </c>
      <c r="X74" s="270" t="e">
        <f>VLOOKUP($A74,INICIO!$A$5:$J$72,6,FALSE)</f>
        <v>#N/A</v>
      </c>
      <c r="Y74" s="11"/>
      <c r="Z74" s="242" t="str">
        <f>IFERROR(IF(Y74&gt;0,"",Y74*VLOOKUP($A74,'VALOR I.'!$B$6:$K$418,10,FALSE)),"")</f>
        <v/>
      </c>
      <c r="AA74" s="276" t="e">
        <f>VLOOKUP($A74,INICIO!$A$5:$J$72,6,FALSE)</f>
        <v>#N/A</v>
      </c>
      <c r="AB74" s="232" t="e">
        <f>VLOOKUP($A74,REPOSICIONES!$A$5:$J$72,6,FALSE)</f>
        <v>#N/A</v>
      </c>
      <c r="AC74" s="79" t="e">
        <f t="shared" ref="AC74:AC135" si="42">AA74+AB74</f>
        <v>#N/A</v>
      </c>
      <c r="AD74" s="230" t="str">
        <f>IFERROR(VLOOKUP($A74,VENTAS!$H$2:$O$201,5,FALSE),"")</f>
        <v/>
      </c>
      <c r="AE74" s="10" t="str">
        <f t="shared" ref="AE74:AE135" si="43">IFERROR((AC74-AD74),"")</f>
        <v/>
      </c>
      <c r="AF74" s="270" t="e">
        <f>VLOOKUP($A74,INICIO!$A$5:$J$72,7,FALSE)</f>
        <v>#N/A</v>
      </c>
      <c r="AG74" s="11"/>
      <c r="AH74" s="242" t="str">
        <f>IFERROR(IF(AG74&gt;0,"",AG74*VLOOKUP($A74,'VALOR I.'!$B$6:$K$418,10,FALSE)),"")</f>
        <v/>
      </c>
      <c r="AI74" s="269" t="e">
        <f>VLOOKUP($A74,INICIO!$A$5:$J$72,7,FALSE)</f>
        <v>#N/A</v>
      </c>
      <c r="AJ74" s="232" t="e">
        <f>VLOOKUP($A74,REPOSICIONES!$A$5:$J$72,7,FALSE)</f>
        <v>#N/A</v>
      </c>
      <c r="AK74" s="79" t="e">
        <f t="shared" ref="AK74:AK135" si="44">AI74+AJ74</f>
        <v>#N/A</v>
      </c>
      <c r="AL74" s="230" t="str">
        <f>IFERROR(VLOOKUP($A74,VENTAS!$H$2:$O$201,6,FALSE),"")</f>
        <v/>
      </c>
      <c r="AM74" s="10" t="str">
        <f t="shared" ref="AM74:AM135" si="45">IFERROR((AK74-AL74),"")</f>
        <v/>
      </c>
      <c r="AN74" s="270" t="e">
        <f>VLOOKUP($A74,INICIO!$A$5:$J$72,8,FALSE)</f>
        <v>#N/A</v>
      </c>
      <c r="AO74" s="11"/>
      <c r="AP74" s="204" t="str">
        <f>IFERROR(IF(AO74&gt;0,"",AO74*VLOOKUP($A74,'VALOR I.'!$B$6:$K$418,10,FALSE)),"")</f>
        <v/>
      </c>
      <c r="AQ74" s="269" t="e">
        <f>VLOOKUP($A74,INICIO!$A$5:$J$72,8,FALSE)</f>
        <v>#N/A</v>
      </c>
      <c r="AR74" s="232" t="e">
        <f>VLOOKUP($A74,REPOSICIONES!$A$5:$J$72,8,FALSE)</f>
        <v>#N/A</v>
      </c>
      <c r="AS74" s="79" t="e">
        <f t="shared" ref="AS74:AS135" si="46">AQ74+AR74</f>
        <v>#N/A</v>
      </c>
      <c r="AT74" s="230" t="str">
        <f>IFERROR(VLOOKUP($A74,VENTAS!$H$2:$O$201,7,FALSE),"")</f>
        <v/>
      </c>
      <c r="AU74" s="10" t="str">
        <f t="shared" ref="AU74:AU135" si="47">IFERROR((AS74-AT74),"")</f>
        <v/>
      </c>
      <c r="AV74" s="270" t="e">
        <f>VLOOKUP($A74,INICIO!$A$5:$J$72,9,FALSE)</f>
        <v>#N/A</v>
      </c>
      <c r="AW74" s="11"/>
      <c r="AX74" s="204" t="str">
        <f>IFERROR(IF(AW74&gt;0,"",AW74*VLOOKUP($A74,'VALOR I.'!$B$6:$K$418,10,FALSE)),"")</f>
        <v/>
      </c>
      <c r="AY74" s="269" t="e">
        <f>VLOOKUP($A74,INICIO!$A$5:$J$72,9,FALSE)</f>
        <v>#N/A</v>
      </c>
      <c r="AZ74" s="232" t="e">
        <f>VLOOKUP($A74,REPOSICIONES!$A$5:$J$72,9,FALSE)</f>
        <v>#N/A</v>
      </c>
      <c r="BA74" s="79" t="e">
        <f t="shared" ref="BA74:BA135" si="48">AY74+AZ74</f>
        <v>#N/A</v>
      </c>
      <c r="BB74" s="230" t="str">
        <f>IFERROR(VLOOKUP($A74,VENTAS!$H$2:$O$201,8,FALSE),"")</f>
        <v/>
      </c>
      <c r="BC74" s="10" t="str">
        <f t="shared" ref="BC74:BC135" si="49">IFERROR((BA74-BB74),"")</f>
        <v/>
      </c>
      <c r="BD74" s="270" t="e">
        <f>VLOOKUP($A74,INICIO!$A$5:$J$72,10,FALSE)</f>
        <v>#N/A</v>
      </c>
      <c r="BE74" s="11"/>
      <c r="BF74" s="204" t="str">
        <f>IFERROR(IF(BE74&gt;0,"",BE74*VLOOKUP($A74,'VALOR I.'!$B$6:$K$418,10,FALSE)),"")</f>
        <v/>
      </c>
    </row>
    <row r="75" spans="1:58" ht="15.75" hidden="1" customHeight="1" x14ac:dyDescent="0.25">
      <c r="B75" s="214"/>
      <c r="C75" s="239" t="e">
        <f>VLOOKUP($A75,INICIO!$A$5:$J$72,3,FALSE)</f>
        <v>#N/A</v>
      </c>
      <c r="D75" s="9" t="e">
        <f>VLOOKUP($A75,REPOSICIONES!$A$5:$J$72,3,FALSE)</f>
        <v>#N/A</v>
      </c>
      <c r="E75" s="79" t="e">
        <f t="shared" si="36"/>
        <v>#N/A</v>
      </c>
      <c r="F75" s="80" t="str">
        <f>IFERROR(VLOOKUP($A75,VENTAS!$H$2:$O$201,2,FALSE),"")</f>
        <v/>
      </c>
      <c r="G75" s="9" t="str">
        <f t="shared" si="37"/>
        <v/>
      </c>
      <c r="H75" s="9" t="e">
        <f>VLOOKUP($A75,INICIO!$A$5:$J$72,4,FALSE)</f>
        <v>#N/A</v>
      </c>
      <c r="I75" s="222"/>
      <c r="J75" s="290" t="str">
        <f>IFERROR(IF(I75&gt;0,"",I75*VLOOKUP($A75,'VALOR I.'!$B$6:$K$418,10,FALSE)),"")</f>
        <v/>
      </c>
      <c r="K75" s="276" t="e">
        <f>VLOOKUP($A75,INICIO!$A$5:$J$72,4,FALSE)</f>
        <v>#N/A</v>
      </c>
      <c r="L75" s="232" t="e">
        <f>VLOOKUP($A75,REPOSICIONES!$A$5:$J$72,4,FALSE)</f>
        <v>#N/A</v>
      </c>
      <c r="M75" s="79" t="e">
        <f t="shared" si="38"/>
        <v>#N/A</v>
      </c>
      <c r="N75" s="230" t="str">
        <f>IFERROR(VLOOKUP($A75,VENTAS!$H$2:$O$201,3,FALSE),"")</f>
        <v/>
      </c>
      <c r="O75" s="267" t="str">
        <f t="shared" si="39"/>
        <v/>
      </c>
      <c r="P75" s="270" t="e">
        <f>VLOOKUP($A75,INICIO!$A$5:$J$72,5,FALSE)</f>
        <v>#N/A</v>
      </c>
      <c r="Q75" s="11"/>
      <c r="R75" s="242" t="str">
        <f>IFERROR(IF(Q75&gt;0,"",Q75*VLOOKUP($A75,'VALOR I.'!$B$6:$K$418,10,FALSE)),"")</f>
        <v/>
      </c>
      <c r="S75" s="276" t="e">
        <f>VLOOKUP($A75,INICIO!$A$5:$J$72,5,FALSE)</f>
        <v>#N/A</v>
      </c>
      <c r="T75" s="232" t="e">
        <f>VLOOKUP($A75,REPOSICIONES!$A$5:$J$72,5,FALSE)</f>
        <v>#N/A</v>
      </c>
      <c r="U75" s="79" t="e">
        <f t="shared" si="40"/>
        <v>#N/A</v>
      </c>
      <c r="V75" s="230" t="str">
        <f>IFERROR(VLOOKUP($A75,VENTAS!$H$2:$O$201,4,FALSE),"")</f>
        <v/>
      </c>
      <c r="W75" s="11" t="str">
        <f t="shared" si="41"/>
        <v/>
      </c>
      <c r="X75" s="270" t="e">
        <f>VLOOKUP($A75,INICIO!$A$5:$J$72,6,FALSE)</f>
        <v>#N/A</v>
      </c>
      <c r="Y75" s="11"/>
      <c r="Z75" s="242" t="str">
        <f>IFERROR(IF(Y75&gt;0,"",Y75*VLOOKUP($A75,'VALOR I.'!$B$6:$K$418,10,FALSE)),"")</f>
        <v/>
      </c>
      <c r="AA75" s="276" t="e">
        <f>VLOOKUP($A75,INICIO!$A$5:$J$72,6,FALSE)</f>
        <v>#N/A</v>
      </c>
      <c r="AB75" s="232" t="e">
        <f>VLOOKUP($A75,REPOSICIONES!$A$5:$J$72,6,FALSE)</f>
        <v>#N/A</v>
      </c>
      <c r="AC75" s="79" t="e">
        <f t="shared" si="42"/>
        <v>#N/A</v>
      </c>
      <c r="AD75" s="230" t="str">
        <f>IFERROR(VLOOKUP($A75,VENTAS!$H$2:$O$201,5,FALSE),"")</f>
        <v/>
      </c>
      <c r="AE75" s="11" t="str">
        <f t="shared" si="43"/>
        <v/>
      </c>
      <c r="AF75" s="270" t="e">
        <f>VLOOKUP($A75,INICIO!$A$5:$J$72,7,FALSE)</f>
        <v>#N/A</v>
      </c>
      <c r="AG75" s="11"/>
      <c r="AH75" s="242" t="str">
        <f>IFERROR(IF(AG75&gt;0,"",AG75*VLOOKUP($A75,'VALOR I.'!$B$6:$K$418,10,FALSE)),"")</f>
        <v/>
      </c>
      <c r="AI75" s="269" t="e">
        <f>VLOOKUP($A75,INICIO!$A$5:$J$72,7,FALSE)</f>
        <v>#N/A</v>
      </c>
      <c r="AJ75" s="232" t="e">
        <f>VLOOKUP($A75,REPOSICIONES!$A$5:$J$72,7,FALSE)</f>
        <v>#N/A</v>
      </c>
      <c r="AK75" s="79" t="e">
        <f t="shared" si="44"/>
        <v>#N/A</v>
      </c>
      <c r="AL75" s="230" t="str">
        <f>IFERROR(VLOOKUP($A75,VENTAS!$H$2:$O$201,6,FALSE),"")</f>
        <v/>
      </c>
      <c r="AM75" s="11" t="str">
        <f t="shared" si="45"/>
        <v/>
      </c>
      <c r="AN75" s="270" t="e">
        <f>VLOOKUP($A75,INICIO!$A$5:$J$72,8,FALSE)</f>
        <v>#N/A</v>
      </c>
      <c r="AO75" s="11"/>
      <c r="AP75" s="204" t="str">
        <f>IFERROR(IF(AO75&gt;0,"",AO75*VLOOKUP($A75,'VALOR I.'!$B$6:$K$418,10,FALSE)),"")</f>
        <v/>
      </c>
      <c r="AQ75" s="269" t="e">
        <f>VLOOKUP($A75,INICIO!$A$5:$J$72,8,FALSE)</f>
        <v>#N/A</v>
      </c>
      <c r="AR75" s="232" t="e">
        <f>VLOOKUP($A75,REPOSICIONES!$A$5:$J$72,8,FALSE)</f>
        <v>#N/A</v>
      </c>
      <c r="AS75" s="79" t="e">
        <f t="shared" si="46"/>
        <v>#N/A</v>
      </c>
      <c r="AT75" s="230" t="str">
        <f>IFERROR(VLOOKUP($A75,VENTAS!$H$2:$O$201,7,FALSE),"")</f>
        <v/>
      </c>
      <c r="AU75" s="11" t="str">
        <f t="shared" si="47"/>
        <v/>
      </c>
      <c r="AV75" s="270" t="e">
        <f>VLOOKUP($A75,INICIO!$A$5:$J$72,9,FALSE)</f>
        <v>#N/A</v>
      </c>
      <c r="AW75" s="11"/>
      <c r="AX75" s="204" t="str">
        <f>IFERROR(IF(AW75&gt;0,"",AW75*VLOOKUP($A75,'VALOR I.'!$B$6:$K$418,10,FALSE)),"")</f>
        <v/>
      </c>
      <c r="AY75" s="269" t="e">
        <f>VLOOKUP($A75,INICIO!$A$5:$J$72,9,FALSE)</f>
        <v>#N/A</v>
      </c>
      <c r="AZ75" s="232" t="e">
        <f>VLOOKUP($A75,REPOSICIONES!$A$5:$J$72,9,FALSE)</f>
        <v>#N/A</v>
      </c>
      <c r="BA75" s="79" t="e">
        <f t="shared" si="48"/>
        <v>#N/A</v>
      </c>
      <c r="BB75" s="230" t="str">
        <f>IFERROR(VLOOKUP($A75,VENTAS!$H$2:$O$201,8,FALSE),"")</f>
        <v/>
      </c>
      <c r="BC75" s="11" t="str">
        <f t="shared" si="49"/>
        <v/>
      </c>
      <c r="BD75" s="270" t="e">
        <f>VLOOKUP($A75,INICIO!$A$5:$J$72,10,FALSE)</f>
        <v>#N/A</v>
      </c>
      <c r="BE75" s="11"/>
      <c r="BF75" s="204" t="str">
        <f>IFERROR(IF(BE75&gt;0,"",BE75*VLOOKUP($A75,'VALOR I.'!$B$6:$K$418,10,FALSE)),"")</f>
        <v/>
      </c>
    </row>
    <row r="76" spans="1:58" x14ac:dyDescent="0.25">
      <c r="A76" s="3" t="s">
        <v>124</v>
      </c>
      <c r="B76" s="211" t="s">
        <v>9</v>
      </c>
      <c r="C76" s="239">
        <f>VLOOKUP($A76,INICIO!$A$5:$J$72,3,FALSE)</f>
        <v>0</v>
      </c>
      <c r="D76" s="9">
        <f>VLOOKUP($A76,REPOSICIONES!$A$5:$J$72,3,FALSE)</f>
        <v>0</v>
      </c>
      <c r="E76" s="79">
        <f t="shared" si="36"/>
        <v>0</v>
      </c>
      <c r="F76" s="80">
        <f>IFERROR(VLOOKUP($A76,VENTAS!$H$2:$O$201,2,FALSE),"")</f>
        <v>0</v>
      </c>
      <c r="G76" s="9">
        <f t="shared" si="37"/>
        <v>0</v>
      </c>
      <c r="H76" s="9">
        <f>VLOOKUP($A76,INICIO!$A$5:$J$72,4,FALSE)</f>
        <v>35</v>
      </c>
      <c r="I76" s="203">
        <f t="shared" ref="I76" si="50">IFERROR(H76-G76,"")</f>
        <v>35</v>
      </c>
      <c r="J76" s="242" t="str">
        <f>IFERROR(IF(I76&gt;0,"",I76*VLOOKUP($A76,'VALOR I.'!$B$6:$K$418,10,FALSE)),"")</f>
        <v/>
      </c>
      <c r="K76" s="276">
        <f>VLOOKUP($A76,INICIO!$A$5:$J$72,4,FALSE)</f>
        <v>35</v>
      </c>
      <c r="L76" s="232">
        <f>VLOOKUP($A76,REPOSICIONES!$A$5:$J$72,4,FALSE)</f>
        <v>10</v>
      </c>
      <c r="M76" s="79">
        <f t="shared" si="38"/>
        <v>45</v>
      </c>
      <c r="N76" s="230">
        <f>IFERROR(VLOOKUP($A76,VENTAS!$H$2:$O$201,3,FALSE),"")</f>
        <v>7</v>
      </c>
      <c r="O76" s="267">
        <f t="shared" si="39"/>
        <v>38</v>
      </c>
      <c r="P76" s="270">
        <f>VLOOKUP($A76,INICIO!$A$5:$J$72,5,FALSE)</f>
        <v>29</v>
      </c>
      <c r="Q76" s="203">
        <f t="shared" ref="Q76" si="51">IFERROR(P76-O76,"")</f>
        <v>-9</v>
      </c>
      <c r="R76" s="242">
        <f>IFERROR(IF(Q76&gt;0,"",Q76*VLOOKUP($A76,'VALOR I.'!$B$6:$K$418,10,FALSE)),"")</f>
        <v>-2302.65</v>
      </c>
      <c r="S76" s="276">
        <f>VLOOKUP($A76,INICIO!$A$5:$J$72,5,FALSE)</f>
        <v>29</v>
      </c>
      <c r="T76" s="232">
        <f>VLOOKUP($A76,REPOSICIONES!$A$5:$J$72,5,FALSE)</f>
        <v>18</v>
      </c>
      <c r="U76" s="79">
        <f t="shared" si="40"/>
        <v>47</v>
      </c>
      <c r="V76" s="230">
        <f>IFERROR(VLOOKUP($A76,VENTAS!$H$2:$O$201,4,FALSE),"")</f>
        <v>1</v>
      </c>
      <c r="W76" s="10">
        <f t="shared" si="41"/>
        <v>46</v>
      </c>
      <c r="X76" s="270">
        <f>VLOOKUP($A76,INICIO!$A$5:$J$72,6,FALSE)</f>
        <v>29</v>
      </c>
      <c r="Y76" s="203">
        <f t="shared" ref="Y76" si="52">IFERROR(X76-W76,"")</f>
        <v>-17</v>
      </c>
      <c r="Z76" s="242">
        <f>IFERROR(IF(Y76&gt;0,"",Y76*VLOOKUP($A76,'VALOR I.'!$B$6:$K$418,10,FALSE)),"")</f>
        <v>-4349.45</v>
      </c>
      <c r="AA76" s="276">
        <f>VLOOKUP($A76,INICIO!$A$5:$J$72,6,FALSE)</f>
        <v>29</v>
      </c>
      <c r="AB76" s="232">
        <f>VLOOKUP($A76,REPOSICIONES!$A$5:$J$72,6,FALSE)</f>
        <v>10</v>
      </c>
      <c r="AC76" s="79">
        <f t="shared" si="42"/>
        <v>39</v>
      </c>
      <c r="AD76" s="230">
        <f>IFERROR(VLOOKUP($A76,VENTAS!$H$2:$O$201,5,FALSE),"")</f>
        <v>10</v>
      </c>
      <c r="AE76" s="10">
        <f t="shared" si="43"/>
        <v>29</v>
      </c>
      <c r="AF76" s="270">
        <f>VLOOKUP($A76,INICIO!$A$5:$J$72,7,FALSE)</f>
        <v>21</v>
      </c>
      <c r="AG76" s="203">
        <f t="shared" ref="AG76" si="53">IFERROR(AF76-AE76,"")</f>
        <v>-8</v>
      </c>
      <c r="AH76" s="242">
        <f>IFERROR(IF(AG76&gt;0,"",AG76*VLOOKUP($A76,'VALOR I.'!$B$6:$K$418,10,FALSE)),"")</f>
        <v>-2046.8</v>
      </c>
      <c r="AI76" s="269">
        <f>VLOOKUP($A76,INICIO!$A$5:$J$72,7,FALSE)</f>
        <v>21</v>
      </c>
      <c r="AJ76" s="232">
        <f>VLOOKUP($A76,REPOSICIONES!$A$5:$J$72,7,FALSE)</f>
        <v>20</v>
      </c>
      <c r="AK76" s="79">
        <f t="shared" si="44"/>
        <v>41</v>
      </c>
      <c r="AL76" s="230">
        <f>IFERROR(VLOOKUP($A76,VENTAS!$H$2:$O$201,6,FALSE),"")</f>
        <v>12</v>
      </c>
      <c r="AM76" s="10">
        <f t="shared" si="45"/>
        <v>29</v>
      </c>
      <c r="AN76" s="270">
        <f>VLOOKUP($A76,INICIO!$A$5:$J$72,8,FALSE)</f>
        <v>30</v>
      </c>
      <c r="AO76" s="203">
        <f t="shared" ref="AO76" si="54">IFERROR(AN76-AM76,"")</f>
        <v>1</v>
      </c>
      <c r="AP76" s="204" t="str">
        <f>IFERROR(IF(AO76&gt;0,"",AO76*VLOOKUP($A76,'VALOR I.'!$B$6:$K$418,10,FALSE)),"")</f>
        <v/>
      </c>
      <c r="AQ76" s="269">
        <f>VLOOKUP($A76,INICIO!$A$5:$J$72,8,FALSE)</f>
        <v>30</v>
      </c>
      <c r="AR76" s="232">
        <f>VLOOKUP($A76,REPOSICIONES!$A$5:$J$72,8,FALSE)</f>
        <v>11</v>
      </c>
      <c r="AS76" s="79">
        <f t="shared" si="46"/>
        <v>41</v>
      </c>
      <c r="AT76" s="230">
        <f>IFERROR(VLOOKUP($A76,VENTAS!$H$2:$O$201,7,FALSE),"")</f>
        <v>2</v>
      </c>
      <c r="AU76" s="10">
        <f t="shared" si="47"/>
        <v>39</v>
      </c>
      <c r="AV76" s="270">
        <f>VLOOKUP($A76,INICIO!$A$5:$J$72,9,FALSE)</f>
        <v>39</v>
      </c>
      <c r="AW76" s="203">
        <f t="shared" ref="AW76" si="55">IFERROR(AV76-AU76,"")</f>
        <v>0</v>
      </c>
      <c r="AX76" s="204">
        <f>IFERROR(IF(AW76&gt;0,"",AW76*VLOOKUP($A76,'VALOR I.'!$B$6:$K$418,10,FALSE)),"")</f>
        <v>0</v>
      </c>
      <c r="AY76" s="269"/>
      <c r="AZ76" s="232"/>
      <c r="BA76" s="79"/>
      <c r="BB76" s="230"/>
      <c r="BC76" s="10"/>
      <c r="BD76" s="270"/>
      <c r="BE76" s="203"/>
      <c r="BF76" s="204"/>
    </row>
    <row r="77" spans="1:58" ht="15.75" hidden="1" customHeight="1" x14ac:dyDescent="0.25">
      <c r="B77" s="211"/>
      <c r="C77" s="239" t="e">
        <f>VLOOKUP($A77,INICIO!$A$5:$J$72,3,FALSE)</f>
        <v>#N/A</v>
      </c>
      <c r="D77" s="9" t="e">
        <f>VLOOKUP($A77,REPOSICIONES!$A$5:$J$72,3,FALSE)</f>
        <v>#N/A</v>
      </c>
      <c r="E77" s="79" t="e">
        <f t="shared" si="36"/>
        <v>#N/A</v>
      </c>
      <c r="F77" s="80" t="str">
        <f>IFERROR(VLOOKUP($A77,VENTAS!$H$2:$O$201,2,FALSE),"")</f>
        <v/>
      </c>
      <c r="G77" s="9" t="str">
        <f t="shared" si="37"/>
        <v/>
      </c>
      <c r="H77" s="9" t="e">
        <f>VLOOKUP($A77,INICIO!$A$5:$J$72,4,FALSE)</f>
        <v>#N/A</v>
      </c>
      <c r="I77" s="228"/>
      <c r="J77" s="268" t="str">
        <f>IFERROR(IF(I77&gt;0,"",I77*VLOOKUP($A77,'VALOR I.'!$B$6:$K$418,10,FALSE)),"")</f>
        <v/>
      </c>
      <c r="K77" s="276" t="e">
        <f>VLOOKUP($A77,INICIO!$A$5:$J$72,4,FALSE)</f>
        <v>#N/A</v>
      </c>
      <c r="L77" s="232" t="e">
        <f>VLOOKUP($A77,REPOSICIONES!$A$5:$J$72,4,FALSE)</f>
        <v>#N/A</v>
      </c>
      <c r="M77" s="79" t="e">
        <f t="shared" si="38"/>
        <v>#N/A</v>
      </c>
      <c r="N77" s="230" t="str">
        <f>IFERROR(VLOOKUP($A77,VENTAS!$H$2:$O$201,3,FALSE),"")</f>
        <v/>
      </c>
      <c r="O77" s="267" t="str">
        <f t="shared" si="39"/>
        <v/>
      </c>
      <c r="P77" s="270" t="e">
        <f>VLOOKUP($A77,INICIO!$A$5:$J$72,5,FALSE)</f>
        <v>#N/A</v>
      </c>
      <c r="Q77" s="11"/>
      <c r="R77" s="242" t="str">
        <f>IFERROR(IF(Q77&gt;0,"",Q77*VLOOKUP($A77,'VALOR I.'!$B$6:$K$418,10,FALSE)),"")</f>
        <v/>
      </c>
      <c r="S77" s="276" t="e">
        <f>VLOOKUP($A77,INICIO!$A$5:$J$72,5,FALSE)</f>
        <v>#N/A</v>
      </c>
      <c r="T77" s="232" t="e">
        <f>VLOOKUP($A77,REPOSICIONES!$A$5:$J$72,5,FALSE)</f>
        <v>#N/A</v>
      </c>
      <c r="U77" s="79" t="e">
        <f t="shared" si="40"/>
        <v>#N/A</v>
      </c>
      <c r="V77" s="230" t="str">
        <f>IFERROR(VLOOKUP($A77,VENTAS!$H$2:$O$201,4,FALSE),"")</f>
        <v/>
      </c>
      <c r="W77" s="10" t="str">
        <f t="shared" si="41"/>
        <v/>
      </c>
      <c r="X77" s="270" t="e">
        <f>VLOOKUP($A77,INICIO!$A$5:$J$72,6,FALSE)</f>
        <v>#N/A</v>
      </c>
      <c r="Y77" s="11"/>
      <c r="Z77" s="242" t="str">
        <f>IFERROR(IF(Y77&gt;0,"",Y77*VLOOKUP($A77,'VALOR I.'!$B$6:$K$418,10,FALSE)),"")</f>
        <v/>
      </c>
      <c r="AA77" s="276" t="e">
        <f>VLOOKUP($A77,INICIO!$A$5:$J$72,6,FALSE)</f>
        <v>#N/A</v>
      </c>
      <c r="AB77" s="232" t="e">
        <f>VLOOKUP($A77,REPOSICIONES!$A$5:$J$72,6,FALSE)</f>
        <v>#N/A</v>
      </c>
      <c r="AC77" s="79" t="e">
        <f t="shared" si="42"/>
        <v>#N/A</v>
      </c>
      <c r="AD77" s="230" t="str">
        <f>IFERROR(VLOOKUP($A77,VENTAS!$H$2:$O$201,5,FALSE),"")</f>
        <v/>
      </c>
      <c r="AE77" s="10" t="str">
        <f t="shared" si="43"/>
        <v/>
      </c>
      <c r="AF77" s="270" t="e">
        <f>VLOOKUP($A77,INICIO!$A$5:$J$72,7,FALSE)</f>
        <v>#N/A</v>
      </c>
      <c r="AG77" s="11"/>
      <c r="AH77" s="242" t="str">
        <f>IFERROR(IF(AG77&gt;0,"",AG77*VLOOKUP($A77,'VALOR I.'!$B$6:$K$418,10,FALSE)),"")</f>
        <v/>
      </c>
      <c r="AI77" s="269" t="e">
        <f>VLOOKUP($A77,INICIO!$A$5:$J$72,7,FALSE)</f>
        <v>#N/A</v>
      </c>
      <c r="AJ77" s="232" t="e">
        <f>VLOOKUP($A77,REPOSICIONES!$A$5:$J$72,7,FALSE)</f>
        <v>#N/A</v>
      </c>
      <c r="AK77" s="79" t="e">
        <f t="shared" si="44"/>
        <v>#N/A</v>
      </c>
      <c r="AL77" s="230" t="str">
        <f>IFERROR(VLOOKUP($A77,VENTAS!$H$2:$O$201,6,FALSE),"")</f>
        <v/>
      </c>
      <c r="AM77" s="10" t="str">
        <f t="shared" si="45"/>
        <v/>
      </c>
      <c r="AN77" s="270" t="e">
        <f>VLOOKUP($A77,INICIO!$A$5:$J$72,8,FALSE)</f>
        <v>#N/A</v>
      </c>
      <c r="AO77" s="11"/>
      <c r="AP77" s="204" t="str">
        <f>IFERROR(IF(AO77&gt;0,"",AO77*VLOOKUP($A77,'VALOR I.'!$B$6:$K$418,10,FALSE)),"")</f>
        <v/>
      </c>
      <c r="AQ77" s="269" t="e">
        <f>VLOOKUP($A77,INICIO!$A$5:$J$72,8,FALSE)</f>
        <v>#N/A</v>
      </c>
      <c r="AR77" s="232" t="e">
        <f>VLOOKUP($A77,REPOSICIONES!$A$5:$J$72,8,FALSE)</f>
        <v>#N/A</v>
      </c>
      <c r="AS77" s="79" t="e">
        <f t="shared" si="46"/>
        <v>#N/A</v>
      </c>
      <c r="AT77" s="230" t="str">
        <f>IFERROR(VLOOKUP($A77,VENTAS!$H$2:$O$201,7,FALSE),"")</f>
        <v/>
      </c>
      <c r="AU77" s="10" t="str">
        <f t="shared" si="47"/>
        <v/>
      </c>
      <c r="AV77" s="270" t="e">
        <f>VLOOKUP($A77,INICIO!$A$5:$J$72,9,FALSE)</f>
        <v>#N/A</v>
      </c>
      <c r="AW77" s="11"/>
      <c r="AX77" s="204" t="str">
        <f>IFERROR(IF(AW77&gt;0,"",AW77*VLOOKUP($A77,'VALOR I.'!$B$6:$K$418,10,FALSE)),"")</f>
        <v/>
      </c>
      <c r="AY77" s="269" t="e">
        <f>VLOOKUP($A77,INICIO!$A$5:$J$72,9,FALSE)</f>
        <v>#N/A</v>
      </c>
      <c r="AZ77" s="232" t="e">
        <f>VLOOKUP($A77,REPOSICIONES!$A$5:$J$72,9,FALSE)</f>
        <v>#N/A</v>
      </c>
      <c r="BA77" s="79" t="e">
        <f t="shared" si="48"/>
        <v>#N/A</v>
      </c>
      <c r="BB77" s="230" t="str">
        <f>IFERROR(VLOOKUP($A77,VENTAS!$H$2:$O$201,8,FALSE),"")</f>
        <v/>
      </c>
      <c r="BC77" s="10" t="str">
        <f t="shared" si="49"/>
        <v/>
      </c>
      <c r="BD77" s="270" t="e">
        <f>VLOOKUP($A77,INICIO!$A$5:$J$72,10,FALSE)</f>
        <v>#N/A</v>
      </c>
      <c r="BE77" s="11"/>
      <c r="BF77" s="204" t="str">
        <f>IFERROR(IF(BE77&gt;0,"",BE77*VLOOKUP($A77,'VALOR I.'!$B$6:$K$418,10,FALSE)),"")</f>
        <v/>
      </c>
    </row>
    <row r="78" spans="1:58" ht="15.75" hidden="1" customHeight="1" x14ac:dyDescent="0.25">
      <c r="B78" s="211"/>
      <c r="C78" s="239" t="e">
        <f>VLOOKUP($A78,INICIO!$A$5:$J$72,3,FALSE)</f>
        <v>#N/A</v>
      </c>
      <c r="D78" s="9" t="e">
        <f>VLOOKUP($A78,REPOSICIONES!$A$5:$J$72,3,FALSE)</f>
        <v>#N/A</v>
      </c>
      <c r="E78" s="79" t="e">
        <f t="shared" si="36"/>
        <v>#N/A</v>
      </c>
      <c r="F78" s="80" t="str">
        <f>IFERROR(VLOOKUP($A78,VENTAS!$H$2:$O$201,2,FALSE),"")</f>
        <v/>
      </c>
      <c r="G78" s="9" t="str">
        <f t="shared" si="37"/>
        <v/>
      </c>
      <c r="H78" s="9" t="e">
        <f>VLOOKUP($A78,INICIO!$A$5:$J$72,4,FALSE)</f>
        <v>#N/A</v>
      </c>
      <c r="I78" s="11"/>
      <c r="J78" s="242" t="str">
        <f>IFERROR(IF(I78&gt;0,"",I78*VLOOKUP($A78,'VALOR I.'!$B$6:$K$418,10,FALSE)),"")</f>
        <v/>
      </c>
      <c r="K78" s="276" t="e">
        <f>VLOOKUP($A78,INICIO!$A$5:$J$72,4,FALSE)</f>
        <v>#N/A</v>
      </c>
      <c r="L78" s="232" t="e">
        <f>VLOOKUP($A78,REPOSICIONES!$A$5:$J$72,4,FALSE)</f>
        <v>#N/A</v>
      </c>
      <c r="M78" s="79" t="e">
        <f t="shared" si="38"/>
        <v>#N/A</v>
      </c>
      <c r="N78" s="230" t="str">
        <f>IFERROR(VLOOKUP($A78,VENTAS!$H$2:$O$201,3,FALSE),"")</f>
        <v/>
      </c>
      <c r="O78" s="267" t="str">
        <f t="shared" si="39"/>
        <v/>
      </c>
      <c r="P78" s="270" t="e">
        <f>VLOOKUP($A78,INICIO!$A$5:$J$72,5,FALSE)</f>
        <v>#N/A</v>
      </c>
      <c r="Q78" s="11"/>
      <c r="R78" s="242" t="str">
        <f>IFERROR(IF(Q78&gt;0,"",Q78*VLOOKUP($A78,'VALOR I.'!$B$6:$K$418,10,FALSE)),"")</f>
        <v/>
      </c>
      <c r="S78" s="276" t="e">
        <f>VLOOKUP($A78,INICIO!$A$5:$J$72,5,FALSE)</f>
        <v>#N/A</v>
      </c>
      <c r="T78" s="232" t="e">
        <f>VLOOKUP($A78,REPOSICIONES!$A$5:$J$72,5,FALSE)</f>
        <v>#N/A</v>
      </c>
      <c r="U78" s="79" t="e">
        <f t="shared" si="40"/>
        <v>#N/A</v>
      </c>
      <c r="V78" s="230" t="str">
        <f>IFERROR(VLOOKUP($A78,VENTAS!$H$2:$O$201,4,FALSE),"")</f>
        <v/>
      </c>
      <c r="W78" s="10" t="str">
        <f t="shared" si="41"/>
        <v/>
      </c>
      <c r="X78" s="270" t="e">
        <f>VLOOKUP($A78,INICIO!$A$5:$J$72,6,FALSE)</f>
        <v>#N/A</v>
      </c>
      <c r="Y78" s="11"/>
      <c r="Z78" s="242" t="str">
        <f>IFERROR(IF(Y78&gt;0,"",Y78*VLOOKUP($A78,'VALOR I.'!$B$6:$K$418,10,FALSE)),"")</f>
        <v/>
      </c>
      <c r="AA78" s="276" t="e">
        <f>VLOOKUP($A78,INICIO!$A$5:$J$72,6,FALSE)</f>
        <v>#N/A</v>
      </c>
      <c r="AB78" s="232" t="e">
        <f>VLOOKUP($A78,REPOSICIONES!$A$5:$J$72,6,FALSE)</f>
        <v>#N/A</v>
      </c>
      <c r="AC78" s="79" t="e">
        <f t="shared" si="42"/>
        <v>#N/A</v>
      </c>
      <c r="AD78" s="230" t="str">
        <f>IFERROR(VLOOKUP($A78,VENTAS!$H$2:$O$201,5,FALSE),"")</f>
        <v/>
      </c>
      <c r="AE78" s="10" t="str">
        <f t="shared" si="43"/>
        <v/>
      </c>
      <c r="AF78" s="270" t="e">
        <f>VLOOKUP($A78,INICIO!$A$5:$J$72,7,FALSE)</f>
        <v>#N/A</v>
      </c>
      <c r="AG78" s="11"/>
      <c r="AH78" s="242" t="str">
        <f>IFERROR(IF(AG78&gt;0,"",AG78*VLOOKUP($A78,'VALOR I.'!$B$6:$K$418,10,FALSE)),"")</f>
        <v/>
      </c>
      <c r="AI78" s="269" t="e">
        <f>VLOOKUP($A78,INICIO!$A$5:$J$72,7,FALSE)</f>
        <v>#N/A</v>
      </c>
      <c r="AJ78" s="232" t="e">
        <f>VLOOKUP($A78,REPOSICIONES!$A$5:$J$72,7,FALSE)</f>
        <v>#N/A</v>
      </c>
      <c r="AK78" s="79" t="e">
        <f t="shared" si="44"/>
        <v>#N/A</v>
      </c>
      <c r="AL78" s="230" t="str">
        <f>IFERROR(VLOOKUP($A78,VENTAS!$H$2:$O$201,6,FALSE),"")</f>
        <v/>
      </c>
      <c r="AM78" s="10" t="str">
        <f t="shared" si="45"/>
        <v/>
      </c>
      <c r="AN78" s="270" t="e">
        <f>VLOOKUP($A78,INICIO!$A$5:$J$72,8,FALSE)</f>
        <v>#N/A</v>
      </c>
      <c r="AO78" s="11"/>
      <c r="AP78" s="204" t="str">
        <f>IFERROR(IF(AO78&gt;0,"",AO78*VLOOKUP($A78,'VALOR I.'!$B$6:$K$418,10,FALSE)),"")</f>
        <v/>
      </c>
      <c r="AQ78" s="269" t="e">
        <f>VLOOKUP($A78,INICIO!$A$5:$J$72,8,FALSE)</f>
        <v>#N/A</v>
      </c>
      <c r="AR78" s="232" t="e">
        <f>VLOOKUP($A78,REPOSICIONES!$A$5:$J$72,8,FALSE)</f>
        <v>#N/A</v>
      </c>
      <c r="AS78" s="79" t="e">
        <f t="shared" si="46"/>
        <v>#N/A</v>
      </c>
      <c r="AT78" s="230" t="str">
        <f>IFERROR(VLOOKUP($A78,VENTAS!$H$2:$O$201,7,FALSE),"")</f>
        <v/>
      </c>
      <c r="AU78" s="10" t="str">
        <f t="shared" si="47"/>
        <v/>
      </c>
      <c r="AV78" s="270" t="e">
        <f>VLOOKUP($A78,INICIO!$A$5:$J$72,9,FALSE)</f>
        <v>#N/A</v>
      </c>
      <c r="AW78" s="11"/>
      <c r="AX78" s="204" t="str">
        <f>IFERROR(IF(AW78&gt;0,"",AW78*VLOOKUP($A78,'VALOR I.'!$B$6:$K$418,10,FALSE)),"")</f>
        <v/>
      </c>
      <c r="AY78" s="269" t="e">
        <f>VLOOKUP($A78,INICIO!$A$5:$J$72,9,FALSE)</f>
        <v>#N/A</v>
      </c>
      <c r="AZ78" s="232" t="e">
        <f>VLOOKUP($A78,REPOSICIONES!$A$5:$J$72,9,FALSE)</f>
        <v>#N/A</v>
      </c>
      <c r="BA78" s="79" t="e">
        <f t="shared" si="48"/>
        <v>#N/A</v>
      </c>
      <c r="BB78" s="230" t="str">
        <f>IFERROR(VLOOKUP($A78,VENTAS!$H$2:$O$201,8,FALSE),"")</f>
        <v/>
      </c>
      <c r="BC78" s="10" t="str">
        <f t="shared" si="49"/>
        <v/>
      </c>
      <c r="BD78" s="270" t="e">
        <f>VLOOKUP($A78,INICIO!$A$5:$J$72,10,FALSE)</f>
        <v>#N/A</v>
      </c>
      <c r="BE78" s="11"/>
      <c r="BF78" s="204" t="str">
        <f>IFERROR(IF(BE78&gt;0,"",BE78*VLOOKUP($A78,'VALOR I.'!$B$6:$K$418,10,FALSE)),"")</f>
        <v/>
      </c>
    </row>
    <row r="79" spans="1:58" ht="15.75" hidden="1" customHeight="1" x14ac:dyDescent="0.25">
      <c r="B79" s="211"/>
      <c r="C79" s="239" t="e">
        <f>VLOOKUP($A79,INICIO!$A$5:$J$72,3,FALSE)</f>
        <v>#N/A</v>
      </c>
      <c r="D79" s="9" t="e">
        <f>VLOOKUP($A79,REPOSICIONES!$A$5:$J$72,3,FALSE)</f>
        <v>#N/A</v>
      </c>
      <c r="E79" s="79" t="e">
        <f t="shared" si="36"/>
        <v>#N/A</v>
      </c>
      <c r="F79" s="80" t="str">
        <f>IFERROR(VLOOKUP($A79,VENTAS!$H$2:$O$201,2,FALSE),"")</f>
        <v/>
      </c>
      <c r="G79" s="9" t="str">
        <f t="shared" si="37"/>
        <v/>
      </c>
      <c r="H79" s="9" t="e">
        <f>VLOOKUP($A79,INICIO!$A$5:$J$72,4,FALSE)</f>
        <v>#N/A</v>
      </c>
      <c r="I79" s="11"/>
      <c r="J79" s="242" t="str">
        <f>IFERROR(IF(I79&gt;0,"",I79*VLOOKUP($A79,'VALOR I.'!$B$6:$K$418,10,FALSE)),"")</f>
        <v/>
      </c>
      <c r="K79" s="276" t="e">
        <f>VLOOKUP($A79,INICIO!$A$5:$J$72,4,FALSE)</f>
        <v>#N/A</v>
      </c>
      <c r="L79" s="232" t="e">
        <f>VLOOKUP($A79,REPOSICIONES!$A$5:$J$72,4,FALSE)</f>
        <v>#N/A</v>
      </c>
      <c r="M79" s="79" t="e">
        <f t="shared" si="38"/>
        <v>#N/A</v>
      </c>
      <c r="N79" s="230" t="str">
        <f>IFERROR(VLOOKUP($A79,VENTAS!$H$2:$O$201,3,FALSE),"")</f>
        <v/>
      </c>
      <c r="O79" s="267" t="str">
        <f t="shared" si="39"/>
        <v/>
      </c>
      <c r="P79" s="270" t="e">
        <f>VLOOKUP($A79,INICIO!$A$5:$J$72,5,FALSE)</f>
        <v>#N/A</v>
      </c>
      <c r="Q79" s="11"/>
      <c r="R79" s="242" t="str">
        <f>IFERROR(IF(Q79&gt;0,"",Q79*VLOOKUP($A79,'VALOR I.'!$B$6:$K$418,10,FALSE)),"")</f>
        <v/>
      </c>
      <c r="S79" s="276" t="e">
        <f>VLOOKUP($A79,INICIO!$A$5:$J$72,5,FALSE)</f>
        <v>#N/A</v>
      </c>
      <c r="T79" s="232" t="e">
        <f>VLOOKUP($A79,REPOSICIONES!$A$5:$J$72,5,FALSE)</f>
        <v>#N/A</v>
      </c>
      <c r="U79" s="79" t="e">
        <f t="shared" si="40"/>
        <v>#N/A</v>
      </c>
      <c r="V79" s="230" t="str">
        <f>IFERROR(VLOOKUP($A79,VENTAS!$H$2:$O$201,4,FALSE),"")</f>
        <v/>
      </c>
      <c r="W79" s="10" t="str">
        <f t="shared" si="41"/>
        <v/>
      </c>
      <c r="X79" s="270" t="e">
        <f>VLOOKUP($A79,INICIO!$A$5:$J$72,6,FALSE)</f>
        <v>#N/A</v>
      </c>
      <c r="Y79" s="11"/>
      <c r="Z79" s="242" t="str">
        <f>IFERROR(IF(Y79&gt;0,"",Y79*VLOOKUP($A79,'VALOR I.'!$B$6:$K$418,10,FALSE)),"")</f>
        <v/>
      </c>
      <c r="AA79" s="276" t="e">
        <f>VLOOKUP($A79,INICIO!$A$5:$J$72,6,FALSE)</f>
        <v>#N/A</v>
      </c>
      <c r="AB79" s="232" t="e">
        <f>VLOOKUP($A79,REPOSICIONES!$A$5:$J$72,6,FALSE)</f>
        <v>#N/A</v>
      </c>
      <c r="AC79" s="79" t="e">
        <f t="shared" si="42"/>
        <v>#N/A</v>
      </c>
      <c r="AD79" s="230" t="str">
        <f>IFERROR(VLOOKUP($A79,VENTAS!$H$2:$O$201,5,FALSE),"")</f>
        <v/>
      </c>
      <c r="AE79" s="10" t="str">
        <f t="shared" si="43"/>
        <v/>
      </c>
      <c r="AF79" s="270" t="e">
        <f>VLOOKUP($A79,INICIO!$A$5:$J$72,7,FALSE)</f>
        <v>#N/A</v>
      </c>
      <c r="AG79" s="11"/>
      <c r="AH79" s="242" t="str">
        <f>IFERROR(IF(AG79&gt;0,"",AG79*VLOOKUP($A79,'VALOR I.'!$B$6:$K$418,10,FALSE)),"")</f>
        <v/>
      </c>
      <c r="AI79" s="269" t="e">
        <f>VLOOKUP($A79,INICIO!$A$5:$J$72,7,FALSE)</f>
        <v>#N/A</v>
      </c>
      <c r="AJ79" s="232" t="e">
        <f>VLOOKUP($A79,REPOSICIONES!$A$5:$J$72,7,FALSE)</f>
        <v>#N/A</v>
      </c>
      <c r="AK79" s="79" t="e">
        <f t="shared" si="44"/>
        <v>#N/A</v>
      </c>
      <c r="AL79" s="230" t="str">
        <f>IFERROR(VLOOKUP($A79,VENTAS!$H$2:$O$201,6,FALSE),"")</f>
        <v/>
      </c>
      <c r="AM79" s="10" t="str">
        <f t="shared" si="45"/>
        <v/>
      </c>
      <c r="AN79" s="270" t="e">
        <f>VLOOKUP($A79,INICIO!$A$5:$J$72,8,FALSE)</f>
        <v>#N/A</v>
      </c>
      <c r="AO79" s="11"/>
      <c r="AP79" s="204" t="str">
        <f>IFERROR(IF(AO79&gt;0,"",AO79*VLOOKUP($A79,'VALOR I.'!$B$6:$K$418,10,FALSE)),"")</f>
        <v/>
      </c>
      <c r="AQ79" s="269" t="e">
        <f>VLOOKUP($A79,INICIO!$A$5:$J$72,8,FALSE)</f>
        <v>#N/A</v>
      </c>
      <c r="AR79" s="232" t="e">
        <f>VLOOKUP($A79,REPOSICIONES!$A$5:$J$72,8,FALSE)</f>
        <v>#N/A</v>
      </c>
      <c r="AS79" s="79" t="e">
        <f t="shared" si="46"/>
        <v>#N/A</v>
      </c>
      <c r="AT79" s="230" t="str">
        <f>IFERROR(VLOOKUP($A79,VENTAS!$H$2:$O$201,7,FALSE),"")</f>
        <v/>
      </c>
      <c r="AU79" s="10" t="str">
        <f t="shared" si="47"/>
        <v/>
      </c>
      <c r="AV79" s="270" t="e">
        <f>VLOOKUP($A79,INICIO!$A$5:$J$72,9,FALSE)</f>
        <v>#N/A</v>
      </c>
      <c r="AW79" s="11"/>
      <c r="AX79" s="204" t="str">
        <f>IFERROR(IF(AW79&gt;0,"",AW79*VLOOKUP($A79,'VALOR I.'!$B$6:$K$418,10,FALSE)),"")</f>
        <v/>
      </c>
      <c r="AY79" s="269" t="e">
        <f>VLOOKUP($A79,INICIO!$A$5:$J$72,9,FALSE)</f>
        <v>#N/A</v>
      </c>
      <c r="AZ79" s="232" t="e">
        <f>VLOOKUP($A79,REPOSICIONES!$A$5:$J$72,9,FALSE)</f>
        <v>#N/A</v>
      </c>
      <c r="BA79" s="79" t="e">
        <f t="shared" si="48"/>
        <v>#N/A</v>
      </c>
      <c r="BB79" s="230" t="str">
        <f>IFERROR(VLOOKUP($A79,VENTAS!$H$2:$O$201,8,FALSE),"")</f>
        <v/>
      </c>
      <c r="BC79" s="10" t="str">
        <f t="shared" si="49"/>
        <v/>
      </c>
      <c r="BD79" s="270" t="e">
        <f>VLOOKUP($A79,INICIO!$A$5:$J$72,10,FALSE)</f>
        <v>#N/A</v>
      </c>
      <c r="BE79" s="11"/>
      <c r="BF79" s="204" t="str">
        <f>IFERROR(IF(BE79&gt;0,"",BE79*VLOOKUP($A79,'VALOR I.'!$B$6:$K$418,10,FALSE)),"")</f>
        <v/>
      </c>
    </row>
    <row r="80" spans="1:58" ht="15.75" hidden="1" customHeight="1" x14ac:dyDescent="0.25">
      <c r="B80" s="211"/>
      <c r="C80" s="239" t="e">
        <f>VLOOKUP($A80,INICIO!$A$5:$J$72,3,FALSE)</f>
        <v>#N/A</v>
      </c>
      <c r="D80" s="9" t="e">
        <f>VLOOKUP($A80,REPOSICIONES!$A$5:$J$72,3,FALSE)</f>
        <v>#N/A</v>
      </c>
      <c r="E80" s="79" t="e">
        <f t="shared" si="36"/>
        <v>#N/A</v>
      </c>
      <c r="F80" s="80" t="str">
        <f>IFERROR(VLOOKUP($A80,VENTAS!$H$2:$O$201,2,FALSE),"")</f>
        <v/>
      </c>
      <c r="G80" s="9" t="str">
        <f t="shared" si="37"/>
        <v/>
      </c>
      <c r="H80" s="9" t="e">
        <f>VLOOKUP($A80,INICIO!$A$5:$J$72,4,FALSE)</f>
        <v>#N/A</v>
      </c>
      <c r="I80" s="11"/>
      <c r="J80" s="242" t="str">
        <f>IFERROR(IF(I80&gt;0,"",I80*VLOOKUP($A80,'VALOR I.'!$B$6:$K$418,10,FALSE)),"")</f>
        <v/>
      </c>
      <c r="K80" s="276" t="e">
        <f>VLOOKUP($A80,INICIO!$A$5:$J$72,4,FALSE)</f>
        <v>#N/A</v>
      </c>
      <c r="L80" s="232" t="e">
        <f>VLOOKUP($A80,REPOSICIONES!$A$5:$J$72,4,FALSE)</f>
        <v>#N/A</v>
      </c>
      <c r="M80" s="79" t="e">
        <f t="shared" si="38"/>
        <v>#N/A</v>
      </c>
      <c r="N80" s="230" t="str">
        <f>IFERROR(VLOOKUP($A80,VENTAS!$H$2:$O$201,3,FALSE),"")</f>
        <v/>
      </c>
      <c r="O80" s="267" t="str">
        <f t="shared" si="39"/>
        <v/>
      </c>
      <c r="P80" s="270" t="e">
        <f>VLOOKUP($A80,INICIO!$A$5:$J$72,5,FALSE)</f>
        <v>#N/A</v>
      </c>
      <c r="Q80" s="11"/>
      <c r="R80" s="242" t="str">
        <f>IFERROR(IF(Q80&gt;0,"",Q80*VLOOKUP($A80,'VALOR I.'!$B$6:$K$418,10,FALSE)),"")</f>
        <v/>
      </c>
      <c r="S80" s="276" t="e">
        <f>VLOOKUP($A80,INICIO!$A$5:$J$72,5,FALSE)</f>
        <v>#N/A</v>
      </c>
      <c r="T80" s="232" t="e">
        <f>VLOOKUP($A80,REPOSICIONES!$A$5:$J$72,5,FALSE)</f>
        <v>#N/A</v>
      </c>
      <c r="U80" s="79" t="e">
        <f t="shared" si="40"/>
        <v>#N/A</v>
      </c>
      <c r="V80" s="230" t="str">
        <f>IFERROR(VLOOKUP($A80,VENTAS!$H$2:$O$201,4,FALSE),"")</f>
        <v/>
      </c>
      <c r="W80" s="10" t="str">
        <f t="shared" si="41"/>
        <v/>
      </c>
      <c r="X80" s="270" t="e">
        <f>VLOOKUP($A80,INICIO!$A$5:$J$72,6,FALSE)</f>
        <v>#N/A</v>
      </c>
      <c r="Y80" s="11"/>
      <c r="Z80" s="242" t="str">
        <f>IFERROR(IF(Y80&gt;0,"",Y80*VLOOKUP($A80,'VALOR I.'!$B$6:$K$418,10,FALSE)),"")</f>
        <v/>
      </c>
      <c r="AA80" s="276" t="e">
        <f>VLOOKUP($A80,INICIO!$A$5:$J$72,6,FALSE)</f>
        <v>#N/A</v>
      </c>
      <c r="AB80" s="232" t="e">
        <f>VLOOKUP($A80,REPOSICIONES!$A$5:$J$72,6,FALSE)</f>
        <v>#N/A</v>
      </c>
      <c r="AC80" s="79" t="e">
        <f t="shared" si="42"/>
        <v>#N/A</v>
      </c>
      <c r="AD80" s="230" t="str">
        <f>IFERROR(VLOOKUP($A80,VENTAS!$H$2:$O$201,5,FALSE),"")</f>
        <v/>
      </c>
      <c r="AE80" s="10" t="str">
        <f t="shared" si="43"/>
        <v/>
      </c>
      <c r="AF80" s="270" t="e">
        <f>VLOOKUP($A80,INICIO!$A$5:$J$72,7,FALSE)</f>
        <v>#N/A</v>
      </c>
      <c r="AG80" s="11"/>
      <c r="AH80" s="242" t="str">
        <f>IFERROR(IF(AG80&gt;0,"",AG80*VLOOKUP($A80,'VALOR I.'!$B$6:$K$418,10,FALSE)),"")</f>
        <v/>
      </c>
      <c r="AI80" s="269" t="e">
        <f>VLOOKUP($A80,INICIO!$A$5:$J$72,7,FALSE)</f>
        <v>#N/A</v>
      </c>
      <c r="AJ80" s="232" t="e">
        <f>VLOOKUP($A80,REPOSICIONES!$A$5:$J$72,7,FALSE)</f>
        <v>#N/A</v>
      </c>
      <c r="AK80" s="79" t="e">
        <f t="shared" si="44"/>
        <v>#N/A</v>
      </c>
      <c r="AL80" s="230" t="str">
        <f>IFERROR(VLOOKUP($A80,VENTAS!$H$2:$O$201,6,FALSE),"")</f>
        <v/>
      </c>
      <c r="AM80" s="10" t="str">
        <f t="shared" si="45"/>
        <v/>
      </c>
      <c r="AN80" s="270" t="e">
        <f>VLOOKUP($A80,INICIO!$A$5:$J$72,8,FALSE)</f>
        <v>#N/A</v>
      </c>
      <c r="AO80" s="11"/>
      <c r="AP80" s="204" t="str">
        <f>IFERROR(IF(AO80&gt;0,"",AO80*VLOOKUP($A80,'VALOR I.'!$B$6:$K$418,10,FALSE)),"")</f>
        <v/>
      </c>
      <c r="AQ80" s="269" t="e">
        <f>VLOOKUP($A80,INICIO!$A$5:$J$72,8,FALSE)</f>
        <v>#N/A</v>
      </c>
      <c r="AR80" s="232" t="e">
        <f>VLOOKUP($A80,REPOSICIONES!$A$5:$J$72,8,FALSE)</f>
        <v>#N/A</v>
      </c>
      <c r="AS80" s="79" t="e">
        <f t="shared" si="46"/>
        <v>#N/A</v>
      </c>
      <c r="AT80" s="230" t="str">
        <f>IFERROR(VLOOKUP($A80,VENTAS!$H$2:$O$201,7,FALSE),"")</f>
        <v/>
      </c>
      <c r="AU80" s="10" t="str">
        <f t="shared" si="47"/>
        <v/>
      </c>
      <c r="AV80" s="270" t="e">
        <f>VLOOKUP($A80,INICIO!$A$5:$J$72,9,FALSE)</f>
        <v>#N/A</v>
      </c>
      <c r="AW80" s="11"/>
      <c r="AX80" s="204" t="str">
        <f>IFERROR(IF(AW80&gt;0,"",AW80*VLOOKUP($A80,'VALOR I.'!$B$6:$K$418,10,FALSE)),"")</f>
        <v/>
      </c>
      <c r="AY80" s="269" t="e">
        <f>VLOOKUP($A80,INICIO!$A$5:$J$72,9,FALSE)</f>
        <v>#N/A</v>
      </c>
      <c r="AZ80" s="232" t="e">
        <f>VLOOKUP($A80,REPOSICIONES!$A$5:$J$72,9,FALSE)</f>
        <v>#N/A</v>
      </c>
      <c r="BA80" s="79" t="e">
        <f t="shared" si="48"/>
        <v>#N/A</v>
      </c>
      <c r="BB80" s="230" t="str">
        <f>IFERROR(VLOOKUP($A80,VENTAS!$H$2:$O$201,8,FALSE),"")</f>
        <v/>
      </c>
      <c r="BC80" s="10" t="str">
        <f t="shared" si="49"/>
        <v/>
      </c>
      <c r="BD80" s="270" t="e">
        <f>VLOOKUP($A80,INICIO!$A$5:$J$72,10,FALSE)</f>
        <v>#N/A</v>
      </c>
      <c r="BE80" s="11"/>
      <c r="BF80" s="204" t="str">
        <f>IFERROR(IF(BE80&gt;0,"",BE80*VLOOKUP($A80,'VALOR I.'!$B$6:$K$418,10,FALSE)),"")</f>
        <v/>
      </c>
    </row>
    <row r="81" spans="1:58" ht="15.75" hidden="1" customHeight="1" x14ac:dyDescent="0.25">
      <c r="B81" s="211"/>
      <c r="C81" s="239" t="e">
        <f>VLOOKUP($A81,INICIO!$A$5:$J$72,3,FALSE)</f>
        <v>#N/A</v>
      </c>
      <c r="D81" s="9" t="e">
        <f>VLOOKUP($A81,REPOSICIONES!$A$5:$J$72,3,FALSE)</f>
        <v>#N/A</v>
      </c>
      <c r="E81" s="79" t="e">
        <f t="shared" si="36"/>
        <v>#N/A</v>
      </c>
      <c r="F81" s="80" t="str">
        <f>IFERROR(VLOOKUP($A81,VENTAS!$H$2:$O$201,2,FALSE),"")</f>
        <v/>
      </c>
      <c r="G81" s="9" t="str">
        <f t="shared" si="37"/>
        <v/>
      </c>
      <c r="H81" s="9" t="e">
        <f>VLOOKUP($A81,INICIO!$A$5:$J$72,4,FALSE)</f>
        <v>#N/A</v>
      </c>
      <c r="I81" s="11"/>
      <c r="J81" s="242" t="str">
        <f>IFERROR(IF(I81&gt;0,"",I81*VLOOKUP($A81,'VALOR I.'!$B$6:$K$418,10,FALSE)),"")</f>
        <v/>
      </c>
      <c r="K81" s="276" t="e">
        <f>VLOOKUP($A81,INICIO!$A$5:$J$72,4,FALSE)</f>
        <v>#N/A</v>
      </c>
      <c r="L81" s="232" t="e">
        <f>VLOOKUP($A81,REPOSICIONES!$A$5:$J$72,4,FALSE)</f>
        <v>#N/A</v>
      </c>
      <c r="M81" s="79" t="e">
        <f t="shared" si="38"/>
        <v>#N/A</v>
      </c>
      <c r="N81" s="230" t="str">
        <f>IFERROR(VLOOKUP($A81,VENTAS!$H$2:$O$201,3,FALSE),"")</f>
        <v/>
      </c>
      <c r="O81" s="267" t="str">
        <f t="shared" si="39"/>
        <v/>
      </c>
      <c r="P81" s="270" t="e">
        <f>VLOOKUP($A81,INICIO!$A$5:$J$72,5,FALSE)</f>
        <v>#N/A</v>
      </c>
      <c r="Q81" s="11"/>
      <c r="R81" s="242" t="str">
        <f>IFERROR(IF(Q81&gt;0,"",Q81*VLOOKUP($A81,'VALOR I.'!$B$6:$K$418,10,FALSE)),"")</f>
        <v/>
      </c>
      <c r="S81" s="276" t="e">
        <f>VLOOKUP($A81,INICIO!$A$5:$J$72,5,FALSE)</f>
        <v>#N/A</v>
      </c>
      <c r="T81" s="232" t="e">
        <f>VLOOKUP($A81,REPOSICIONES!$A$5:$J$72,5,FALSE)</f>
        <v>#N/A</v>
      </c>
      <c r="U81" s="79" t="e">
        <f t="shared" si="40"/>
        <v>#N/A</v>
      </c>
      <c r="V81" s="230" t="str">
        <f>IFERROR(VLOOKUP($A81,VENTAS!$H$2:$O$201,4,FALSE),"")</f>
        <v/>
      </c>
      <c r="W81" s="10" t="str">
        <f t="shared" si="41"/>
        <v/>
      </c>
      <c r="X81" s="270" t="e">
        <f>VLOOKUP($A81,INICIO!$A$5:$J$72,6,FALSE)</f>
        <v>#N/A</v>
      </c>
      <c r="Y81" s="11"/>
      <c r="Z81" s="242" t="str">
        <f>IFERROR(IF(Y81&gt;0,"",Y81*VLOOKUP($A81,'VALOR I.'!$B$6:$K$418,10,FALSE)),"")</f>
        <v/>
      </c>
      <c r="AA81" s="276" t="e">
        <f>VLOOKUP($A81,INICIO!$A$5:$J$72,6,FALSE)</f>
        <v>#N/A</v>
      </c>
      <c r="AB81" s="232" t="e">
        <f>VLOOKUP($A81,REPOSICIONES!$A$5:$J$72,6,FALSE)</f>
        <v>#N/A</v>
      </c>
      <c r="AC81" s="79" t="e">
        <f t="shared" si="42"/>
        <v>#N/A</v>
      </c>
      <c r="AD81" s="230" t="str">
        <f>IFERROR(VLOOKUP($A81,VENTAS!$H$2:$O$201,5,FALSE),"")</f>
        <v/>
      </c>
      <c r="AE81" s="10" t="str">
        <f t="shared" si="43"/>
        <v/>
      </c>
      <c r="AF81" s="270" t="e">
        <f>VLOOKUP($A81,INICIO!$A$5:$J$72,7,FALSE)</f>
        <v>#N/A</v>
      </c>
      <c r="AG81" s="11"/>
      <c r="AH81" s="242" t="str">
        <f>IFERROR(IF(AG81&gt;0,"",AG81*VLOOKUP($A81,'VALOR I.'!$B$6:$K$418,10,FALSE)),"")</f>
        <v/>
      </c>
      <c r="AI81" s="269" t="e">
        <f>VLOOKUP($A81,INICIO!$A$5:$J$72,7,FALSE)</f>
        <v>#N/A</v>
      </c>
      <c r="AJ81" s="232" t="e">
        <f>VLOOKUP($A81,REPOSICIONES!$A$5:$J$72,7,FALSE)</f>
        <v>#N/A</v>
      </c>
      <c r="AK81" s="79" t="e">
        <f t="shared" si="44"/>
        <v>#N/A</v>
      </c>
      <c r="AL81" s="230" t="str">
        <f>IFERROR(VLOOKUP($A81,VENTAS!$H$2:$O$201,6,FALSE),"")</f>
        <v/>
      </c>
      <c r="AM81" s="10" t="str">
        <f t="shared" si="45"/>
        <v/>
      </c>
      <c r="AN81" s="270" t="e">
        <f>VLOOKUP($A81,INICIO!$A$5:$J$72,8,FALSE)</f>
        <v>#N/A</v>
      </c>
      <c r="AO81" s="11"/>
      <c r="AP81" s="204" t="str">
        <f>IFERROR(IF(AO81&gt;0,"",AO81*VLOOKUP($A81,'VALOR I.'!$B$6:$K$418,10,FALSE)),"")</f>
        <v/>
      </c>
      <c r="AQ81" s="269" t="e">
        <f>VLOOKUP($A81,INICIO!$A$5:$J$72,8,FALSE)</f>
        <v>#N/A</v>
      </c>
      <c r="AR81" s="232" t="e">
        <f>VLOOKUP($A81,REPOSICIONES!$A$5:$J$72,8,FALSE)</f>
        <v>#N/A</v>
      </c>
      <c r="AS81" s="79" t="e">
        <f t="shared" si="46"/>
        <v>#N/A</v>
      </c>
      <c r="AT81" s="230" t="str">
        <f>IFERROR(VLOOKUP($A81,VENTAS!$H$2:$O$201,7,FALSE),"")</f>
        <v/>
      </c>
      <c r="AU81" s="10" t="str">
        <f t="shared" si="47"/>
        <v/>
      </c>
      <c r="AV81" s="270" t="e">
        <f>VLOOKUP($A81,INICIO!$A$5:$J$72,9,FALSE)</f>
        <v>#N/A</v>
      </c>
      <c r="AW81" s="11"/>
      <c r="AX81" s="204" t="str">
        <f>IFERROR(IF(AW81&gt;0,"",AW81*VLOOKUP($A81,'VALOR I.'!$B$6:$K$418,10,FALSE)),"")</f>
        <v/>
      </c>
      <c r="AY81" s="269" t="e">
        <f>VLOOKUP($A81,INICIO!$A$5:$J$72,9,FALSE)</f>
        <v>#N/A</v>
      </c>
      <c r="AZ81" s="232" t="e">
        <f>VLOOKUP($A81,REPOSICIONES!$A$5:$J$72,9,FALSE)</f>
        <v>#N/A</v>
      </c>
      <c r="BA81" s="79" t="e">
        <f t="shared" si="48"/>
        <v>#N/A</v>
      </c>
      <c r="BB81" s="230" t="str">
        <f>IFERROR(VLOOKUP($A81,VENTAS!$H$2:$O$201,8,FALSE),"")</f>
        <v/>
      </c>
      <c r="BC81" s="10" t="str">
        <f t="shared" si="49"/>
        <v/>
      </c>
      <c r="BD81" s="270" t="e">
        <f>VLOOKUP($A81,INICIO!$A$5:$J$72,10,FALSE)</f>
        <v>#N/A</v>
      </c>
      <c r="BE81" s="11"/>
      <c r="BF81" s="204" t="str">
        <f>IFERROR(IF(BE81&gt;0,"",BE81*VLOOKUP($A81,'VALOR I.'!$B$6:$K$418,10,FALSE)),"")</f>
        <v/>
      </c>
    </row>
    <row r="82" spans="1:58" ht="15.75" hidden="1" customHeight="1" x14ac:dyDescent="0.25">
      <c r="B82" s="211"/>
      <c r="C82" s="239" t="e">
        <f>VLOOKUP($A82,INICIO!$A$5:$J$72,3,FALSE)</f>
        <v>#N/A</v>
      </c>
      <c r="D82" s="9" t="e">
        <f>VLOOKUP($A82,REPOSICIONES!$A$5:$J$72,3,FALSE)</f>
        <v>#N/A</v>
      </c>
      <c r="E82" s="79" t="e">
        <f t="shared" si="36"/>
        <v>#N/A</v>
      </c>
      <c r="F82" s="80" t="str">
        <f>IFERROR(VLOOKUP($A82,VENTAS!$H$2:$O$201,2,FALSE),"")</f>
        <v/>
      </c>
      <c r="G82" s="9" t="str">
        <f t="shared" si="37"/>
        <v/>
      </c>
      <c r="H82" s="9" t="e">
        <f>VLOOKUP($A82,INICIO!$A$5:$J$72,4,FALSE)</f>
        <v>#N/A</v>
      </c>
      <c r="I82" s="11"/>
      <c r="J82" s="242" t="str">
        <f>IFERROR(IF(I82&gt;0,"",I82*VLOOKUP($A82,'VALOR I.'!$B$6:$K$418,10,FALSE)),"")</f>
        <v/>
      </c>
      <c r="K82" s="276" t="e">
        <f>VLOOKUP($A82,INICIO!$A$5:$J$72,4,FALSE)</f>
        <v>#N/A</v>
      </c>
      <c r="L82" s="232" t="e">
        <f>VLOOKUP($A82,REPOSICIONES!$A$5:$J$72,4,FALSE)</f>
        <v>#N/A</v>
      </c>
      <c r="M82" s="79" t="e">
        <f t="shared" si="38"/>
        <v>#N/A</v>
      </c>
      <c r="N82" s="230" t="str">
        <f>IFERROR(VLOOKUP($A82,VENTAS!$H$2:$O$201,3,FALSE),"")</f>
        <v/>
      </c>
      <c r="O82" s="267" t="str">
        <f t="shared" si="39"/>
        <v/>
      </c>
      <c r="P82" s="270" t="e">
        <f>VLOOKUP($A82,INICIO!$A$5:$J$72,5,FALSE)</f>
        <v>#N/A</v>
      </c>
      <c r="Q82" s="11"/>
      <c r="R82" s="242" t="str">
        <f>IFERROR(IF(Q82&gt;0,"",Q82*VLOOKUP($A82,'VALOR I.'!$B$6:$K$418,10,FALSE)),"")</f>
        <v/>
      </c>
      <c r="S82" s="276" t="e">
        <f>VLOOKUP($A82,INICIO!$A$5:$J$72,5,FALSE)</f>
        <v>#N/A</v>
      </c>
      <c r="T82" s="232" t="e">
        <f>VLOOKUP($A82,REPOSICIONES!$A$5:$J$72,5,FALSE)</f>
        <v>#N/A</v>
      </c>
      <c r="U82" s="79" t="e">
        <f t="shared" si="40"/>
        <v>#N/A</v>
      </c>
      <c r="V82" s="230" t="str">
        <f>IFERROR(VLOOKUP($A82,VENTAS!$H$2:$O$201,4,FALSE),"")</f>
        <v/>
      </c>
      <c r="W82" s="10" t="str">
        <f t="shared" si="41"/>
        <v/>
      </c>
      <c r="X82" s="270" t="e">
        <f>VLOOKUP($A82,INICIO!$A$5:$J$72,6,FALSE)</f>
        <v>#N/A</v>
      </c>
      <c r="Y82" s="11"/>
      <c r="Z82" s="242" t="str">
        <f>IFERROR(IF(Y82&gt;0,"",Y82*VLOOKUP($A82,'VALOR I.'!$B$6:$K$418,10,FALSE)),"")</f>
        <v/>
      </c>
      <c r="AA82" s="276" t="e">
        <f>VLOOKUP($A82,INICIO!$A$5:$J$72,6,FALSE)</f>
        <v>#N/A</v>
      </c>
      <c r="AB82" s="232" t="e">
        <f>VLOOKUP($A82,REPOSICIONES!$A$5:$J$72,6,FALSE)</f>
        <v>#N/A</v>
      </c>
      <c r="AC82" s="79" t="e">
        <f t="shared" si="42"/>
        <v>#N/A</v>
      </c>
      <c r="AD82" s="230" t="str">
        <f>IFERROR(VLOOKUP($A82,VENTAS!$H$2:$O$201,5,FALSE),"")</f>
        <v/>
      </c>
      <c r="AE82" s="10" t="str">
        <f t="shared" si="43"/>
        <v/>
      </c>
      <c r="AF82" s="270" t="e">
        <f>VLOOKUP($A82,INICIO!$A$5:$J$72,7,FALSE)</f>
        <v>#N/A</v>
      </c>
      <c r="AG82" s="11"/>
      <c r="AH82" s="242" t="str">
        <f>IFERROR(IF(AG82&gt;0,"",AG82*VLOOKUP($A82,'VALOR I.'!$B$6:$K$418,10,FALSE)),"")</f>
        <v/>
      </c>
      <c r="AI82" s="269" t="e">
        <f>VLOOKUP($A82,INICIO!$A$5:$J$72,7,FALSE)</f>
        <v>#N/A</v>
      </c>
      <c r="AJ82" s="232" t="e">
        <f>VLOOKUP($A82,REPOSICIONES!$A$5:$J$72,7,FALSE)</f>
        <v>#N/A</v>
      </c>
      <c r="AK82" s="79" t="e">
        <f t="shared" si="44"/>
        <v>#N/A</v>
      </c>
      <c r="AL82" s="230" t="str">
        <f>IFERROR(VLOOKUP($A82,VENTAS!$H$2:$O$201,6,FALSE),"")</f>
        <v/>
      </c>
      <c r="AM82" s="10" t="str">
        <f t="shared" si="45"/>
        <v/>
      </c>
      <c r="AN82" s="270" t="e">
        <f>VLOOKUP($A82,INICIO!$A$5:$J$72,8,FALSE)</f>
        <v>#N/A</v>
      </c>
      <c r="AO82" s="11"/>
      <c r="AP82" s="204" t="str">
        <f>IFERROR(IF(AO82&gt;0,"",AO82*VLOOKUP($A82,'VALOR I.'!$B$6:$K$418,10,FALSE)),"")</f>
        <v/>
      </c>
      <c r="AQ82" s="269" t="e">
        <f>VLOOKUP($A82,INICIO!$A$5:$J$72,8,FALSE)</f>
        <v>#N/A</v>
      </c>
      <c r="AR82" s="232" t="e">
        <f>VLOOKUP($A82,REPOSICIONES!$A$5:$J$72,8,FALSE)</f>
        <v>#N/A</v>
      </c>
      <c r="AS82" s="79" t="e">
        <f t="shared" si="46"/>
        <v>#N/A</v>
      </c>
      <c r="AT82" s="230" t="str">
        <f>IFERROR(VLOOKUP($A82,VENTAS!$H$2:$O$201,7,FALSE),"")</f>
        <v/>
      </c>
      <c r="AU82" s="10" t="str">
        <f t="shared" si="47"/>
        <v/>
      </c>
      <c r="AV82" s="270" t="e">
        <f>VLOOKUP($A82,INICIO!$A$5:$J$72,9,FALSE)</f>
        <v>#N/A</v>
      </c>
      <c r="AW82" s="11"/>
      <c r="AX82" s="204" t="str">
        <f>IFERROR(IF(AW82&gt;0,"",AW82*VLOOKUP($A82,'VALOR I.'!$B$6:$K$418,10,FALSE)),"")</f>
        <v/>
      </c>
      <c r="AY82" s="269" t="e">
        <f>VLOOKUP($A82,INICIO!$A$5:$J$72,9,FALSE)</f>
        <v>#N/A</v>
      </c>
      <c r="AZ82" s="232" t="e">
        <f>VLOOKUP($A82,REPOSICIONES!$A$5:$J$72,9,FALSE)</f>
        <v>#N/A</v>
      </c>
      <c r="BA82" s="79" t="e">
        <f t="shared" si="48"/>
        <v>#N/A</v>
      </c>
      <c r="BB82" s="230" t="str">
        <f>IFERROR(VLOOKUP($A82,VENTAS!$H$2:$O$201,8,FALSE),"")</f>
        <v/>
      </c>
      <c r="BC82" s="10" t="str">
        <f t="shared" si="49"/>
        <v/>
      </c>
      <c r="BD82" s="270" t="e">
        <f>VLOOKUP($A82,INICIO!$A$5:$J$72,10,FALSE)</f>
        <v>#N/A</v>
      </c>
      <c r="BE82" s="11"/>
      <c r="BF82" s="204" t="str">
        <f>IFERROR(IF(BE82&gt;0,"",BE82*VLOOKUP($A82,'VALOR I.'!$B$6:$K$418,10,FALSE)),"")</f>
        <v/>
      </c>
    </row>
    <row r="83" spans="1:58" ht="15.75" hidden="1" customHeight="1" x14ac:dyDescent="0.25">
      <c r="B83" s="211"/>
      <c r="C83" s="239" t="e">
        <f>VLOOKUP($A83,INICIO!$A$5:$J$72,3,FALSE)</f>
        <v>#N/A</v>
      </c>
      <c r="D83" s="9" t="e">
        <f>VLOOKUP($A83,REPOSICIONES!$A$5:$J$72,3,FALSE)</f>
        <v>#N/A</v>
      </c>
      <c r="E83" s="79" t="e">
        <f t="shared" si="36"/>
        <v>#N/A</v>
      </c>
      <c r="F83" s="80" t="str">
        <f>IFERROR(VLOOKUP($A83,VENTAS!$H$2:$O$201,2,FALSE),"")</f>
        <v/>
      </c>
      <c r="G83" s="9" t="str">
        <f t="shared" si="37"/>
        <v/>
      </c>
      <c r="H83" s="9" t="e">
        <f>VLOOKUP($A83,INICIO!$A$5:$J$72,4,FALSE)</f>
        <v>#N/A</v>
      </c>
      <c r="I83" s="11"/>
      <c r="J83" s="242" t="str">
        <f>IFERROR(IF(I83&gt;0,"",I83*VLOOKUP($A83,'VALOR I.'!$B$6:$K$418,10,FALSE)),"")</f>
        <v/>
      </c>
      <c r="K83" s="276" t="e">
        <f>VLOOKUP($A83,INICIO!$A$5:$J$72,4,FALSE)</f>
        <v>#N/A</v>
      </c>
      <c r="L83" s="232" t="e">
        <f>VLOOKUP($A83,REPOSICIONES!$A$5:$J$72,4,FALSE)</f>
        <v>#N/A</v>
      </c>
      <c r="M83" s="79" t="e">
        <f t="shared" si="38"/>
        <v>#N/A</v>
      </c>
      <c r="N83" s="230" t="str">
        <f>IFERROR(VLOOKUP($A83,VENTAS!$H$2:$O$201,3,FALSE),"")</f>
        <v/>
      </c>
      <c r="O83" s="267" t="str">
        <f t="shared" si="39"/>
        <v/>
      </c>
      <c r="P83" s="270" t="e">
        <f>VLOOKUP($A83,INICIO!$A$5:$J$72,5,FALSE)</f>
        <v>#N/A</v>
      </c>
      <c r="Q83" s="11"/>
      <c r="R83" s="242" t="str">
        <f>IFERROR(IF(Q83&gt;0,"",Q83*VLOOKUP($A83,'VALOR I.'!$B$6:$K$418,10,FALSE)),"")</f>
        <v/>
      </c>
      <c r="S83" s="276" t="e">
        <f>VLOOKUP($A83,INICIO!$A$5:$J$72,5,FALSE)</f>
        <v>#N/A</v>
      </c>
      <c r="T83" s="232" t="e">
        <f>VLOOKUP($A83,REPOSICIONES!$A$5:$J$72,5,FALSE)</f>
        <v>#N/A</v>
      </c>
      <c r="U83" s="79" t="e">
        <f t="shared" si="40"/>
        <v>#N/A</v>
      </c>
      <c r="V83" s="230" t="str">
        <f>IFERROR(VLOOKUP($A83,VENTAS!$H$2:$O$201,4,FALSE),"")</f>
        <v/>
      </c>
      <c r="W83" s="10" t="str">
        <f t="shared" si="41"/>
        <v/>
      </c>
      <c r="X83" s="270" t="e">
        <f>VLOOKUP($A83,INICIO!$A$5:$J$72,6,FALSE)</f>
        <v>#N/A</v>
      </c>
      <c r="Y83" s="11"/>
      <c r="Z83" s="242" t="str">
        <f>IFERROR(IF(Y83&gt;0,"",Y83*VLOOKUP($A83,'VALOR I.'!$B$6:$K$418,10,FALSE)),"")</f>
        <v/>
      </c>
      <c r="AA83" s="276" t="e">
        <f>VLOOKUP($A83,INICIO!$A$5:$J$72,6,FALSE)</f>
        <v>#N/A</v>
      </c>
      <c r="AB83" s="232" t="e">
        <f>VLOOKUP($A83,REPOSICIONES!$A$5:$J$72,6,FALSE)</f>
        <v>#N/A</v>
      </c>
      <c r="AC83" s="79" t="e">
        <f t="shared" si="42"/>
        <v>#N/A</v>
      </c>
      <c r="AD83" s="230" t="str">
        <f>IFERROR(VLOOKUP($A83,VENTAS!$H$2:$O$201,5,FALSE),"")</f>
        <v/>
      </c>
      <c r="AE83" s="10" t="str">
        <f t="shared" si="43"/>
        <v/>
      </c>
      <c r="AF83" s="270" t="e">
        <f>VLOOKUP($A83,INICIO!$A$5:$J$72,7,FALSE)</f>
        <v>#N/A</v>
      </c>
      <c r="AG83" s="11"/>
      <c r="AH83" s="242" t="str">
        <f>IFERROR(IF(AG83&gt;0,"",AG83*VLOOKUP($A83,'VALOR I.'!$B$6:$K$418,10,FALSE)),"")</f>
        <v/>
      </c>
      <c r="AI83" s="269" t="e">
        <f>VLOOKUP($A83,INICIO!$A$5:$J$72,7,FALSE)</f>
        <v>#N/A</v>
      </c>
      <c r="AJ83" s="232" t="e">
        <f>VLOOKUP($A83,REPOSICIONES!$A$5:$J$72,7,FALSE)</f>
        <v>#N/A</v>
      </c>
      <c r="AK83" s="79" t="e">
        <f t="shared" si="44"/>
        <v>#N/A</v>
      </c>
      <c r="AL83" s="230" t="str">
        <f>IFERROR(VLOOKUP($A83,VENTAS!$H$2:$O$201,6,FALSE),"")</f>
        <v/>
      </c>
      <c r="AM83" s="10" t="str">
        <f t="shared" si="45"/>
        <v/>
      </c>
      <c r="AN83" s="270" t="e">
        <f>VLOOKUP($A83,INICIO!$A$5:$J$72,8,FALSE)</f>
        <v>#N/A</v>
      </c>
      <c r="AO83" s="11"/>
      <c r="AP83" s="204" t="str">
        <f>IFERROR(IF(AO83&gt;0,"",AO83*VLOOKUP($A83,'VALOR I.'!$B$6:$K$418,10,FALSE)),"")</f>
        <v/>
      </c>
      <c r="AQ83" s="269" t="e">
        <f>VLOOKUP($A83,INICIO!$A$5:$J$72,8,FALSE)</f>
        <v>#N/A</v>
      </c>
      <c r="AR83" s="232" t="e">
        <f>VLOOKUP($A83,REPOSICIONES!$A$5:$J$72,8,FALSE)</f>
        <v>#N/A</v>
      </c>
      <c r="AS83" s="79" t="e">
        <f t="shared" si="46"/>
        <v>#N/A</v>
      </c>
      <c r="AT83" s="230" t="str">
        <f>IFERROR(VLOOKUP($A83,VENTAS!$H$2:$O$201,7,FALSE),"")</f>
        <v/>
      </c>
      <c r="AU83" s="10" t="str">
        <f t="shared" si="47"/>
        <v/>
      </c>
      <c r="AV83" s="270" t="e">
        <f>VLOOKUP($A83,INICIO!$A$5:$J$72,9,FALSE)</f>
        <v>#N/A</v>
      </c>
      <c r="AW83" s="11"/>
      <c r="AX83" s="204" t="str">
        <f>IFERROR(IF(AW83&gt;0,"",AW83*VLOOKUP($A83,'VALOR I.'!$B$6:$K$418,10,FALSE)),"")</f>
        <v/>
      </c>
      <c r="AY83" s="269" t="e">
        <f>VLOOKUP($A83,INICIO!$A$5:$J$72,9,FALSE)</f>
        <v>#N/A</v>
      </c>
      <c r="AZ83" s="232" t="e">
        <f>VLOOKUP($A83,REPOSICIONES!$A$5:$J$72,9,FALSE)</f>
        <v>#N/A</v>
      </c>
      <c r="BA83" s="79" t="e">
        <f t="shared" si="48"/>
        <v>#N/A</v>
      </c>
      <c r="BB83" s="230" t="str">
        <f>IFERROR(VLOOKUP($A83,VENTAS!$H$2:$O$201,8,FALSE),"")</f>
        <v/>
      </c>
      <c r="BC83" s="10" t="str">
        <f t="shared" si="49"/>
        <v/>
      </c>
      <c r="BD83" s="270" t="e">
        <f>VLOOKUP($A83,INICIO!$A$5:$J$72,10,FALSE)</f>
        <v>#N/A</v>
      </c>
      <c r="BE83" s="11"/>
      <c r="BF83" s="204" t="str">
        <f>IFERROR(IF(BE83&gt;0,"",BE83*VLOOKUP($A83,'VALOR I.'!$B$6:$K$418,10,FALSE)),"")</f>
        <v/>
      </c>
    </row>
    <row r="84" spans="1:58" ht="15.75" hidden="1" customHeight="1" x14ac:dyDescent="0.25">
      <c r="B84" s="211"/>
      <c r="C84" s="239" t="e">
        <f>VLOOKUP($A84,INICIO!$A$5:$J$72,3,FALSE)</f>
        <v>#N/A</v>
      </c>
      <c r="D84" s="9" t="e">
        <f>VLOOKUP($A84,REPOSICIONES!$A$5:$J$72,3,FALSE)</f>
        <v>#N/A</v>
      </c>
      <c r="E84" s="79" t="e">
        <f t="shared" si="36"/>
        <v>#N/A</v>
      </c>
      <c r="F84" s="80" t="str">
        <f>IFERROR(VLOOKUP($A84,VENTAS!$H$2:$O$201,2,FALSE),"")</f>
        <v/>
      </c>
      <c r="G84" s="9" t="str">
        <f t="shared" si="37"/>
        <v/>
      </c>
      <c r="H84" s="9" t="e">
        <f>VLOOKUP($A84,INICIO!$A$5:$J$72,4,FALSE)</f>
        <v>#N/A</v>
      </c>
      <c r="I84" s="11"/>
      <c r="J84" s="242" t="str">
        <f>IFERROR(IF(I84&gt;0,"",I84*VLOOKUP($A84,'VALOR I.'!$B$6:$K$418,10,FALSE)),"")</f>
        <v/>
      </c>
      <c r="K84" s="276" t="e">
        <f>VLOOKUP($A84,INICIO!$A$5:$J$72,4,FALSE)</f>
        <v>#N/A</v>
      </c>
      <c r="L84" s="232" t="e">
        <f>VLOOKUP($A84,REPOSICIONES!$A$5:$J$72,4,FALSE)</f>
        <v>#N/A</v>
      </c>
      <c r="M84" s="79" t="e">
        <f t="shared" si="38"/>
        <v>#N/A</v>
      </c>
      <c r="N84" s="230" t="str">
        <f>IFERROR(VLOOKUP($A84,VENTAS!$H$2:$O$201,3,FALSE),"")</f>
        <v/>
      </c>
      <c r="O84" s="267" t="str">
        <f t="shared" si="39"/>
        <v/>
      </c>
      <c r="P84" s="270" t="e">
        <f>VLOOKUP($A84,INICIO!$A$5:$J$72,5,FALSE)</f>
        <v>#N/A</v>
      </c>
      <c r="Q84" s="11"/>
      <c r="R84" s="242" t="str">
        <f>IFERROR(IF(Q84&gt;0,"",Q84*VLOOKUP($A84,'VALOR I.'!$B$6:$K$418,10,FALSE)),"")</f>
        <v/>
      </c>
      <c r="S84" s="276" t="e">
        <f>VLOOKUP($A84,INICIO!$A$5:$J$72,5,FALSE)</f>
        <v>#N/A</v>
      </c>
      <c r="T84" s="232" t="e">
        <f>VLOOKUP($A84,REPOSICIONES!$A$5:$J$72,5,FALSE)</f>
        <v>#N/A</v>
      </c>
      <c r="U84" s="79" t="e">
        <f t="shared" si="40"/>
        <v>#N/A</v>
      </c>
      <c r="V84" s="230" t="str">
        <f>IFERROR(VLOOKUP($A84,VENTAS!$H$2:$O$201,4,FALSE),"")</f>
        <v/>
      </c>
      <c r="W84" s="20" t="str">
        <f t="shared" si="41"/>
        <v/>
      </c>
      <c r="X84" s="270" t="e">
        <f>VLOOKUP($A84,INICIO!$A$5:$J$72,6,FALSE)</f>
        <v>#N/A</v>
      </c>
      <c r="Y84" s="11"/>
      <c r="Z84" s="242" t="str">
        <f>IFERROR(IF(Y84&gt;0,"",Y84*VLOOKUP($A84,'VALOR I.'!$B$6:$K$418,10,FALSE)),"")</f>
        <v/>
      </c>
      <c r="AA84" s="276" t="e">
        <f>VLOOKUP($A84,INICIO!$A$5:$J$72,6,FALSE)</f>
        <v>#N/A</v>
      </c>
      <c r="AB84" s="232" t="e">
        <f>VLOOKUP($A84,REPOSICIONES!$A$5:$J$72,6,FALSE)</f>
        <v>#N/A</v>
      </c>
      <c r="AC84" s="79" t="e">
        <f t="shared" si="42"/>
        <v>#N/A</v>
      </c>
      <c r="AD84" s="230" t="str">
        <f>IFERROR(VLOOKUP($A84,VENTAS!$H$2:$O$201,5,FALSE),"")</f>
        <v/>
      </c>
      <c r="AE84" s="20" t="str">
        <f t="shared" si="43"/>
        <v/>
      </c>
      <c r="AF84" s="270" t="e">
        <f>VLOOKUP($A84,INICIO!$A$5:$J$72,7,FALSE)</f>
        <v>#N/A</v>
      </c>
      <c r="AG84" s="11"/>
      <c r="AH84" s="242" t="str">
        <f>IFERROR(IF(AG84&gt;0,"",AG84*VLOOKUP($A84,'VALOR I.'!$B$6:$K$418,10,FALSE)),"")</f>
        <v/>
      </c>
      <c r="AI84" s="269" t="e">
        <f>VLOOKUP($A84,INICIO!$A$5:$J$72,7,FALSE)</f>
        <v>#N/A</v>
      </c>
      <c r="AJ84" s="232" t="e">
        <f>VLOOKUP($A84,REPOSICIONES!$A$5:$J$72,7,FALSE)</f>
        <v>#N/A</v>
      </c>
      <c r="AK84" s="79" t="e">
        <f t="shared" si="44"/>
        <v>#N/A</v>
      </c>
      <c r="AL84" s="230" t="str">
        <f>IFERROR(VLOOKUP($A84,VENTAS!$H$2:$O$201,6,FALSE),"")</f>
        <v/>
      </c>
      <c r="AM84" s="20" t="str">
        <f t="shared" si="45"/>
        <v/>
      </c>
      <c r="AN84" s="270" t="e">
        <f>VLOOKUP($A84,INICIO!$A$5:$J$72,8,FALSE)</f>
        <v>#N/A</v>
      </c>
      <c r="AO84" s="11"/>
      <c r="AP84" s="204" t="str">
        <f>IFERROR(IF(AO84&gt;0,"",AO84*VLOOKUP($A84,'VALOR I.'!$B$6:$K$418,10,FALSE)),"")</f>
        <v/>
      </c>
      <c r="AQ84" s="269" t="e">
        <f>VLOOKUP($A84,INICIO!$A$5:$J$72,8,FALSE)</f>
        <v>#N/A</v>
      </c>
      <c r="AR84" s="232" t="e">
        <f>VLOOKUP($A84,REPOSICIONES!$A$5:$J$72,8,FALSE)</f>
        <v>#N/A</v>
      </c>
      <c r="AS84" s="79" t="e">
        <f t="shared" si="46"/>
        <v>#N/A</v>
      </c>
      <c r="AT84" s="230" t="str">
        <f>IFERROR(VLOOKUP($A84,VENTAS!$H$2:$O$201,7,FALSE),"")</f>
        <v/>
      </c>
      <c r="AU84" s="20" t="str">
        <f t="shared" si="47"/>
        <v/>
      </c>
      <c r="AV84" s="270" t="e">
        <f>VLOOKUP($A84,INICIO!$A$5:$J$72,9,FALSE)</f>
        <v>#N/A</v>
      </c>
      <c r="AW84" s="11"/>
      <c r="AX84" s="204" t="str">
        <f>IFERROR(IF(AW84&gt;0,"",AW84*VLOOKUP($A84,'VALOR I.'!$B$6:$K$418,10,FALSE)),"")</f>
        <v/>
      </c>
      <c r="AY84" s="269" t="e">
        <f>VLOOKUP($A84,INICIO!$A$5:$J$72,9,FALSE)</f>
        <v>#N/A</v>
      </c>
      <c r="AZ84" s="232" t="e">
        <f>VLOOKUP($A84,REPOSICIONES!$A$5:$J$72,9,FALSE)</f>
        <v>#N/A</v>
      </c>
      <c r="BA84" s="79" t="e">
        <f t="shared" si="48"/>
        <v>#N/A</v>
      </c>
      <c r="BB84" s="230" t="str">
        <f>IFERROR(VLOOKUP($A84,VENTAS!$H$2:$O$201,8,FALSE),"")</f>
        <v/>
      </c>
      <c r="BC84" s="20" t="str">
        <f t="shared" si="49"/>
        <v/>
      </c>
      <c r="BD84" s="270" t="e">
        <f>VLOOKUP($A84,INICIO!$A$5:$J$72,10,FALSE)</f>
        <v>#N/A</v>
      </c>
      <c r="BE84" s="11"/>
      <c r="BF84" s="204" t="str">
        <f>IFERROR(IF(BE84&gt;0,"",BE84*VLOOKUP($A84,'VALOR I.'!$B$6:$K$418,10,FALSE)),"")</f>
        <v/>
      </c>
    </row>
    <row r="85" spans="1:58" ht="15.75" hidden="1" customHeight="1" x14ac:dyDescent="0.25">
      <c r="B85" s="211"/>
      <c r="C85" s="239" t="e">
        <f>VLOOKUP($A85,INICIO!$A$5:$J$72,3,FALSE)</f>
        <v>#N/A</v>
      </c>
      <c r="D85" s="9" t="e">
        <f>VLOOKUP($A85,REPOSICIONES!$A$5:$J$72,3,FALSE)</f>
        <v>#N/A</v>
      </c>
      <c r="E85" s="79" t="e">
        <f t="shared" si="36"/>
        <v>#N/A</v>
      </c>
      <c r="F85" s="80" t="str">
        <f>IFERROR(VLOOKUP($A85,VENTAS!$H$2:$O$201,2,FALSE),"")</f>
        <v/>
      </c>
      <c r="G85" s="9" t="str">
        <f t="shared" si="37"/>
        <v/>
      </c>
      <c r="H85" s="9" t="e">
        <f>VLOOKUP($A85,INICIO!$A$5:$J$72,4,FALSE)</f>
        <v>#N/A</v>
      </c>
      <c r="I85" s="11"/>
      <c r="J85" s="242" t="str">
        <f>IFERROR(IF(I85&gt;0,"",I85*VLOOKUP($A85,'VALOR I.'!$B$6:$K$418,10,FALSE)),"")</f>
        <v/>
      </c>
      <c r="K85" s="276" t="e">
        <f>VLOOKUP($A85,INICIO!$A$5:$J$72,4,FALSE)</f>
        <v>#N/A</v>
      </c>
      <c r="L85" s="232" t="e">
        <f>VLOOKUP($A85,REPOSICIONES!$A$5:$J$72,4,FALSE)</f>
        <v>#N/A</v>
      </c>
      <c r="M85" s="79" t="e">
        <f t="shared" si="38"/>
        <v>#N/A</v>
      </c>
      <c r="N85" s="230" t="str">
        <f>IFERROR(VLOOKUP($A85,VENTAS!$H$2:$O$201,3,FALSE),"")</f>
        <v/>
      </c>
      <c r="O85" s="267" t="str">
        <f t="shared" si="39"/>
        <v/>
      </c>
      <c r="P85" s="270" t="e">
        <f>VLOOKUP($A85,INICIO!$A$5:$J$72,5,FALSE)</f>
        <v>#N/A</v>
      </c>
      <c r="Q85" s="11"/>
      <c r="R85" s="242" t="str">
        <f>IFERROR(IF(Q85&gt;0,"",Q85*VLOOKUP($A85,'VALOR I.'!$B$6:$K$418,10,FALSE)),"")</f>
        <v/>
      </c>
      <c r="S85" s="276" t="e">
        <f>VLOOKUP($A85,INICIO!$A$5:$J$72,5,FALSE)</f>
        <v>#N/A</v>
      </c>
      <c r="T85" s="232" t="e">
        <f>VLOOKUP($A85,REPOSICIONES!$A$5:$J$72,5,FALSE)</f>
        <v>#N/A</v>
      </c>
      <c r="U85" s="79" t="e">
        <f t="shared" si="40"/>
        <v>#N/A</v>
      </c>
      <c r="V85" s="230" t="str">
        <f>IFERROR(VLOOKUP($A85,VENTAS!$H$2:$O$201,4,FALSE),"")</f>
        <v/>
      </c>
      <c r="W85" s="10" t="str">
        <f t="shared" si="41"/>
        <v/>
      </c>
      <c r="X85" s="270" t="e">
        <f>VLOOKUP($A85,INICIO!$A$5:$J$72,6,FALSE)</f>
        <v>#N/A</v>
      </c>
      <c r="Y85" s="11"/>
      <c r="Z85" s="242" t="str">
        <f>IFERROR(IF(Y85&gt;0,"",Y85*VLOOKUP($A85,'VALOR I.'!$B$6:$K$418,10,FALSE)),"")</f>
        <v/>
      </c>
      <c r="AA85" s="276" t="e">
        <f>VLOOKUP($A85,INICIO!$A$5:$J$72,6,FALSE)</f>
        <v>#N/A</v>
      </c>
      <c r="AB85" s="232" t="e">
        <f>VLOOKUP($A85,REPOSICIONES!$A$5:$J$72,6,FALSE)</f>
        <v>#N/A</v>
      </c>
      <c r="AC85" s="79" t="e">
        <f t="shared" si="42"/>
        <v>#N/A</v>
      </c>
      <c r="AD85" s="230" t="str">
        <f>IFERROR(VLOOKUP($A85,VENTAS!$H$2:$O$201,5,FALSE),"")</f>
        <v/>
      </c>
      <c r="AE85" s="10" t="str">
        <f t="shared" si="43"/>
        <v/>
      </c>
      <c r="AF85" s="270" t="e">
        <f>VLOOKUP($A85,INICIO!$A$5:$J$72,7,FALSE)</f>
        <v>#N/A</v>
      </c>
      <c r="AG85" s="11"/>
      <c r="AH85" s="242" t="str">
        <f>IFERROR(IF(AG85&gt;0,"",AG85*VLOOKUP($A85,'VALOR I.'!$B$6:$K$418,10,FALSE)),"")</f>
        <v/>
      </c>
      <c r="AI85" s="269" t="e">
        <f>VLOOKUP($A85,INICIO!$A$5:$J$72,7,FALSE)</f>
        <v>#N/A</v>
      </c>
      <c r="AJ85" s="232" t="e">
        <f>VLOOKUP($A85,REPOSICIONES!$A$5:$J$72,7,FALSE)</f>
        <v>#N/A</v>
      </c>
      <c r="AK85" s="79" t="e">
        <f t="shared" si="44"/>
        <v>#N/A</v>
      </c>
      <c r="AL85" s="230" t="str">
        <f>IFERROR(VLOOKUP($A85,VENTAS!$H$2:$O$201,6,FALSE),"")</f>
        <v/>
      </c>
      <c r="AM85" s="10" t="str">
        <f t="shared" si="45"/>
        <v/>
      </c>
      <c r="AN85" s="270" t="e">
        <f>VLOOKUP($A85,INICIO!$A$5:$J$72,8,FALSE)</f>
        <v>#N/A</v>
      </c>
      <c r="AO85" s="11"/>
      <c r="AP85" s="204" t="str">
        <f>IFERROR(IF(AO85&gt;0,"",AO85*VLOOKUP($A85,'VALOR I.'!$B$6:$K$418,10,FALSE)),"")</f>
        <v/>
      </c>
      <c r="AQ85" s="269" t="e">
        <f>VLOOKUP($A85,INICIO!$A$5:$J$72,8,FALSE)</f>
        <v>#N/A</v>
      </c>
      <c r="AR85" s="232" t="e">
        <f>VLOOKUP($A85,REPOSICIONES!$A$5:$J$72,8,FALSE)</f>
        <v>#N/A</v>
      </c>
      <c r="AS85" s="79" t="e">
        <f t="shared" si="46"/>
        <v>#N/A</v>
      </c>
      <c r="AT85" s="230" t="str">
        <f>IFERROR(VLOOKUP($A85,VENTAS!$H$2:$O$201,7,FALSE),"")</f>
        <v/>
      </c>
      <c r="AU85" s="10" t="str">
        <f t="shared" si="47"/>
        <v/>
      </c>
      <c r="AV85" s="270" t="e">
        <f>VLOOKUP($A85,INICIO!$A$5:$J$72,9,FALSE)</f>
        <v>#N/A</v>
      </c>
      <c r="AW85" s="11"/>
      <c r="AX85" s="204" t="str">
        <f>IFERROR(IF(AW85&gt;0,"",AW85*VLOOKUP($A85,'VALOR I.'!$B$6:$K$418,10,FALSE)),"")</f>
        <v/>
      </c>
      <c r="AY85" s="269" t="e">
        <f>VLOOKUP($A85,INICIO!$A$5:$J$72,9,FALSE)</f>
        <v>#N/A</v>
      </c>
      <c r="AZ85" s="232" t="e">
        <f>VLOOKUP($A85,REPOSICIONES!$A$5:$J$72,9,FALSE)</f>
        <v>#N/A</v>
      </c>
      <c r="BA85" s="79" t="e">
        <f t="shared" si="48"/>
        <v>#N/A</v>
      </c>
      <c r="BB85" s="230" t="str">
        <f>IFERROR(VLOOKUP($A85,VENTAS!$H$2:$O$201,8,FALSE),"")</f>
        <v/>
      </c>
      <c r="BC85" s="10" t="str">
        <f t="shared" si="49"/>
        <v/>
      </c>
      <c r="BD85" s="270" t="e">
        <f>VLOOKUP($A85,INICIO!$A$5:$J$72,10,FALSE)</f>
        <v>#N/A</v>
      </c>
      <c r="BE85" s="11"/>
      <c r="BF85" s="204" t="str">
        <f>IFERROR(IF(BE85&gt;0,"",BE85*VLOOKUP($A85,'VALOR I.'!$B$6:$K$418,10,FALSE)),"")</f>
        <v/>
      </c>
    </row>
    <row r="86" spans="1:58" ht="15.75" hidden="1" customHeight="1" x14ac:dyDescent="0.25">
      <c r="B86" s="211"/>
      <c r="C86" s="239" t="e">
        <f>VLOOKUP($A86,INICIO!$A$5:$J$72,3,FALSE)</f>
        <v>#N/A</v>
      </c>
      <c r="D86" s="9" t="e">
        <f>VLOOKUP($A86,REPOSICIONES!$A$5:$J$72,3,FALSE)</f>
        <v>#N/A</v>
      </c>
      <c r="E86" s="79" t="e">
        <f t="shared" si="36"/>
        <v>#N/A</v>
      </c>
      <c r="F86" s="80" t="str">
        <f>IFERROR(VLOOKUP($A86,VENTAS!$H$2:$O$201,2,FALSE),"")</f>
        <v/>
      </c>
      <c r="G86" s="9" t="str">
        <f t="shared" si="37"/>
        <v/>
      </c>
      <c r="H86" s="9" t="e">
        <f>VLOOKUP($A86,INICIO!$A$5:$J$72,4,FALSE)</f>
        <v>#N/A</v>
      </c>
      <c r="I86" s="11"/>
      <c r="J86" s="242" t="str">
        <f>IFERROR(IF(I86&gt;0,"",I86*VLOOKUP($A86,'VALOR I.'!$B$6:$K$418,10,FALSE)),"")</f>
        <v/>
      </c>
      <c r="K86" s="276" t="e">
        <f>VLOOKUP($A86,INICIO!$A$5:$J$72,4,FALSE)</f>
        <v>#N/A</v>
      </c>
      <c r="L86" s="232" t="e">
        <f>VLOOKUP($A86,REPOSICIONES!$A$5:$J$72,4,FALSE)</f>
        <v>#N/A</v>
      </c>
      <c r="M86" s="79" t="e">
        <f t="shared" si="38"/>
        <v>#N/A</v>
      </c>
      <c r="N86" s="230" t="str">
        <f>IFERROR(VLOOKUP($A86,VENTAS!$H$2:$O$201,3,FALSE),"")</f>
        <v/>
      </c>
      <c r="O86" s="267" t="str">
        <f t="shared" si="39"/>
        <v/>
      </c>
      <c r="P86" s="270" t="e">
        <f>VLOOKUP($A86,INICIO!$A$5:$J$72,5,FALSE)</f>
        <v>#N/A</v>
      </c>
      <c r="Q86" s="11"/>
      <c r="R86" s="242" t="str">
        <f>IFERROR(IF(Q86&gt;0,"",Q86*VLOOKUP($A86,'VALOR I.'!$B$6:$K$418,10,FALSE)),"")</f>
        <v/>
      </c>
      <c r="S86" s="276" t="e">
        <f>VLOOKUP($A86,INICIO!$A$5:$J$72,5,FALSE)</f>
        <v>#N/A</v>
      </c>
      <c r="T86" s="232" t="e">
        <f>VLOOKUP($A86,REPOSICIONES!$A$5:$J$72,5,FALSE)</f>
        <v>#N/A</v>
      </c>
      <c r="U86" s="79" t="e">
        <f t="shared" si="40"/>
        <v>#N/A</v>
      </c>
      <c r="V86" s="230" t="str">
        <f>IFERROR(VLOOKUP($A86,VENTAS!$H$2:$O$201,4,FALSE),"")</f>
        <v/>
      </c>
      <c r="W86" s="20" t="str">
        <f t="shared" si="41"/>
        <v/>
      </c>
      <c r="X86" s="270" t="e">
        <f>VLOOKUP($A86,INICIO!$A$5:$J$72,6,FALSE)</f>
        <v>#N/A</v>
      </c>
      <c r="Y86" s="11"/>
      <c r="Z86" s="242" t="str">
        <f>IFERROR(IF(Y86&gt;0,"",Y86*VLOOKUP($A86,'VALOR I.'!$B$6:$K$418,10,FALSE)),"")</f>
        <v/>
      </c>
      <c r="AA86" s="276" t="e">
        <f>VLOOKUP($A86,INICIO!$A$5:$J$72,6,FALSE)</f>
        <v>#N/A</v>
      </c>
      <c r="AB86" s="232" t="e">
        <f>VLOOKUP($A86,REPOSICIONES!$A$5:$J$72,6,FALSE)</f>
        <v>#N/A</v>
      </c>
      <c r="AC86" s="79" t="e">
        <f t="shared" si="42"/>
        <v>#N/A</v>
      </c>
      <c r="AD86" s="230" t="str">
        <f>IFERROR(VLOOKUP($A86,VENTAS!$H$2:$O$201,5,FALSE),"")</f>
        <v/>
      </c>
      <c r="AE86" s="20" t="str">
        <f t="shared" si="43"/>
        <v/>
      </c>
      <c r="AF86" s="270" t="e">
        <f>VLOOKUP($A86,INICIO!$A$5:$J$72,7,FALSE)</f>
        <v>#N/A</v>
      </c>
      <c r="AG86" s="11"/>
      <c r="AH86" s="242" t="str">
        <f>IFERROR(IF(AG86&gt;0,"",AG86*VLOOKUP($A86,'VALOR I.'!$B$6:$K$418,10,FALSE)),"")</f>
        <v/>
      </c>
      <c r="AI86" s="269" t="e">
        <f>VLOOKUP($A86,INICIO!$A$5:$J$72,7,FALSE)</f>
        <v>#N/A</v>
      </c>
      <c r="AJ86" s="232" t="e">
        <f>VLOOKUP($A86,REPOSICIONES!$A$5:$J$72,7,FALSE)</f>
        <v>#N/A</v>
      </c>
      <c r="AK86" s="79" t="e">
        <f t="shared" si="44"/>
        <v>#N/A</v>
      </c>
      <c r="AL86" s="230" t="str">
        <f>IFERROR(VLOOKUP($A86,VENTAS!$H$2:$O$201,6,FALSE),"")</f>
        <v/>
      </c>
      <c r="AM86" s="20" t="str">
        <f t="shared" si="45"/>
        <v/>
      </c>
      <c r="AN86" s="270" t="e">
        <f>VLOOKUP($A86,INICIO!$A$5:$J$72,8,FALSE)</f>
        <v>#N/A</v>
      </c>
      <c r="AO86" s="11"/>
      <c r="AP86" s="204" t="str">
        <f>IFERROR(IF(AO86&gt;0,"",AO86*VLOOKUP($A86,'VALOR I.'!$B$6:$K$418,10,FALSE)),"")</f>
        <v/>
      </c>
      <c r="AQ86" s="269" t="e">
        <f>VLOOKUP($A86,INICIO!$A$5:$J$72,8,FALSE)</f>
        <v>#N/A</v>
      </c>
      <c r="AR86" s="232" t="e">
        <f>VLOOKUP($A86,REPOSICIONES!$A$5:$J$72,8,FALSE)</f>
        <v>#N/A</v>
      </c>
      <c r="AS86" s="79" t="e">
        <f t="shared" si="46"/>
        <v>#N/A</v>
      </c>
      <c r="AT86" s="230" t="str">
        <f>IFERROR(VLOOKUP($A86,VENTAS!$H$2:$O$201,7,FALSE),"")</f>
        <v/>
      </c>
      <c r="AU86" s="20" t="str">
        <f t="shared" si="47"/>
        <v/>
      </c>
      <c r="AV86" s="270" t="e">
        <f>VLOOKUP($A86,INICIO!$A$5:$J$72,9,FALSE)</f>
        <v>#N/A</v>
      </c>
      <c r="AW86" s="11"/>
      <c r="AX86" s="204" t="str">
        <f>IFERROR(IF(AW86&gt;0,"",AW86*VLOOKUP($A86,'VALOR I.'!$B$6:$K$418,10,FALSE)),"")</f>
        <v/>
      </c>
      <c r="AY86" s="269" t="e">
        <f>VLOOKUP($A86,INICIO!$A$5:$J$72,9,FALSE)</f>
        <v>#N/A</v>
      </c>
      <c r="AZ86" s="232" t="e">
        <f>VLOOKUP($A86,REPOSICIONES!$A$5:$J$72,9,FALSE)</f>
        <v>#N/A</v>
      </c>
      <c r="BA86" s="79" t="e">
        <f t="shared" si="48"/>
        <v>#N/A</v>
      </c>
      <c r="BB86" s="230" t="str">
        <f>IFERROR(VLOOKUP($A86,VENTAS!$H$2:$O$201,8,FALSE),"")</f>
        <v/>
      </c>
      <c r="BC86" s="20" t="str">
        <f t="shared" si="49"/>
        <v/>
      </c>
      <c r="BD86" s="270" t="e">
        <f>VLOOKUP($A86,INICIO!$A$5:$J$72,10,FALSE)</f>
        <v>#N/A</v>
      </c>
      <c r="BE86" s="11"/>
      <c r="BF86" s="204" t="str">
        <f>IFERROR(IF(BE86&gt;0,"",BE86*VLOOKUP($A86,'VALOR I.'!$B$6:$K$418,10,FALSE)),"")</f>
        <v/>
      </c>
    </row>
    <row r="87" spans="1:58" ht="15.75" hidden="1" customHeight="1" x14ac:dyDescent="0.25">
      <c r="B87" s="211"/>
      <c r="C87" s="239" t="e">
        <f>VLOOKUP($A87,INICIO!$A$5:$J$72,3,FALSE)</f>
        <v>#N/A</v>
      </c>
      <c r="D87" s="9" t="e">
        <f>VLOOKUP($A87,REPOSICIONES!$A$5:$J$72,3,FALSE)</f>
        <v>#N/A</v>
      </c>
      <c r="E87" s="79" t="e">
        <f t="shared" si="36"/>
        <v>#N/A</v>
      </c>
      <c r="F87" s="80" t="str">
        <f>IFERROR(VLOOKUP($A87,VENTAS!$H$2:$O$201,2,FALSE),"")</f>
        <v/>
      </c>
      <c r="G87" s="9" t="str">
        <f t="shared" si="37"/>
        <v/>
      </c>
      <c r="H87" s="9" t="e">
        <f>VLOOKUP($A87,INICIO!$A$5:$J$72,4,FALSE)</f>
        <v>#N/A</v>
      </c>
      <c r="I87" s="11"/>
      <c r="J87" s="242" t="str">
        <f>IFERROR(IF(I87&gt;0,"",I87*VLOOKUP($A87,'VALOR I.'!$B$6:$K$418,10,FALSE)),"")</f>
        <v/>
      </c>
      <c r="K87" s="276" t="e">
        <f>VLOOKUP($A87,INICIO!$A$5:$J$72,4,FALSE)</f>
        <v>#N/A</v>
      </c>
      <c r="L87" s="232" t="e">
        <f>VLOOKUP($A87,REPOSICIONES!$A$5:$J$72,4,FALSE)</f>
        <v>#N/A</v>
      </c>
      <c r="M87" s="79" t="e">
        <f t="shared" si="38"/>
        <v>#N/A</v>
      </c>
      <c r="N87" s="230" t="str">
        <f>IFERROR(VLOOKUP($A87,VENTAS!$H$2:$O$201,3,FALSE),"")</f>
        <v/>
      </c>
      <c r="O87" s="267" t="str">
        <f t="shared" si="39"/>
        <v/>
      </c>
      <c r="P87" s="270" t="e">
        <f>VLOOKUP($A87,INICIO!$A$5:$J$72,5,FALSE)</f>
        <v>#N/A</v>
      </c>
      <c r="Q87" s="11"/>
      <c r="R87" s="242" t="str">
        <f>IFERROR(IF(Q87&gt;0,"",Q87*VLOOKUP($A87,'VALOR I.'!$B$6:$K$418,10,FALSE)),"")</f>
        <v/>
      </c>
      <c r="S87" s="276" t="e">
        <f>VLOOKUP($A87,INICIO!$A$5:$J$72,5,FALSE)</f>
        <v>#N/A</v>
      </c>
      <c r="T87" s="232" t="e">
        <f>VLOOKUP($A87,REPOSICIONES!$A$5:$J$72,5,FALSE)</f>
        <v>#N/A</v>
      </c>
      <c r="U87" s="79" t="e">
        <f t="shared" si="40"/>
        <v>#N/A</v>
      </c>
      <c r="V87" s="230" t="str">
        <f>IFERROR(VLOOKUP($A87,VENTAS!$H$2:$O$201,4,FALSE),"")</f>
        <v/>
      </c>
      <c r="W87" s="10" t="str">
        <f t="shared" si="41"/>
        <v/>
      </c>
      <c r="X87" s="270" t="e">
        <f>VLOOKUP($A87,INICIO!$A$5:$J$72,6,FALSE)</f>
        <v>#N/A</v>
      </c>
      <c r="Y87" s="11"/>
      <c r="Z87" s="242" t="str">
        <f>IFERROR(IF(Y87&gt;0,"",Y87*VLOOKUP($A87,'VALOR I.'!$B$6:$K$418,10,FALSE)),"")</f>
        <v/>
      </c>
      <c r="AA87" s="276" t="e">
        <f>VLOOKUP($A87,INICIO!$A$5:$J$72,6,FALSE)</f>
        <v>#N/A</v>
      </c>
      <c r="AB87" s="232" t="e">
        <f>VLOOKUP($A87,REPOSICIONES!$A$5:$J$72,6,FALSE)</f>
        <v>#N/A</v>
      </c>
      <c r="AC87" s="79" t="e">
        <f t="shared" si="42"/>
        <v>#N/A</v>
      </c>
      <c r="AD87" s="230" t="str">
        <f>IFERROR(VLOOKUP($A87,VENTAS!$H$2:$O$201,5,FALSE),"")</f>
        <v/>
      </c>
      <c r="AE87" s="10" t="str">
        <f t="shared" si="43"/>
        <v/>
      </c>
      <c r="AF87" s="270" t="e">
        <f>VLOOKUP($A87,INICIO!$A$5:$J$72,7,FALSE)</f>
        <v>#N/A</v>
      </c>
      <c r="AG87" s="11"/>
      <c r="AH87" s="242" t="str">
        <f>IFERROR(IF(AG87&gt;0,"",AG87*VLOOKUP($A87,'VALOR I.'!$B$6:$K$418,10,FALSE)),"")</f>
        <v/>
      </c>
      <c r="AI87" s="269" t="e">
        <f>VLOOKUP($A87,INICIO!$A$5:$J$72,7,FALSE)</f>
        <v>#N/A</v>
      </c>
      <c r="AJ87" s="232" t="e">
        <f>VLOOKUP($A87,REPOSICIONES!$A$5:$J$72,7,FALSE)</f>
        <v>#N/A</v>
      </c>
      <c r="AK87" s="79" t="e">
        <f t="shared" si="44"/>
        <v>#N/A</v>
      </c>
      <c r="AL87" s="230" t="str">
        <f>IFERROR(VLOOKUP($A87,VENTAS!$H$2:$O$201,6,FALSE),"")</f>
        <v/>
      </c>
      <c r="AM87" s="10" t="str">
        <f t="shared" si="45"/>
        <v/>
      </c>
      <c r="AN87" s="270" t="e">
        <f>VLOOKUP($A87,INICIO!$A$5:$J$72,8,FALSE)</f>
        <v>#N/A</v>
      </c>
      <c r="AO87" s="11"/>
      <c r="AP87" s="204" t="str">
        <f>IFERROR(IF(AO87&gt;0,"",AO87*VLOOKUP($A87,'VALOR I.'!$B$6:$K$418,10,FALSE)),"")</f>
        <v/>
      </c>
      <c r="AQ87" s="269" t="e">
        <f>VLOOKUP($A87,INICIO!$A$5:$J$72,8,FALSE)</f>
        <v>#N/A</v>
      </c>
      <c r="AR87" s="232" t="e">
        <f>VLOOKUP($A87,REPOSICIONES!$A$5:$J$72,8,FALSE)</f>
        <v>#N/A</v>
      </c>
      <c r="AS87" s="79" t="e">
        <f t="shared" si="46"/>
        <v>#N/A</v>
      </c>
      <c r="AT87" s="230" t="str">
        <f>IFERROR(VLOOKUP($A87,VENTAS!$H$2:$O$201,7,FALSE),"")</f>
        <v/>
      </c>
      <c r="AU87" s="10" t="str">
        <f t="shared" si="47"/>
        <v/>
      </c>
      <c r="AV87" s="270" t="e">
        <f>VLOOKUP($A87,INICIO!$A$5:$J$72,9,FALSE)</f>
        <v>#N/A</v>
      </c>
      <c r="AW87" s="11"/>
      <c r="AX87" s="204" t="str">
        <f>IFERROR(IF(AW87&gt;0,"",AW87*VLOOKUP($A87,'VALOR I.'!$B$6:$K$418,10,FALSE)),"")</f>
        <v/>
      </c>
      <c r="AY87" s="269" t="e">
        <f>VLOOKUP($A87,INICIO!$A$5:$J$72,9,FALSE)</f>
        <v>#N/A</v>
      </c>
      <c r="AZ87" s="232" t="e">
        <f>VLOOKUP($A87,REPOSICIONES!$A$5:$J$72,9,FALSE)</f>
        <v>#N/A</v>
      </c>
      <c r="BA87" s="79" t="e">
        <f t="shared" si="48"/>
        <v>#N/A</v>
      </c>
      <c r="BB87" s="230" t="str">
        <f>IFERROR(VLOOKUP($A87,VENTAS!$H$2:$O$201,8,FALSE),"")</f>
        <v/>
      </c>
      <c r="BC87" s="10" t="str">
        <f t="shared" si="49"/>
        <v/>
      </c>
      <c r="BD87" s="270" t="e">
        <f>VLOOKUP($A87,INICIO!$A$5:$J$72,10,FALSE)</f>
        <v>#N/A</v>
      </c>
      <c r="BE87" s="11"/>
      <c r="BF87" s="204" t="str">
        <f>IFERROR(IF(BE87&gt;0,"",BE87*VLOOKUP($A87,'VALOR I.'!$B$6:$K$418,10,FALSE)),"")</f>
        <v/>
      </c>
    </row>
    <row r="88" spans="1:58" ht="15.75" hidden="1" customHeight="1" x14ac:dyDescent="0.25">
      <c r="B88" s="211"/>
      <c r="C88" s="239" t="e">
        <f>VLOOKUP($A88,INICIO!$A$5:$J$72,3,FALSE)</f>
        <v>#N/A</v>
      </c>
      <c r="D88" s="9" t="e">
        <f>VLOOKUP($A88,REPOSICIONES!$A$5:$J$72,3,FALSE)</f>
        <v>#N/A</v>
      </c>
      <c r="E88" s="79" t="e">
        <f t="shared" si="36"/>
        <v>#N/A</v>
      </c>
      <c r="F88" s="80" t="str">
        <f>IFERROR(VLOOKUP($A88,VENTAS!$H$2:$O$201,2,FALSE),"")</f>
        <v/>
      </c>
      <c r="G88" s="9" t="str">
        <f t="shared" si="37"/>
        <v/>
      </c>
      <c r="H88" s="9" t="e">
        <f>VLOOKUP($A88,INICIO!$A$5:$J$72,4,FALSE)</f>
        <v>#N/A</v>
      </c>
      <c r="I88" s="11"/>
      <c r="J88" s="242" t="str">
        <f>IFERROR(IF(I88&gt;0,"",I88*VLOOKUP($A88,'VALOR I.'!$B$6:$K$418,10,FALSE)),"")</f>
        <v/>
      </c>
      <c r="K88" s="276" t="e">
        <f>VLOOKUP($A88,INICIO!$A$5:$J$72,4,FALSE)</f>
        <v>#N/A</v>
      </c>
      <c r="L88" s="232" t="e">
        <f>VLOOKUP($A88,REPOSICIONES!$A$5:$J$72,4,FALSE)</f>
        <v>#N/A</v>
      </c>
      <c r="M88" s="79" t="e">
        <f t="shared" si="38"/>
        <v>#N/A</v>
      </c>
      <c r="N88" s="230" t="str">
        <f>IFERROR(VLOOKUP($A88,VENTAS!$H$2:$O$201,3,FALSE),"")</f>
        <v/>
      </c>
      <c r="O88" s="267" t="str">
        <f t="shared" si="39"/>
        <v/>
      </c>
      <c r="P88" s="270" t="e">
        <f>VLOOKUP($A88,INICIO!$A$5:$J$72,5,FALSE)</f>
        <v>#N/A</v>
      </c>
      <c r="Q88" s="11"/>
      <c r="R88" s="242" t="str">
        <f>IFERROR(IF(Q88&gt;0,"",Q88*VLOOKUP($A88,'VALOR I.'!$B$6:$K$418,10,FALSE)),"")</f>
        <v/>
      </c>
      <c r="S88" s="276" t="e">
        <f>VLOOKUP($A88,INICIO!$A$5:$J$72,5,FALSE)</f>
        <v>#N/A</v>
      </c>
      <c r="T88" s="232" t="e">
        <f>VLOOKUP($A88,REPOSICIONES!$A$5:$J$72,5,FALSE)</f>
        <v>#N/A</v>
      </c>
      <c r="U88" s="79" t="e">
        <f t="shared" si="40"/>
        <v>#N/A</v>
      </c>
      <c r="V88" s="230" t="str">
        <f>IFERROR(VLOOKUP($A88,VENTAS!$H$2:$O$201,4,FALSE),"")</f>
        <v/>
      </c>
      <c r="W88" s="10" t="str">
        <f t="shared" si="41"/>
        <v/>
      </c>
      <c r="X88" s="270" t="e">
        <f>VLOOKUP($A88,INICIO!$A$5:$J$72,6,FALSE)</f>
        <v>#N/A</v>
      </c>
      <c r="Y88" s="11"/>
      <c r="Z88" s="242" t="str">
        <f>IFERROR(IF(Y88&gt;0,"",Y88*VLOOKUP($A88,'VALOR I.'!$B$6:$K$418,10,FALSE)),"")</f>
        <v/>
      </c>
      <c r="AA88" s="276" t="e">
        <f>VLOOKUP($A88,INICIO!$A$5:$J$72,6,FALSE)</f>
        <v>#N/A</v>
      </c>
      <c r="AB88" s="232" t="e">
        <f>VLOOKUP($A88,REPOSICIONES!$A$5:$J$72,6,FALSE)</f>
        <v>#N/A</v>
      </c>
      <c r="AC88" s="79" t="e">
        <f t="shared" si="42"/>
        <v>#N/A</v>
      </c>
      <c r="AD88" s="230" t="str">
        <f>IFERROR(VLOOKUP($A88,VENTAS!$H$2:$O$201,5,FALSE),"")</f>
        <v/>
      </c>
      <c r="AE88" s="10" t="str">
        <f t="shared" si="43"/>
        <v/>
      </c>
      <c r="AF88" s="270" t="e">
        <f>VLOOKUP($A88,INICIO!$A$5:$J$72,7,FALSE)</f>
        <v>#N/A</v>
      </c>
      <c r="AG88" s="11"/>
      <c r="AH88" s="242" t="str">
        <f>IFERROR(IF(AG88&gt;0,"",AG88*VLOOKUP($A88,'VALOR I.'!$B$6:$K$418,10,FALSE)),"")</f>
        <v/>
      </c>
      <c r="AI88" s="269" t="e">
        <f>VLOOKUP($A88,INICIO!$A$5:$J$72,7,FALSE)</f>
        <v>#N/A</v>
      </c>
      <c r="AJ88" s="232" t="e">
        <f>VLOOKUP($A88,REPOSICIONES!$A$5:$J$72,7,FALSE)</f>
        <v>#N/A</v>
      </c>
      <c r="AK88" s="79" t="e">
        <f t="shared" si="44"/>
        <v>#N/A</v>
      </c>
      <c r="AL88" s="230" t="str">
        <f>IFERROR(VLOOKUP($A88,VENTAS!$H$2:$O$201,6,FALSE),"")</f>
        <v/>
      </c>
      <c r="AM88" s="10" t="str">
        <f t="shared" si="45"/>
        <v/>
      </c>
      <c r="AN88" s="270" t="e">
        <f>VLOOKUP($A88,INICIO!$A$5:$J$72,8,FALSE)</f>
        <v>#N/A</v>
      </c>
      <c r="AO88" s="11"/>
      <c r="AP88" s="204" t="str">
        <f>IFERROR(IF(AO88&gt;0,"",AO88*VLOOKUP($A88,'VALOR I.'!$B$6:$K$418,10,FALSE)),"")</f>
        <v/>
      </c>
      <c r="AQ88" s="269" t="e">
        <f>VLOOKUP($A88,INICIO!$A$5:$J$72,8,FALSE)</f>
        <v>#N/A</v>
      </c>
      <c r="AR88" s="232" t="e">
        <f>VLOOKUP($A88,REPOSICIONES!$A$5:$J$72,8,FALSE)</f>
        <v>#N/A</v>
      </c>
      <c r="AS88" s="79" t="e">
        <f t="shared" si="46"/>
        <v>#N/A</v>
      </c>
      <c r="AT88" s="230" t="str">
        <f>IFERROR(VLOOKUP($A88,VENTAS!$H$2:$O$201,7,FALSE),"")</f>
        <v/>
      </c>
      <c r="AU88" s="10" t="str">
        <f t="shared" si="47"/>
        <v/>
      </c>
      <c r="AV88" s="270" t="e">
        <f>VLOOKUP($A88,INICIO!$A$5:$J$72,9,FALSE)</f>
        <v>#N/A</v>
      </c>
      <c r="AW88" s="11"/>
      <c r="AX88" s="204" t="str">
        <f>IFERROR(IF(AW88&gt;0,"",AW88*VLOOKUP($A88,'VALOR I.'!$B$6:$K$418,10,FALSE)),"")</f>
        <v/>
      </c>
      <c r="AY88" s="269" t="e">
        <f>VLOOKUP($A88,INICIO!$A$5:$J$72,9,FALSE)</f>
        <v>#N/A</v>
      </c>
      <c r="AZ88" s="232" t="e">
        <f>VLOOKUP($A88,REPOSICIONES!$A$5:$J$72,9,FALSE)</f>
        <v>#N/A</v>
      </c>
      <c r="BA88" s="79" t="e">
        <f t="shared" si="48"/>
        <v>#N/A</v>
      </c>
      <c r="BB88" s="230" t="str">
        <f>IFERROR(VLOOKUP($A88,VENTAS!$H$2:$O$201,8,FALSE),"")</f>
        <v/>
      </c>
      <c r="BC88" s="10" t="str">
        <f t="shared" si="49"/>
        <v/>
      </c>
      <c r="BD88" s="270" t="e">
        <f>VLOOKUP($A88,INICIO!$A$5:$J$72,10,FALSE)</f>
        <v>#N/A</v>
      </c>
      <c r="BE88" s="11"/>
      <c r="BF88" s="204" t="str">
        <f>IFERROR(IF(BE88&gt;0,"",BE88*VLOOKUP($A88,'VALOR I.'!$B$6:$K$418,10,FALSE)),"")</f>
        <v/>
      </c>
    </row>
    <row r="89" spans="1:58" ht="15.75" hidden="1" customHeight="1" x14ac:dyDescent="0.25">
      <c r="B89" s="211"/>
      <c r="C89" s="239" t="e">
        <f>VLOOKUP($A89,INICIO!$A$5:$J$72,3,FALSE)</f>
        <v>#N/A</v>
      </c>
      <c r="D89" s="9" t="e">
        <f>VLOOKUP($A89,REPOSICIONES!$A$5:$J$72,3,FALSE)</f>
        <v>#N/A</v>
      </c>
      <c r="E89" s="79" t="e">
        <f t="shared" si="36"/>
        <v>#N/A</v>
      </c>
      <c r="F89" s="80" t="str">
        <f>IFERROR(VLOOKUP($A89,VENTAS!$H$2:$O$201,2,FALSE),"")</f>
        <v/>
      </c>
      <c r="G89" s="9" t="str">
        <f t="shared" si="37"/>
        <v/>
      </c>
      <c r="H89" s="9" t="e">
        <f>VLOOKUP($A89,INICIO!$A$5:$J$72,4,FALSE)</f>
        <v>#N/A</v>
      </c>
      <c r="I89" s="11"/>
      <c r="J89" s="242" t="str">
        <f>IFERROR(IF(I89&gt;0,"",I89*VLOOKUP($A89,'VALOR I.'!$B$6:$K$418,10,FALSE)),"")</f>
        <v/>
      </c>
      <c r="K89" s="276" t="e">
        <f>VLOOKUP($A89,INICIO!$A$5:$J$72,4,FALSE)</f>
        <v>#N/A</v>
      </c>
      <c r="L89" s="232" t="e">
        <f>VLOOKUP($A89,REPOSICIONES!$A$5:$J$72,4,FALSE)</f>
        <v>#N/A</v>
      </c>
      <c r="M89" s="79" t="e">
        <f t="shared" si="38"/>
        <v>#N/A</v>
      </c>
      <c r="N89" s="230" t="str">
        <f>IFERROR(VLOOKUP($A89,VENTAS!$H$2:$O$201,3,FALSE),"")</f>
        <v/>
      </c>
      <c r="O89" s="267" t="str">
        <f t="shared" si="39"/>
        <v/>
      </c>
      <c r="P89" s="270" t="e">
        <f>VLOOKUP($A89,INICIO!$A$5:$J$72,5,FALSE)</f>
        <v>#N/A</v>
      </c>
      <c r="Q89" s="11"/>
      <c r="R89" s="242" t="str">
        <f>IFERROR(IF(Q89&gt;0,"",Q89*VLOOKUP($A89,'VALOR I.'!$B$6:$K$418,10,FALSE)),"")</f>
        <v/>
      </c>
      <c r="S89" s="276" t="e">
        <f>VLOOKUP($A89,INICIO!$A$5:$J$72,5,FALSE)</f>
        <v>#N/A</v>
      </c>
      <c r="T89" s="232" t="e">
        <f>VLOOKUP($A89,REPOSICIONES!$A$5:$J$72,5,FALSE)</f>
        <v>#N/A</v>
      </c>
      <c r="U89" s="79" t="e">
        <f t="shared" si="40"/>
        <v>#N/A</v>
      </c>
      <c r="V89" s="230" t="str">
        <f>IFERROR(VLOOKUP($A89,VENTAS!$H$2:$O$201,4,FALSE),"")</f>
        <v/>
      </c>
      <c r="W89" s="10" t="str">
        <f t="shared" si="41"/>
        <v/>
      </c>
      <c r="X89" s="270" t="e">
        <f>VLOOKUP($A89,INICIO!$A$5:$J$72,6,FALSE)</f>
        <v>#N/A</v>
      </c>
      <c r="Y89" s="11"/>
      <c r="Z89" s="242" t="str">
        <f>IFERROR(IF(Y89&gt;0,"",Y89*VLOOKUP($A89,'VALOR I.'!$B$6:$K$418,10,FALSE)),"")</f>
        <v/>
      </c>
      <c r="AA89" s="276" t="e">
        <f>VLOOKUP($A89,INICIO!$A$5:$J$72,6,FALSE)</f>
        <v>#N/A</v>
      </c>
      <c r="AB89" s="232" t="e">
        <f>VLOOKUP($A89,REPOSICIONES!$A$5:$J$72,6,FALSE)</f>
        <v>#N/A</v>
      </c>
      <c r="AC89" s="79" t="e">
        <f t="shared" si="42"/>
        <v>#N/A</v>
      </c>
      <c r="AD89" s="230" t="str">
        <f>IFERROR(VLOOKUP($A89,VENTAS!$H$2:$O$201,5,FALSE),"")</f>
        <v/>
      </c>
      <c r="AE89" s="10" t="str">
        <f t="shared" si="43"/>
        <v/>
      </c>
      <c r="AF89" s="270" t="e">
        <f>VLOOKUP($A89,INICIO!$A$5:$J$72,7,FALSE)</f>
        <v>#N/A</v>
      </c>
      <c r="AG89" s="11"/>
      <c r="AH89" s="242" t="str">
        <f>IFERROR(IF(AG89&gt;0,"",AG89*VLOOKUP($A89,'VALOR I.'!$B$6:$K$418,10,FALSE)),"")</f>
        <v/>
      </c>
      <c r="AI89" s="269" t="e">
        <f>VLOOKUP($A89,INICIO!$A$5:$J$72,7,FALSE)</f>
        <v>#N/A</v>
      </c>
      <c r="AJ89" s="232" t="e">
        <f>VLOOKUP($A89,REPOSICIONES!$A$5:$J$72,7,FALSE)</f>
        <v>#N/A</v>
      </c>
      <c r="AK89" s="79" t="e">
        <f t="shared" si="44"/>
        <v>#N/A</v>
      </c>
      <c r="AL89" s="230" t="str">
        <f>IFERROR(VLOOKUP($A89,VENTAS!$H$2:$O$201,6,FALSE),"")</f>
        <v/>
      </c>
      <c r="AM89" s="10" t="str">
        <f t="shared" si="45"/>
        <v/>
      </c>
      <c r="AN89" s="270" t="e">
        <f>VLOOKUP($A89,INICIO!$A$5:$J$72,8,FALSE)</f>
        <v>#N/A</v>
      </c>
      <c r="AO89" s="11"/>
      <c r="AP89" s="204" t="str">
        <f>IFERROR(IF(AO89&gt;0,"",AO89*VLOOKUP($A89,'VALOR I.'!$B$6:$K$418,10,FALSE)),"")</f>
        <v/>
      </c>
      <c r="AQ89" s="269" t="e">
        <f>VLOOKUP($A89,INICIO!$A$5:$J$72,8,FALSE)</f>
        <v>#N/A</v>
      </c>
      <c r="AR89" s="232" t="e">
        <f>VLOOKUP($A89,REPOSICIONES!$A$5:$J$72,8,FALSE)</f>
        <v>#N/A</v>
      </c>
      <c r="AS89" s="79" t="e">
        <f t="shared" si="46"/>
        <v>#N/A</v>
      </c>
      <c r="AT89" s="230" t="str">
        <f>IFERROR(VLOOKUP($A89,VENTAS!$H$2:$O$201,7,FALSE),"")</f>
        <v/>
      </c>
      <c r="AU89" s="10" t="str">
        <f t="shared" si="47"/>
        <v/>
      </c>
      <c r="AV89" s="270" t="e">
        <f>VLOOKUP($A89,INICIO!$A$5:$J$72,9,FALSE)</f>
        <v>#N/A</v>
      </c>
      <c r="AW89" s="11"/>
      <c r="AX89" s="204" t="str">
        <f>IFERROR(IF(AW89&gt;0,"",AW89*VLOOKUP($A89,'VALOR I.'!$B$6:$K$418,10,FALSE)),"")</f>
        <v/>
      </c>
      <c r="AY89" s="269" t="e">
        <f>VLOOKUP($A89,INICIO!$A$5:$J$72,9,FALSE)</f>
        <v>#N/A</v>
      </c>
      <c r="AZ89" s="232" t="e">
        <f>VLOOKUP($A89,REPOSICIONES!$A$5:$J$72,9,FALSE)</f>
        <v>#N/A</v>
      </c>
      <c r="BA89" s="79" t="e">
        <f t="shared" si="48"/>
        <v>#N/A</v>
      </c>
      <c r="BB89" s="230" t="str">
        <f>IFERROR(VLOOKUP($A89,VENTAS!$H$2:$O$201,8,FALSE),"")</f>
        <v/>
      </c>
      <c r="BC89" s="10" t="str">
        <f t="shared" si="49"/>
        <v/>
      </c>
      <c r="BD89" s="270" t="e">
        <f>VLOOKUP($A89,INICIO!$A$5:$J$72,10,FALSE)</f>
        <v>#N/A</v>
      </c>
      <c r="BE89" s="11"/>
      <c r="BF89" s="204" t="str">
        <f>IFERROR(IF(BE89&gt;0,"",BE89*VLOOKUP($A89,'VALOR I.'!$B$6:$K$418,10,FALSE)),"")</f>
        <v/>
      </c>
    </row>
    <row r="90" spans="1:58" ht="15.75" hidden="1" customHeight="1" x14ac:dyDescent="0.25">
      <c r="B90" s="214"/>
      <c r="C90" s="239" t="e">
        <f>VLOOKUP($A90,INICIO!$A$5:$J$72,3,FALSE)</f>
        <v>#N/A</v>
      </c>
      <c r="D90" s="9" t="e">
        <f>VLOOKUP($A90,REPOSICIONES!$A$5:$J$72,3,FALSE)</f>
        <v>#N/A</v>
      </c>
      <c r="E90" s="79" t="e">
        <f t="shared" si="36"/>
        <v>#N/A</v>
      </c>
      <c r="F90" s="80" t="str">
        <f>IFERROR(VLOOKUP($A90,VENTAS!$H$2:$O$201,2,FALSE),"")</f>
        <v/>
      </c>
      <c r="G90" s="9" t="str">
        <f t="shared" si="37"/>
        <v/>
      </c>
      <c r="H90" s="9" t="e">
        <f>VLOOKUP($A90,INICIO!$A$5:$J$72,4,FALSE)</f>
        <v>#N/A</v>
      </c>
      <c r="I90" s="11"/>
      <c r="J90" s="242" t="str">
        <f>IFERROR(IF(I90&gt;0,"",I90*VLOOKUP($A90,'VALOR I.'!$B$6:$K$418,10,FALSE)),"")</f>
        <v/>
      </c>
      <c r="K90" s="276" t="e">
        <f>VLOOKUP($A90,INICIO!$A$5:$J$72,4,FALSE)</f>
        <v>#N/A</v>
      </c>
      <c r="L90" s="232" t="e">
        <f>VLOOKUP($A90,REPOSICIONES!$A$5:$J$72,4,FALSE)</f>
        <v>#N/A</v>
      </c>
      <c r="M90" s="79" t="e">
        <f t="shared" si="38"/>
        <v>#N/A</v>
      </c>
      <c r="N90" s="230" t="str">
        <f>IFERROR(VLOOKUP($A90,VENTAS!$H$2:$O$201,3,FALSE),"")</f>
        <v/>
      </c>
      <c r="O90" s="267" t="str">
        <f t="shared" si="39"/>
        <v/>
      </c>
      <c r="P90" s="270" t="e">
        <f>VLOOKUP($A90,INICIO!$A$5:$J$72,5,FALSE)</f>
        <v>#N/A</v>
      </c>
      <c r="Q90" s="11"/>
      <c r="R90" s="242" t="str">
        <f>IFERROR(IF(Q90&gt;0,"",Q90*VLOOKUP($A90,'VALOR I.'!$B$6:$K$418,10,FALSE)),"")</f>
        <v/>
      </c>
      <c r="S90" s="276" t="e">
        <f>VLOOKUP($A90,INICIO!$A$5:$J$72,5,FALSE)</f>
        <v>#N/A</v>
      </c>
      <c r="T90" s="232" t="e">
        <f>VLOOKUP($A90,REPOSICIONES!$A$5:$J$72,5,FALSE)</f>
        <v>#N/A</v>
      </c>
      <c r="U90" s="79" t="e">
        <f t="shared" si="40"/>
        <v>#N/A</v>
      </c>
      <c r="V90" s="230" t="str">
        <f>IFERROR(VLOOKUP($A90,VENTAS!$H$2:$O$201,4,FALSE),"")</f>
        <v/>
      </c>
      <c r="W90" s="10" t="str">
        <f t="shared" si="41"/>
        <v/>
      </c>
      <c r="X90" s="270" t="e">
        <f>VLOOKUP($A90,INICIO!$A$5:$J$72,6,FALSE)</f>
        <v>#N/A</v>
      </c>
      <c r="Y90" s="11"/>
      <c r="Z90" s="242" t="str">
        <f>IFERROR(IF(Y90&gt;0,"",Y90*VLOOKUP($A90,'VALOR I.'!$B$6:$K$418,10,FALSE)),"")</f>
        <v/>
      </c>
      <c r="AA90" s="276" t="e">
        <f>VLOOKUP($A90,INICIO!$A$5:$J$72,6,FALSE)</f>
        <v>#N/A</v>
      </c>
      <c r="AB90" s="232" t="e">
        <f>VLOOKUP($A90,REPOSICIONES!$A$5:$J$72,6,FALSE)</f>
        <v>#N/A</v>
      </c>
      <c r="AC90" s="79" t="e">
        <f t="shared" si="42"/>
        <v>#N/A</v>
      </c>
      <c r="AD90" s="230" t="str">
        <f>IFERROR(VLOOKUP($A90,VENTAS!$H$2:$O$201,5,FALSE),"")</f>
        <v/>
      </c>
      <c r="AE90" s="10" t="str">
        <f t="shared" si="43"/>
        <v/>
      </c>
      <c r="AF90" s="270" t="e">
        <f>VLOOKUP($A90,INICIO!$A$5:$J$72,7,FALSE)</f>
        <v>#N/A</v>
      </c>
      <c r="AG90" s="11"/>
      <c r="AH90" s="242" t="str">
        <f>IFERROR(IF(AG90&gt;0,"",AG90*VLOOKUP($A90,'VALOR I.'!$B$6:$K$418,10,FALSE)),"")</f>
        <v/>
      </c>
      <c r="AI90" s="269" t="e">
        <f>VLOOKUP($A90,INICIO!$A$5:$J$72,7,FALSE)</f>
        <v>#N/A</v>
      </c>
      <c r="AJ90" s="232" t="e">
        <f>VLOOKUP($A90,REPOSICIONES!$A$5:$J$72,7,FALSE)</f>
        <v>#N/A</v>
      </c>
      <c r="AK90" s="79" t="e">
        <f t="shared" si="44"/>
        <v>#N/A</v>
      </c>
      <c r="AL90" s="230" t="str">
        <f>IFERROR(VLOOKUP($A90,VENTAS!$H$2:$O$201,6,FALSE),"")</f>
        <v/>
      </c>
      <c r="AM90" s="10" t="str">
        <f t="shared" si="45"/>
        <v/>
      </c>
      <c r="AN90" s="270" t="e">
        <f>VLOOKUP($A90,INICIO!$A$5:$J$72,8,FALSE)</f>
        <v>#N/A</v>
      </c>
      <c r="AO90" s="11"/>
      <c r="AP90" s="204" t="str">
        <f>IFERROR(IF(AO90&gt;0,"",AO90*VLOOKUP($A90,'VALOR I.'!$B$6:$K$418,10,FALSE)),"")</f>
        <v/>
      </c>
      <c r="AQ90" s="269" t="e">
        <f>VLOOKUP($A90,INICIO!$A$5:$J$72,8,FALSE)</f>
        <v>#N/A</v>
      </c>
      <c r="AR90" s="232" t="e">
        <f>VLOOKUP($A90,REPOSICIONES!$A$5:$J$72,8,FALSE)</f>
        <v>#N/A</v>
      </c>
      <c r="AS90" s="79" t="e">
        <f t="shared" si="46"/>
        <v>#N/A</v>
      </c>
      <c r="AT90" s="230" t="str">
        <f>IFERROR(VLOOKUP($A90,VENTAS!$H$2:$O$201,7,FALSE),"")</f>
        <v/>
      </c>
      <c r="AU90" s="10" t="str">
        <f t="shared" si="47"/>
        <v/>
      </c>
      <c r="AV90" s="270" t="e">
        <f>VLOOKUP($A90,INICIO!$A$5:$J$72,9,FALSE)</f>
        <v>#N/A</v>
      </c>
      <c r="AW90" s="11"/>
      <c r="AX90" s="204" t="str">
        <f>IFERROR(IF(AW90&gt;0,"",AW90*VLOOKUP($A90,'VALOR I.'!$B$6:$K$418,10,FALSE)),"")</f>
        <v/>
      </c>
      <c r="AY90" s="269" t="e">
        <f>VLOOKUP($A90,INICIO!$A$5:$J$72,9,FALSE)</f>
        <v>#N/A</v>
      </c>
      <c r="AZ90" s="232" t="e">
        <f>VLOOKUP($A90,REPOSICIONES!$A$5:$J$72,9,FALSE)</f>
        <v>#N/A</v>
      </c>
      <c r="BA90" s="79" t="e">
        <f t="shared" si="48"/>
        <v>#N/A</v>
      </c>
      <c r="BB90" s="230" t="str">
        <f>IFERROR(VLOOKUP($A90,VENTAS!$H$2:$O$201,8,FALSE),"")</f>
        <v/>
      </c>
      <c r="BC90" s="10" t="str">
        <f t="shared" si="49"/>
        <v/>
      </c>
      <c r="BD90" s="270" t="e">
        <f>VLOOKUP($A90,INICIO!$A$5:$J$72,10,FALSE)</f>
        <v>#N/A</v>
      </c>
      <c r="BE90" s="11"/>
      <c r="BF90" s="204" t="str">
        <f>IFERROR(IF(BE90&gt;0,"",BE90*VLOOKUP($A90,'VALOR I.'!$B$6:$K$418,10,FALSE)),"")</f>
        <v/>
      </c>
    </row>
    <row r="91" spans="1:58" ht="15.75" hidden="1" customHeight="1" x14ac:dyDescent="0.25">
      <c r="B91" s="211"/>
      <c r="C91" s="239" t="e">
        <f>VLOOKUP($A91,INICIO!$A$5:$J$72,3,FALSE)</f>
        <v>#N/A</v>
      </c>
      <c r="D91" s="9" t="e">
        <f>VLOOKUP($A91,REPOSICIONES!$A$5:$J$72,3,FALSE)</f>
        <v>#N/A</v>
      </c>
      <c r="E91" s="79" t="e">
        <f t="shared" si="36"/>
        <v>#N/A</v>
      </c>
      <c r="F91" s="80" t="str">
        <f>IFERROR(VLOOKUP($A91,VENTAS!$H$2:$O$201,2,FALSE),"")</f>
        <v/>
      </c>
      <c r="G91" s="9" t="str">
        <f t="shared" si="37"/>
        <v/>
      </c>
      <c r="H91" s="9" t="e">
        <f>VLOOKUP($A91,INICIO!$A$5:$J$72,4,FALSE)</f>
        <v>#N/A</v>
      </c>
      <c r="I91" s="11"/>
      <c r="J91" s="242" t="str">
        <f>IFERROR(IF(I91&gt;0,"",I91*VLOOKUP($A91,'VALOR I.'!$B$6:$K$418,10,FALSE)),"")</f>
        <v/>
      </c>
      <c r="K91" s="276" t="e">
        <f>VLOOKUP($A91,INICIO!$A$5:$J$72,4,FALSE)</f>
        <v>#N/A</v>
      </c>
      <c r="L91" s="232" t="e">
        <f>VLOOKUP($A91,REPOSICIONES!$A$5:$J$72,4,FALSE)</f>
        <v>#N/A</v>
      </c>
      <c r="M91" s="79" t="e">
        <f t="shared" si="38"/>
        <v>#N/A</v>
      </c>
      <c r="N91" s="230" t="str">
        <f>IFERROR(VLOOKUP($A91,VENTAS!$H$2:$O$201,3,FALSE),"")</f>
        <v/>
      </c>
      <c r="O91" s="267" t="str">
        <f t="shared" si="39"/>
        <v/>
      </c>
      <c r="P91" s="270" t="e">
        <f>VLOOKUP($A91,INICIO!$A$5:$J$72,5,FALSE)</f>
        <v>#N/A</v>
      </c>
      <c r="Q91" s="11"/>
      <c r="R91" s="242" t="str">
        <f>IFERROR(IF(Q91&gt;0,"",Q91*VLOOKUP($A91,'VALOR I.'!$B$6:$K$418,10,FALSE)),"")</f>
        <v/>
      </c>
      <c r="S91" s="276" t="e">
        <f>VLOOKUP($A91,INICIO!$A$5:$J$72,5,FALSE)</f>
        <v>#N/A</v>
      </c>
      <c r="T91" s="232" t="e">
        <f>VLOOKUP($A91,REPOSICIONES!$A$5:$J$72,5,FALSE)</f>
        <v>#N/A</v>
      </c>
      <c r="U91" s="79" t="e">
        <f t="shared" si="40"/>
        <v>#N/A</v>
      </c>
      <c r="V91" s="230" t="str">
        <f>IFERROR(VLOOKUP($A91,VENTAS!$H$2:$O$201,4,FALSE),"")</f>
        <v/>
      </c>
      <c r="W91" s="10" t="str">
        <f t="shared" si="41"/>
        <v/>
      </c>
      <c r="X91" s="270" t="e">
        <f>VLOOKUP($A91,INICIO!$A$5:$J$72,6,FALSE)</f>
        <v>#N/A</v>
      </c>
      <c r="Y91" s="11"/>
      <c r="Z91" s="242" t="str">
        <f>IFERROR(IF(Y91&gt;0,"",Y91*VLOOKUP($A91,'VALOR I.'!$B$6:$K$418,10,FALSE)),"")</f>
        <v/>
      </c>
      <c r="AA91" s="276" t="e">
        <f>VLOOKUP($A91,INICIO!$A$5:$J$72,6,FALSE)</f>
        <v>#N/A</v>
      </c>
      <c r="AB91" s="232" t="e">
        <f>VLOOKUP($A91,REPOSICIONES!$A$5:$J$72,6,FALSE)</f>
        <v>#N/A</v>
      </c>
      <c r="AC91" s="79" t="e">
        <f t="shared" si="42"/>
        <v>#N/A</v>
      </c>
      <c r="AD91" s="230" t="str">
        <f>IFERROR(VLOOKUP($A91,VENTAS!$H$2:$O$201,5,FALSE),"")</f>
        <v/>
      </c>
      <c r="AE91" s="10" t="str">
        <f t="shared" si="43"/>
        <v/>
      </c>
      <c r="AF91" s="270" t="e">
        <f>VLOOKUP($A91,INICIO!$A$5:$J$72,7,FALSE)</f>
        <v>#N/A</v>
      </c>
      <c r="AG91" s="11"/>
      <c r="AH91" s="242" t="str">
        <f>IFERROR(IF(AG91&gt;0,"",AG91*VLOOKUP($A91,'VALOR I.'!$B$6:$K$418,10,FALSE)),"")</f>
        <v/>
      </c>
      <c r="AI91" s="269" t="e">
        <f>VLOOKUP($A91,INICIO!$A$5:$J$72,7,FALSE)</f>
        <v>#N/A</v>
      </c>
      <c r="AJ91" s="232" t="e">
        <f>VLOOKUP($A91,REPOSICIONES!$A$5:$J$72,7,FALSE)</f>
        <v>#N/A</v>
      </c>
      <c r="AK91" s="79" t="e">
        <f t="shared" si="44"/>
        <v>#N/A</v>
      </c>
      <c r="AL91" s="230" t="str">
        <f>IFERROR(VLOOKUP($A91,VENTAS!$H$2:$O$201,6,FALSE),"")</f>
        <v/>
      </c>
      <c r="AM91" s="10" t="str">
        <f t="shared" si="45"/>
        <v/>
      </c>
      <c r="AN91" s="270" t="e">
        <f>VLOOKUP($A91,INICIO!$A$5:$J$72,8,FALSE)</f>
        <v>#N/A</v>
      </c>
      <c r="AO91" s="11"/>
      <c r="AP91" s="204" t="str">
        <f>IFERROR(IF(AO91&gt;0,"",AO91*VLOOKUP($A91,'VALOR I.'!$B$6:$K$418,10,FALSE)),"")</f>
        <v/>
      </c>
      <c r="AQ91" s="269" t="e">
        <f>VLOOKUP($A91,INICIO!$A$5:$J$72,8,FALSE)</f>
        <v>#N/A</v>
      </c>
      <c r="AR91" s="232" t="e">
        <f>VLOOKUP($A91,REPOSICIONES!$A$5:$J$72,8,FALSE)</f>
        <v>#N/A</v>
      </c>
      <c r="AS91" s="79" t="e">
        <f t="shared" si="46"/>
        <v>#N/A</v>
      </c>
      <c r="AT91" s="230" t="str">
        <f>IFERROR(VLOOKUP($A91,VENTAS!$H$2:$O$201,7,FALSE),"")</f>
        <v/>
      </c>
      <c r="AU91" s="10" t="str">
        <f t="shared" si="47"/>
        <v/>
      </c>
      <c r="AV91" s="270" t="e">
        <f>VLOOKUP($A91,INICIO!$A$5:$J$72,9,FALSE)</f>
        <v>#N/A</v>
      </c>
      <c r="AW91" s="11"/>
      <c r="AX91" s="204" t="str">
        <f>IFERROR(IF(AW91&gt;0,"",AW91*VLOOKUP($A91,'VALOR I.'!$B$6:$K$418,10,FALSE)),"")</f>
        <v/>
      </c>
      <c r="AY91" s="269" t="e">
        <f>VLOOKUP($A91,INICIO!$A$5:$J$72,9,FALSE)</f>
        <v>#N/A</v>
      </c>
      <c r="AZ91" s="232" t="e">
        <f>VLOOKUP($A91,REPOSICIONES!$A$5:$J$72,9,FALSE)</f>
        <v>#N/A</v>
      </c>
      <c r="BA91" s="79" t="e">
        <f t="shared" si="48"/>
        <v>#N/A</v>
      </c>
      <c r="BB91" s="230" t="str">
        <f>IFERROR(VLOOKUP($A91,VENTAS!$H$2:$O$201,8,FALSE),"")</f>
        <v/>
      </c>
      <c r="BC91" s="10" t="str">
        <f t="shared" si="49"/>
        <v/>
      </c>
      <c r="BD91" s="270" t="e">
        <f>VLOOKUP($A91,INICIO!$A$5:$J$72,10,FALSE)</f>
        <v>#N/A</v>
      </c>
      <c r="BE91" s="11"/>
      <c r="BF91" s="204" t="str">
        <f>IFERROR(IF(BE91&gt;0,"",BE91*VLOOKUP($A91,'VALOR I.'!$B$6:$K$418,10,FALSE)),"")</f>
        <v/>
      </c>
    </row>
    <row r="92" spans="1:58" ht="15.75" hidden="1" customHeight="1" x14ac:dyDescent="0.25">
      <c r="B92" s="211"/>
      <c r="C92" s="239" t="e">
        <f>VLOOKUP($A92,INICIO!$A$5:$J$72,3,FALSE)</f>
        <v>#N/A</v>
      </c>
      <c r="D92" s="9" t="e">
        <f>VLOOKUP($A92,REPOSICIONES!$A$5:$J$72,3,FALSE)</f>
        <v>#N/A</v>
      </c>
      <c r="E92" s="79" t="e">
        <f t="shared" si="36"/>
        <v>#N/A</v>
      </c>
      <c r="F92" s="80" t="str">
        <f>IFERROR(VLOOKUP($A92,VENTAS!$H$2:$O$201,2,FALSE),"")</f>
        <v/>
      </c>
      <c r="G92" s="9" t="str">
        <f t="shared" si="37"/>
        <v/>
      </c>
      <c r="H92" s="9" t="e">
        <f>VLOOKUP($A92,INICIO!$A$5:$J$72,4,FALSE)</f>
        <v>#N/A</v>
      </c>
      <c r="I92" s="11"/>
      <c r="J92" s="242" t="str">
        <f>IFERROR(IF(I92&gt;0,"",I92*VLOOKUP($A92,'VALOR I.'!$B$6:$K$418,10,FALSE)),"")</f>
        <v/>
      </c>
      <c r="K92" s="276" t="e">
        <f>VLOOKUP($A92,INICIO!$A$5:$J$72,4,FALSE)</f>
        <v>#N/A</v>
      </c>
      <c r="L92" s="232" t="e">
        <f>VLOOKUP($A92,REPOSICIONES!$A$5:$J$72,4,FALSE)</f>
        <v>#N/A</v>
      </c>
      <c r="M92" s="79" t="e">
        <f t="shared" si="38"/>
        <v>#N/A</v>
      </c>
      <c r="N92" s="230" t="str">
        <f>IFERROR(VLOOKUP($A92,VENTAS!$H$2:$O$201,3,FALSE),"")</f>
        <v/>
      </c>
      <c r="O92" s="267" t="str">
        <f t="shared" si="39"/>
        <v/>
      </c>
      <c r="P92" s="270" t="e">
        <f>VLOOKUP($A92,INICIO!$A$5:$J$72,5,FALSE)</f>
        <v>#N/A</v>
      </c>
      <c r="Q92" s="11"/>
      <c r="R92" s="242" t="str">
        <f>IFERROR(IF(Q92&gt;0,"",Q92*VLOOKUP($A92,'VALOR I.'!$B$6:$K$418,10,FALSE)),"")</f>
        <v/>
      </c>
      <c r="S92" s="276" t="e">
        <f>VLOOKUP($A92,INICIO!$A$5:$J$72,5,FALSE)</f>
        <v>#N/A</v>
      </c>
      <c r="T92" s="232" t="e">
        <f>VLOOKUP($A92,REPOSICIONES!$A$5:$J$72,5,FALSE)</f>
        <v>#N/A</v>
      </c>
      <c r="U92" s="79" t="e">
        <f t="shared" si="40"/>
        <v>#N/A</v>
      </c>
      <c r="V92" s="230" t="str">
        <f>IFERROR(VLOOKUP($A92,VENTAS!$H$2:$O$201,4,FALSE),"")</f>
        <v/>
      </c>
      <c r="W92" s="10" t="str">
        <f t="shared" si="41"/>
        <v/>
      </c>
      <c r="X92" s="270" t="e">
        <f>VLOOKUP($A92,INICIO!$A$5:$J$72,6,FALSE)</f>
        <v>#N/A</v>
      </c>
      <c r="Y92" s="11"/>
      <c r="Z92" s="242" t="str">
        <f>IFERROR(IF(Y92&gt;0,"",Y92*VLOOKUP($A92,'VALOR I.'!$B$6:$K$418,10,FALSE)),"")</f>
        <v/>
      </c>
      <c r="AA92" s="276" t="e">
        <f>VLOOKUP($A92,INICIO!$A$5:$J$72,6,FALSE)</f>
        <v>#N/A</v>
      </c>
      <c r="AB92" s="232" t="e">
        <f>VLOOKUP($A92,REPOSICIONES!$A$5:$J$72,6,FALSE)</f>
        <v>#N/A</v>
      </c>
      <c r="AC92" s="79" t="e">
        <f t="shared" si="42"/>
        <v>#N/A</v>
      </c>
      <c r="AD92" s="230" t="str">
        <f>IFERROR(VLOOKUP($A92,VENTAS!$H$2:$O$201,5,FALSE),"")</f>
        <v/>
      </c>
      <c r="AE92" s="10" t="str">
        <f t="shared" si="43"/>
        <v/>
      </c>
      <c r="AF92" s="270" t="e">
        <f>VLOOKUP($A92,INICIO!$A$5:$J$72,7,FALSE)</f>
        <v>#N/A</v>
      </c>
      <c r="AG92" s="11"/>
      <c r="AH92" s="242" t="str">
        <f>IFERROR(IF(AG92&gt;0,"",AG92*VLOOKUP($A92,'VALOR I.'!$B$6:$K$418,10,FALSE)),"")</f>
        <v/>
      </c>
      <c r="AI92" s="269" t="e">
        <f>VLOOKUP($A92,INICIO!$A$5:$J$72,7,FALSE)</f>
        <v>#N/A</v>
      </c>
      <c r="AJ92" s="232" t="e">
        <f>VLOOKUP($A92,REPOSICIONES!$A$5:$J$72,7,FALSE)</f>
        <v>#N/A</v>
      </c>
      <c r="AK92" s="79" t="e">
        <f t="shared" si="44"/>
        <v>#N/A</v>
      </c>
      <c r="AL92" s="230" t="str">
        <f>IFERROR(VLOOKUP($A92,VENTAS!$H$2:$O$201,6,FALSE),"")</f>
        <v/>
      </c>
      <c r="AM92" s="10" t="str">
        <f t="shared" si="45"/>
        <v/>
      </c>
      <c r="AN92" s="270" t="e">
        <f>VLOOKUP($A92,INICIO!$A$5:$J$72,8,FALSE)</f>
        <v>#N/A</v>
      </c>
      <c r="AO92" s="11"/>
      <c r="AP92" s="204" t="str">
        <f>IFERROR(IF(AO92&gt;0,"",AO92*VLOOKUP($A92,'VALOR I.'!$B$6:$K$418,10,FALSE)),"")</f>
        <v/>
      </c>
      <c r="AQ92" s="269" t="e">
        <f>VLOOKUP($A92,INICIO!$A$5:$J$72,8,FALSE)</f>
        <v>#N/A</v>
      </c>
      <c r="AR92" s="232" t="e">
        <f>VLOOKUP($A92,REPOSICIONES!$A$5:$J$72,8,FALSE)</f>
        <v>#N/A</v>
      </c>
      <c r="AS92" s="79" t="e">
        <f t="shared" si="46"/>
        <v>#N/A</v>
      </c>
      <c r="AT92" s="230" t="str">
        <f>IFERROR(VLOOKUP($A92,VENTAS!$H$2:$O$201,7,FALSE),"")</f>
        <v/>
      </c>
      <c r="AU92" s="10" t="str">
        <f t="shared" si="47"/>
        <v/>
      </c>
      <c r="AV92" s="270" t="e">
        <f>VLOOKUP($A92,INICIO!$A$5:$J$72,9,FALSE)</f>
        <v>#N/A</v>
      </c>
      <c r="AW92" s="11"/>
      <c r="AX92" s="204" t="str">
        <f>IFERROR(IF(AW92&gt;0,"",AW92*VLOOKUP($A92,'VALOR I.'!$B$6:$K$418,10,FALSE)),"")</f>
        <v/>
      </c>
      <c r="AY92" s="269" t="e">
        <f>VLOOKUP($A92,INICIO!$A$5:$J$72,9,FALSE)</f>
        <v>#N/A</v>
      </c>
      <c r="AZ92" s="232" t="e">
        <f>VLOOKUP($A92,REPOSICIONES!$A$5:$J$72,9,FALSE)</f>
        <v>#N/A</v>
      </c>
      <c r="BA92" s="79" t="e">
        <f t="shared" si="48"/>
        <v>#N/A</v>
      </c>
      <c r="BB92" s="230" t="str">
        <f>IFERROR(VLOOKUP($A92,VENTAS!$H$2:$O$201,8,FALSE),"")</f>
        <v/>
      </c>
      <c r="BC92" s="10" t="str">
        <f t="shared" si="49"/>
        <v/>
      </c>
      <c r="BD92" s="270" t="e">
        <f>VLOOKUP($A92,INICIO!$A$5:$J$72,10,FALSE)</f>
        <v>#N/A</v>
      </c>
      <c r="BE92" s="11"/>
      <c r="BF92" s="204" t="str">
        <f>IFERROR(IF(BE92&gt;0,"",BE92*VLOOKUP($A92,'VALOR I.'!$B$6:$K$418,10,FALSE)),"")</f>
        <v/>
      </c>
    </row>
    <row r="93" spans="1:58" ht="15.75" hidden="1" customHeight="1" x14ac:dyDescent="0.25">
      <c r="A93" s="66"/>
      <c r="B93" s="211"/>
      <c r="C93" s="239" t="e">
        <f>VLOOKUP($A93,INICIO!$A$5:$J$72,3,FALSE)</f>
        <v>#N/A</v>
      </c>
      <c r="D93" s="9" t="e">
        <f>VLOOKUP($A93,REPOSICIONES!$A$5:$J$72,3,FALSE)</f>
        <v>#N/A</v>
      </c>
      <c r="E93" s="79" t="e">
        <f t="shared" si="36"/>
        <v>#N/A</v>
      </c>
      <c r="F93" s="80" t="str">
        <f>IFERROR(VLOOKUP($A93,VENTAS!$H$2:$O$201,2,FALSE),"")</f>
        <v/>
      </c>
      <c r="G93" s="9" t="str">
        <f t="shared" si="37"/>
        <v/>
      </c>
      <c r="H93" s="9" t="e">
        <f>VLOOKUP($A93,INICIO!$A$5:$J$72,4,FALSE)</f>
        <v>#N/A</v>
      </c>
      <c r="I93" s="11"/>
      <c r="J93" s="242" t="str">
        <f>IFERROR(IF(I93&gt;0,"",I93*VLOOKUP($A93,'VALOR I.'!$B$6:$K$418,10,FALSE)),"")</f>
        <v/>
      </c>
      <c r="K93" s="276" t="e">
        <f>VLOOKUP($A93,INICIO!$A$5:$J$72,4,FALSE)</f>
        <v>#N/A</v>
      </c>
      <c r="L93" s="232" t="e">
        <f>VLOOKUP($A93,REPOSICIONES!$A$5:$J$72,4,FALSE)</f>
        <v>#N/A</v>
      </c>
      <c r="M93" s="79" t="e">
        <f t="shared" si="38"/>
        <v>#N/A</v>
      </c>
      <c r="N93" s="230" t="str">
        <f>IFERROR(VLOOKUP($A93,VENTAS!$H$2:$O$201,3,FALSE),"")</f>
        <v/>
      </c>
      <c r="O93" s="267" t="str">
        <f t="shared" si="39"/>
        <v/>
      </c>
      <c r="P93" s="270" t="e">
        <f>VLOOKUP($A93,INICIO!$A$5:$J$72,5,FALSE)</f>
        <v>#N/A</v>
      </c>
      <c r="Q93" s="11"/>
      <c r="R93" s="242" t="str">
        <f>IFERROR(IF(Q93&gt;0,"",Q93*VLOOKUP($A93,'VALOR I.'!$B$6:$K$418,10,FALSE)),"")</f>
        <v/>
      </c>
      <c r="S93" s="276" t="e">
        <f>VLOOKUP($A93,INICIO!$A$5:$J$72,5,FALSE)</f>
        <v>#N/A</v>
      </c>
      <c r="T93" s="232" t="e">
        <f>VLOOKUP($A93,REPOSICIONES!$A$5:$J$72,5,FALSE)</f>
        <v>#N/A</v>
      </c>
      <c r="U93" s="79" t="e">
        <f t="shared" si="40"/>
        <v>#N/A</v>
      </c>
      <c r="V93" s="230" t="str">
        <f>IFERROR(VLOOKUP($A93,VENTAS!$H$2:$O$201,4,FALSE),"")</f>
        <v/>
      </c>
      <c r="W93" s="10" t="str">
        <f t="shared" si="41"/>
        <v/>
      </c>
      <c r="X93" s="270" t="e">
        <f>VLOOKUP($A93,INICIO!$A$5:$J$72,6,FALSE)</f>
        <v>#N/A</v>
      </c>
      <c r="Y93" s="11"/>
      <c r="Z93" s="242" t="str">
        <f>IFERROR(IF(Y93&gt;0,"",Y93*VLOOKUP($A93,'VALOR I.'!$B$6:$K$418,10,FALSE)),"")</f>
        <v/>
      </c>
      <c r="AA93" s="276" t="e">
        <f>VLOOKUP($A93,INICIO!$A$5:$J$72,6,FALSE)</f>
        <v>#N/A</v>
      </c>
      <c r="AB93" s="232" t="e">
        <f>VLOOKUP($A93,REPOSICIONES!$A$5:$J$72,6,FALSE)</f>
        <v>#N/A</v>
      </c>
      <c r="AC93" s="79" t="e">
        <f t="shared" si="42"/>
        <v>#N/A</v>
      </c>
      <c r="AD93" s="230" t="str">
        <f>IFERROR(VLOOKUP($A93,VENTAS!$H$2:$O$201,5,FALSE),"")</f>
        <v/>
      </c>
      <c r="AE93" s="10" t="str">
        <f t="shared" si="43"/>
        <v/>
      </c>
      <c r="AF93" s="270" t="e">
        <f>VLOOKUP($A93,INICIO!$A$5:$J$72,7,FALSE)</f>
        <v>#N/A</v>
      </c>
      <c r="AG93" s="11"/>
      <c r="AH93" s="242" t="str">
        <f>IFERROR(IF(AG93&gt;0,"",AG93*VLOOKUP($A93,'VALOR I.'!$B$6:$K$418,10,FALSE)),"")</f>
        <v/>
      </c>
      <c r="AI93" s="269" t="e">
        <f>VLOOKUP($A93,INICIO!$A$5:$J$72,7,FALSE)</f>
        <v>#N/A</v>
      </c>
      <c r="AJ93" s="232" t="e">
        <f>VLOOKUP($A93,REPOSICIONES!$A$5:$J$72,7,FALSE)</f>
        <v>#N/A</v>
      </c>
      <c r="AK93" s="79" t="e">
        <f t="shared" si="44"/>
        <v>#N/A</v>
      </c>
      <c r="AL93" s="230" t="str">
        <f>IFERROR(VLOOKUP($A93,VENTAS!$H$2:$O$201,6,FALSE),"")</f>
        <v/>
      </c>
      <c r="AM93" s="10" t="str">
        <f t="shared" si="45"/>
        <v/>
      </c>
      <c r="AN93" s="270" t="e">
        <f>VLOOKUP($A93,INICIO!$A$5:$J$72,8,FALSE)</f>
        <v>#N/A</v>
      </c>
      <c r="AO93" s="11"/>
      <c r="AP93" s="204" t="str">
        <f>IFERROR(IF(AO93&gt;0,"",AO93*VLOOKUP($A93,'VALOR I.'!$B$6:$K$418,10,FALSE)),"")</f>
        <v/>
      </c>
      <c r="AQ93" s="269" t="e">
        <f>VLOOKUP($A93,INICIO!$A$5:$J$72,8,FALSE)</f>
        <v>#N/A</v>
      </c>
      <c r="AR93" s="232" t="e">
        <f>VLOOKUP($A93,REPOSICIONES!$A$5:$J$72,8,FALSE)</f>
        <v>#N/A</v>
      </c>
      <c r="AS93" s="79" t="e">
        <f t="shared" si="46"/>
        <v>#N/A</v>
      </c>
      <c r="AT93" s="230" t="str">
        <f>IFERROR(VLOOKUP($A93,VENTAS!$H$2:$O$201,7,FALSE),"")</f>
        <v/>
      </c>
      <c r="AU93" s="10" t="str">
        <f t="shared" si="47"/>
        <v/>
      </c>
      <c r="AV93" s="270" t="e">
        <f>VLOOKUP($A93,INICIO!$A$5:$J$72,9,FALSE)</f>
        <v>#N/A</v>
      </c>
      <c r="AW93" s="11"/>
      <c r="AX93" s="204" t="str">
        <f>IFERROR(IF(AW93&gt;0,"",AW93*VLOOKUP($A93,'VALOR I.'!$B$6:$K$418,10,FALSE)),"")</f>
        <v/>
      </c>
      <c r="AY93" s="269" t="e">
        <f>VLOOKUP($A93,INICIO!$A$5:$J$72,9,FALSE)</f>
        <v>#N/A</v>
      </c>
      <c r="AZ93" s="232" t="e">
        <f>VLOOKUP($A93,REPOSICIONES!$A$5:$J$72,9,FALSE)</f>
        <v>#N/A</v>
      </c>
      <c r="BA93" s="79" t="e">
        <f t="shared" si="48"/>
        <v>#N/A</v>
      </c>
      <c r="BB93" s="230" t="str">
        <f>IFERROR(VLOOKUP($A93,VENTAS!$H$2:$O$201,8,FALSE),"")</f>
        <v/>
      </c>
      <c r="BC93" s="10" t="str">
        <f t="shared" si="49"/>
        <v/>
      </c>
      <c r="BD93" s="270" t="e">
        <f>VLOOKUP($A93,INICIO!$A$5:$J$72,10,FALSE)</f>
        <v>#N/A</v>
      </c>
      <c r="BE93" s="11"/>
      <c r="BF93" s="204" t="str">
        <f>IFERROR(IF(BE93&gt;0,"",BE93*VLOOKUP($A93,'VALOR I.'!$B$6:$K$418,10,FALSE)),"")</f>
        <v/>
      </c>
    </row>
    <row r="94" spans="1:58" ht="15.75" hidden="1" customHeight="1" x14ac:dyDescent="0.25">
      <c r="B94" s="211"/>
      <c r="C94" s="239" t="e">
        <f>VLOOKUP($A94,INICIO!$A$5:$J$72,3,FALSE)</f>
        <v>#N/A</v>
      </c>
      <c r="D94" s="9" t="e">
        <f>VLOOKUP($A94,REPOSICIONES!$A$5:$J$72,3,FALSE)</f>
        <v>#N/A</v>
      </c>
      <c r="E94" s="79" t="e">
        <f t="shared" si="36"/>
        <v>#N/A</v>
      </c>
      <c r="F94" s="80" t="str">
        <f>IFERROR(VLOOKUP($A94,VENTAS!$H$2:$O$201,2,FALSE),"")</f>
        <v/>
      </c>
      <c r="G94" s="9" t="str">
        <f t="shared" si="37"/>
        <v/>
      </c>
      <c r="H94" s="9" t="e">
        <f>VLOOKUP($A94,INICIO!$A$5:$J$72,4,FALSE)</f>
        <v>#N/A</v>
      </c>
      <c r="I94" s="11"/>
      <c r="J94" s="242" t="str">
        <f>IFERROR(IF(I94&gt;0,"",I94*VLOOKUP($A94,'VALOR I.'!$B$6:$K$418,10,FALSE)),"")</f>
        <v/>
      </c>
      <c r="K94" s="276" t="e">
        <f>VLOOKUP($A94,INICIO!$A$5:$J$72,4,FALSE)</f>
        <v>#N/A</v>
      </c>
      <c r="L94" s="232" t="e">
        <f>VLOOKUP($A94,REPOSICIONES!$A$5:$J$72,4,FALSE)</f>
        <v>#N/A</v>
      </c>
      <c r="M94" s="79" t="e">
        <f t="shared" si="38"/>
        <v>#N/A</v>
      </c>
      <c r="N94" s="230" t="str">
        <f>IFERROR(VLOOKUP($A94,VENTAS!$H$2:$O$201,3,FALSE),"")</f>
        <v/>
      </c>
      <c r="O94" s="267" t="str">
        <f t="shared" si="39"/>
        <v/>
      </c>
      <c r="P94" s="270" t="e">
        <f>VLOOKUP($A94,INICIO!$A$5:$J$72,5,FALSE)</f>
        <v>#N/A</v>
      </c>
      <c r="Q94" s="11"/>
      <c r="R94" s="242" t="str">
        <f>IFERROR(IF(Q94&gt;0,"",Q94*VLOOKUP($A94,'VALOR I.'!$B$6:$K$418,10,FALSE)),"")</f>
        <v/>
      </c>
      <c r="S94" s="276" t="e">
        <f>VLOOKUP($A94,INICIO!$A$5:$J$72,5,FALSE)</f>
        <v>#N/A</v>
      </c>
      <c r="T94" s="232" t="e">
        <f>VLOOKUP($A94,REPOSICIONES!$A$5:$J$72,5,FALSE)</f>
        <v>#N/A</v>
      </c>
      <c r="U94" s="79" t="e">
        <f t="shared" si="40"/>
        <v>#N/A</v>
      </c>
      <c r="V94" s="230" t="str">
        <f>IFERROR(VLOOKUP($A94,VENTAS!$H$2:$O$201,4,FALSE),"")</f>
        <v/>
      </c>
      <c r="W94" s="10" t="str">
        <f t="shared" si="41"/>
        <v/>
      </c>
      <c r="X94" s="270" t="e">
        <f>VLOOKUP($A94,INICIO!$A$5:$J$72,6,FALSE)</f>
        <v>#N/A</v>
      </c>
      <c r="Y94" s="11"/>
      <c r="Z94" s="242" t="str">
        <f>IFERROR(IF(Y94&gt;0,"",Y94*VLOOKUP($A94,'VALOR I.'!$B$6:$K$418,10,FALSE)),"")</f>
        <v/>
      </c>
      <c r="AA94" s="276" t="e">
        <f>VLOOKUP($A94,INICIO!$A$5:$J$72,6,FALSE)</f>
        <v>#N/A</v>
      </c>
      <c r="AB94" s="232" t="e">
        <f>VLOOKUP($A94,REPOSICIONES!$A$5:$J$72,6,FALSE)</f>
        <v>#N/A</v>
      </c>
      <c r="AC94" s="79" t="e">
        <f t="shared" si="42"/>
        <v>#N/A</v>
      </c>
      <c r="AD94" s="230" t="str">
        <f>IFERROR(VLOOKUP($A94,VENTAS!$H$2:$O$201,5,FALSE),"")</f>
        <v/>
      </c>
      <c r="AE94" s="10" t="str">
        <f t="shared" si="43"/>
        <v/>
      </c>
      <c r="AF94" s="270" t="e">
        <f>VLOOKUP($A94,INICIO!$A$5:$J$72,7,FALSE)</f>
        <v>#N/A</v>
      </c>
      <c r="AG94" s="11"/>
      <c r="AH94" s="242" t="str">
        <f>IFERROR(IF(AG94&gt;0,"",AG94*VLOOKUP($A94,'VALOR I.'!$B$6:$K$418,10,FALSE)),"")</f>
        <v/>
      </c>
      <c r="AI94" s="269" t="e">
        <f>VLOOKUP($A94,INICIO!$A$5:$J$72,7,FALSE)</f>
        <v>#N/A</v>
      </c>
      <c r="AJ94" s="232" t="e">
        <f>VLOOKUP($A94,REPOSICIONES!$A$5:$J$72,7,FALSE)</f>
        <v>#N/A</v>
      </c>
      <c r="AK94" s="79" t="e">
        <f t="shared" si="44"/>
        <v>#N/A</v>
      </c>
      <c r="AL94" s="230" t="str">
        <f>IFERROR(VLOOKUP($A94,VENTAS!$H$2:$O$201,6,FALSE),"")</f>
        <v/>
      </c>
      <c r="AM94" s="10" t="str">
        <f t="shared" si="45"/>
        <v/>
      </c>
      <c r="AN94" s="270" t="e">
        <f>VLOOKUP($A94,INICIO!$A$5:$J$72,8,FALSE)</f>
        <v>#N/A</v>
      </c>
      <c r="AO94" s="11"/>
      <c r="AP94" s="204" t="str">
        <f>IFERROR(IF(AO94&gt;0,"",AO94*VLOOKUP($A94,'VALOR I.'!$B$6:$K$418,10,FALSE)),"")</f>
        <v/>
      </c>
      <c r="AQ94" s="269" t="e">
        <f>VLOOKUP($A94,INICIO!$A$5:$J$72,8,FALSE)</f>
        <v>#N/A</v>
      </c>
      <c r="AR94" s="232" t="e">
        <f>VLOOKUP($A94,REPOSICIONES!$A$5:$J$72,8,FALSE)</f>
        <v>#N/A</v>
      </c>
      <c r="AS94" s="79" t="e">
        <f t="shared" si="46"/>
        <v>#N/A</v>
      </c>
      <c r="AT94" s="230" t="str">
        <f>IFERROR(VLOOKUP($A94,VENTAS!$H$2:$O$201,7,FALSE),"")</f>
        <v/>
      </c>
      <c r="AU94" s="10" t="str">
        <f t="shared" si="47"/>
        <v/>
      </c>
      <c r="AV94" s="270" t="e">
        <f>VLOOKUP($A94,INICIO!$A$5:$J$72,9,FALSE)</f>
        <v>#N/A</v>
      </c>
      <c r="AW94" s="11"/>
      <c r="AX94" s="204" t="str">
        <f>IFERROR(IF(AW94&gt;0,"",AW94*VLOOKUP($A94,'VALOR I.'!$B$6:$K$418,10,FALSE)),"")</f>
        <v/>
      </c>
      <c r="AY94" s="269" t="e">
        <f>VLOOKUP($A94,INICIO!$A$5:$J$72,9,FALSE)</f>
        <v>#N/A</v>
      </c>
      <c r="AZ94" s="232" t="e">
        <f>VLOOKUP($A94,REPOSICIONES!$A$5:$J$72,9,FALSE)</f>
        <v>#N/A</v>
      </c>
      <c r="BA94" s="79" t="e">
        <f t="shared" si="48"/>
        <v>#N/A</v>
      </c>
      <c r="BB94" s="230" t="str">
        <f>IFERROR(VLOOKUP($A94,VENTAS!$H$2:$O$201,8,FALSE),"")</f>
        <v/>
      </c>
      <c r="BC94" s="10" t="str">
        <f t="shared" si="49"/>
        <v/>
      </c>
      <c r="BD94" s="270" t="e">
        <f>VLOOKUP($A94,INICIO!$A$5:$J$72,10,FALSE)</f>
        <v>#N/A</v>
      </c>
      <c r="BE94" s="11"/>
      <c r="BF94" s="204" t="str">
        <f>IFERROR(IF(BE94&gt;0,"",BE94*VLOOKUP($A94,'VALOR I.'!$B$6:$K$418,10,FALSE)),"")</f>
        <v/>
      </c>
    </row>
    <row r="95" spans="1:58" ht="15.75" hidden="1" customHeight="1" x14ac:dyDescent="0.25">
      <c r="B95" s="211"/>
      <c r="C95" s="239" t="e">
        <f>VLOOKUP($A95,INICIO!$A$5:$J$72,3,FALSE)</f>
        <v>#N/A</v>
      </c>
      <c r="D95" s="9" t="e">
        <f>VLOOKUP($A95,REPOSICIONES!$A$5:$J$72,3,FALSE)</f>
        <v>#N/A</v>
      </c>
      <c r="E95" s="79" t="e">
        <f t="shared" si="36"/>
        <v>#N/A</v>
      </c>
      <c r="F95" s="80" t="str">
        <f>IFERROR(VLOOKUP($A95,VENTAS!$H$2:$O$201,2,FALSE),"")</f>
        <v/>
      </c>
      <c r="G95" s="9" t="str">
        <f t="shared" si="37"/>
        <v/>
      </c>
      <c r="H95" s="9" t="e">
        <f>VLOOKUP($A95,INICIO!$A$5:$J$72,4,FALSE)</f>
        <v>#N/A</v>
      </c>
      <c r="I95" s="11"/>
      <c r="J95" s="242" t="str">
        <f>IFERROR(IF(I95&gt;0,"",I95*VLOOKUP($A95,'VALOR I.'!$B$6:$K$418,10,FALSE)),"")</f>
        <v/>
      </c>
      <c r="K95" s="276" t="e">
        <f>VLOOKUP($A95,INICIO!$A$5:$J$72,4,FALSE)</f>
        <v>#N/A</v>
      </c>
      <c r="L95" s="232" t="e">
        <f>VLOOKUP($A95,REPOSICIONES!$A$5:$J$72,4,FALSE)</f>
        <v>#N/A</v>
      </c>
      <c r="M95" s="79" t="e">
        <f t="shared" si="38"/>
        <v>#N/A</v>
      </c>
      <c r="N95" s="230" t="str">
        <f>IFERROR(VLOOKUP($A95,VENTAS!$H$2:$O$201,3,FALSE),"")</f>
        <v/>
      </c>
      <c r="O95" s="267" t="str">
        <f t="shared" si="39"/>
        <v/>
      </c>
      <c r="P95" s="270" t="e">
        <f>VLOOKUP($A95,INICIO!$A$5:$J$72,5,FALSE)</f>
        <v>#N/A</v>
      </c>
      <c r="Q95" s="11"/>
      <c r="R95" s="242" t="str">
        <f>IFERROR(IF(Q95&gt;0,"",Q95*VLOOKUP($A95,'VALOR I.'!$B$6:$K$418,10,FALSE)),"")</f>
        <v/>
      </c>
      <c r="S95" s="276" t="e">
        <f>VLOOKUP($A95,INICIO!$A$5:$J$72,5,FALSE)</f>
        <v>#N/A</v>
      </c>
      <c r="T95" s="232" t="e">
        <f>VLOOKUP($A95,REPOSICIONES!$A$5:$J$72,5,FALSE)</f>
        <v>#N/A</v>
      </c>
      <c r="U95" s="79" t="e">
        <f t="shared" si="40"/>
        <v>#N/A</v>
      </c>
      <c r="V95" s="230" t="str">
        <f>IFERROR(VLOOKUP($A95,VENTAS!$H$2:$O$201,4,FALSE),"")</f>
        <v/>
      </c>
      <c r="W95" s="10" t="str">
        <f t="shared" si="41"/>
        <v/>
      </c>
      <c r="X95" s="270" t="e">
        <f>VLOOKUP($A95,INICIO!$A$5:$J$72,6,FALSE)</f>
        <v>#N/A</v>
      </c>
      <c r="Y95" s="11"/>
      <c r="Z95" s="242" t="str">
        <f>IFERROR(IF(Y95&gt;0,"",Y95*VLOOKUP($A95,'VALOR I.'!$B$6:$K$418,10,FALSE)),"")</f>
        <v/>
      </c>
      <c r="AA95" s="276" t="e">
        <f>VLOOKUP($A95,INICIO!$A$5:$J$72,6,FALSE)</f>
        <v>#N/A</v>
      </c>
      <c r="AB95" s="232" t="e">
        <f>VLOOKUP($A95,REPOSICIONES!$A$5:$J$72,6,FALSE)</f>
        <v>#N/A</v>
      </c>
      <c r="AC95" s="79" t="e">
        <f t="shared" si="42"/>
        <v>#N/A</v>
      </c>
      <c r="AD95" s="230" t="str">
        <f>IFERROR(VLOOKUP($A95,VENTAS!$H$2:$O$201,5,FALSE),"")</f>
        <v/>
      </c>
      <c r="AE95" s="10" t="str">
        <f t="shared" si="43"/>
        <v/>
      </c>
      <c r="AF95" s="270" t="e">
        <f>VLOOKUP($A95,INICIO!$A$5:$J$72,7,FALSE)</f>
        <v>#N/A</v>
      </c>
      <c r="AG95" s="11"/>
      <c r="AH95" s="242" t="str">
        <f>IFERROR(IF(AG95&gt;0,"",AG95*VLOOKUP($A95,'VALOR I.'!$B$6:$K$418,10,FALSE)),"")</f>
        <v/>
      </c>
      <c r="AI95" s="269" t="e">
        <f>VLOOKUP($A95,INICIO!$A$5:$J$72,7,FALSE)</f>
        <v>#N/A</v>
      </c>
      <c r="AJ95" s="232" t="e">
        <f>VLOOKUP($A95,REPOSICIONES!$A$5:$J$72,7,FALSE)</f>
        <v>#N/A</v>
      </c>
      <c r="AK95" s="79" t="e">
        <f t="shared" si="44"/>
        <v>#N/A</v>
      </c>
      <c r="AL95" s="230" t="str">
        <f>IFERROR(VLOOKUP($A95,VENTAS!$H$2:$O$201,6,FALSE),"")</f>
        <v/>
      </c>
      <c r="AM95" s="10" t="str">
        <f t="shared" si="45"/>
        <v/>
      </c>
      <c r="AN95" s="270" t="e">
        <f>VLOOKUP($A95,INICIO!$A$5:$J$72,8,FALSE)</f>
        <v>#N/A</v>
      </c>
      <c r="AO95" s="11"/>
      <c r="AP95" s="204" t="str">
        <f>IFERROR(IF(AO95&gt;0,"",AO95*VLOOKUP($A95,'VALOR I.'!$B$6:$K$418,10,FALSE)),"")</f>
        <v/>
      </c>
      <c r="AQ95" s="269" t="e">
        <f>VLOOKUP($A95,INICIO!$A$5:$J$72,8,FALSE)</f>
        <v>#N/A</v>
      </c>
      <c r="AR95" s="232" t="e">
        <f>VLOOKUP($A95,REPOSICIONES!$A$5:$J$72,8,FALSE)</f>
        <v>#N/A</v>
      </c>
      <c r="AS95" s="79" t="e">
        <f t="shared" si="46"/>
        <v>#N/A</v>
      </c>
      <c r="AT95" s="230" t="str">
        <f>IFERROR(VLOOKUP($A95,VENTAS!$H$2:$O$201,7,FALSE),"")</f>
        <v/>
      </c>
      <c r="AU95" s="10" t="str">
        <f t="shared" si="47"/>
        <v/>
      </c>
      <c r="AV95" s="270" t="e">
        <f>VLOOKUP($A95,INICIO!$A$5:$J$72,9,FALSE)</f>
        <v>#N/A</v>
      </c>
      <c r="AW95" s="11"/>
      <c r="AX95" s="204" t="str">
        <f>IFERROR(IF(AW95&gt;0,"",AW95*VLOOKUP($A95,'VALOR I.'!$B$6:$K$418,10,FALSE)),"")</f>
        <v/>
      </c>
      <c r="AY95" s="269" t="e">
        <f>VLOOKUP($A95,INICIO!$A$5:$J$72,9,FALSE)</f>
        <v>#N/A</v>
      </c>
      <c r="AZ95" s="232" t="e">
        <f>VLOOKUP($A95,REPOSICIONES!$A$5:$J$72,9,FALSE)</f>
        <v>#N/A</v>
      </c>
      <c r="BA95" s="79" t="e">
        <f t="shared" si="48"/>
        <v>#N/A</v>
      </c>
      <c r="BB95" s="230" t="str">
        <f>IFERROR(VLOOKUP($A95,VENTAS!$H$2:$O$201,8,FALSE),"")</f>
        <v/>
      </c>
      <c r="BC95" s="10" t="str">
        <f t="shared" si="49"/>
        <v/>
      </c>
      <c r="BD95" s="270" t="e">
        <f>VLOOKUP($A95,INICIO!$A$5:$J$72,10,FALSE)</f>
        <v>#N/A</v>
      </c>
      <c r="BE95" s="11"/>
      <c r="BF95" s="204" t="str">
        <f>IFERROR(IF(BE95&gt;0,"",BE95*VLOOKUP($A95,'VALOR I.'!$B$6:$K$418,10,FALSE)),"")</f>
        <v/>
      </c>
    </row>
    <row r="96" spans="1:58" ht="15.75" hidden="1" customHeight="1" x14ac:dyDescent="0.25">
      <c r="B96" s="211"/>
      <c r="C96" s="239" t="e">
        <f>VLOOKUP($A96,INICIO!$A$5:$J$72,3,FALSE)</f>
        <v>#N/A</v>
      </c>
      <c r="D96" s="9" t="e">
        <f>VLOOKUP($A96,REPOSICIONES!$A$5:$J$72,3,FALSE)</f>
        <v>#N/A</v>
      </c>
      <c r="E96" s="79" t="e">
        <f t="shared" si="36"/>
        <v>#N/A</v>
      </c>
      <c r="F96" s="80" t="str">
        <f>IFERROR(VLOOKUP($A96,VENTAS!$H$2:$O$201,2,FALSE),"")</f>
        <v/>
      </c>
      <c r="G96" s="9" t="str">
        <f t="shared" si="37"/>
        <v/>
      </c>
      <c r="H96" s="9" t="e">
        <f>VLOOKUP($A96,INICIO!$A$5:$J$72,4,FALSE)</f>
        <v>#N/A</v>
      </c>
      <c r="I96" s="11"/>
      <c r="J96" s="242" t="str">
        <f>IFERROR(IF(I96&gt;0,"",I96*VLOOKUP($A96,'VALOR I.'!$B$6:$K$418,10,FALSE)),"")</f>
        <v/>
      </c>
      <c r="K96" s="276" t="e">
        <f>VLOOKUP($A96,INICIO!$A$5:$J$72,4,FALSE)</f>
        <v>#N/A</v>
      </c>
      <c r="L96" s="232" t="e">
        <f>VLOOKUP($A96,REPOSICIONES!$A$5:$J$72,4,FALSE)</f>
        <v>#N/A</v>
      </c>
      <c r="M96" s="79" t="e">
        <f t="shared" si="38"/>
        <v>#N/A</v>
      </c>
      <c r="N96" s="230" t="str">
        <f>IFERROR(VLOOKUP($A96,VENTAS!$H$2:$O$201,3,FALSE),"")</f>
        <v/>
      </c>
      <c r="O96" s="267" t="str">
        <f t="shared" si="39"/>
        <v/>
      </c>
      <c r="P96" s="270" t="e">
        <f>VLOOKUP($A96,INICIO!$A$5:$J$72,5,FALSE)</f>
        <v>#N/A</v>
      </c>
      <c r="Q96" s="11"/>
      <c r="R96" s="242" t="str">
        <f>IFERROR(IF(Q96&gt;0,"",Q96*VLOOKUP($A96,'VALOR I.'!$B$6:$K$418,10,FALSE)),"")</f>
        <v/>
      </c>
      <c r="S96" s="276" t="e">
        <f>VLOOKUP($A96,INICIO!$A$5:$J$72,5,FALSE)</f>
        <v>#N/A</v>
      </c>
      <c r="T96" s="232" t="e">
        <f>VLOOKUP($A96,REPOSICIONES!$A$5:$J$72,5,FALSE)</f>
        <v>#N/A</v>
      </c>
      <c r="U96" s="79" t="e">
        <f t="shared" si="40"/>
        <v>#N/A</v>
      </c>
      <c r="V96" s="230" t="str">
        <f>IFERROR(VLOOKUP($A96,VENTAS!$H$2:$O$201,4,FALSE),"")</f>
        <v/>
      </c>
      <c r="W96" s="10" t="str">
        <f t="shared" si="41"/>
        <v/>
      </c>
      <c r="X96" s="270" t="e">
        <f>VLOOKUP($A96,INICIO!$A$5:$J$72,6,FALSE)</f>
        <v>#N/A</v>
      </c>
      <c r="Y96" s="11"/>
      <c r="Z96" s="242" t="str">
        <f>IFERROR(IF(Y96&gt;0,"",Y96*VLOOKUP($A96,'VALOR I.'!$B$6:$K$418,10,FALSE)),"")</f>
        <v/>
      </c>
      <c r="AA96" s="276" t="e">
        <f>VLOOKUP($A96,INICIO!$A$5:$J$72,6,FALSE)</f>
        <v>#N/A</v>
      </c>
      <c r="AB96" s="232" t="e">
        <f>VLOOKUP($A96,REPOSICIONES!$A$5:$J$72,6,FALSE)</f>
        <v>#N/A</v>
      </c>
      <c r="AC96" s="79" t="e">
        <f t="shared" si="42"/>
        <v>#N/A</v>
      </c>
      <c r="AD96" s="230" t="str">
        <f>IFERROR(VLOOKUP($A96,VENTAS!$H$2:$O$201,5,FALSE),"")</f>
        <v/>
      </c>
      <c r="AE96" s="10" t="str">
        <f t="shared" si="43"/>
        <v/>
      </c>
      <c r="AF96" s="270" t="e">
        <f>VLOOKUP($A96,INICIO!$A$5:$J$72,7,FALSE)</f>
        <v>#N/A</v>
      </c>
      <c r="AG96" s="11"/>
      <c r="AH96" s="242" t="str">
        <f>IFERROR(IF(AG96&gt;0,"",AG96*VLOOKUP($A96,'VALOR I.'!$B$6:$K$418,10,FALSE)),"")</f>
        <v/>
      </c>
      <c r="AI96" s="269" t="e">
        <f>VLOOKUP($A96,INICIO!$A$5:$J$72,7,FALSE)</f>
        <v>#N/A</v>
      </c>
      <c r="AJ96" s="232" t="e">
        <f>VLOOKUP($A96,REPOSICIONES!$A$5:$J$72,7,FALSE)</f>
        <v>#N/A</v>
      </c>
      <c r="AK96" s="79" t="e">
        <f t="shared" si="44"/>
        <v>#N/A</v>
      </c>
      <c r="AL96" s="230" t="str">
        <f>IFERROR(VLOOKUP($A96,VENTAS!$H$2:$O$201,6,FALSE),"")</f>
        <v/>
      </c>
      <c r="AM96" s="10" t="str">
        <f t="shared" si="45"/>
        <v/>
      </c>
      <c r="AN96" s="270" t="e">
        <f>VLOOKUP($A96,INICIO!$A$5:$J$72,8,FALSE)</f>
        <v>#N/A</v>
      </c>
      <c r="AO96" s="11"/>
      <c r="AP96" s="204" t="str">
        <f>IFERROR(IF(AO96&gt;0,"",AO96*VLOOKUP($A96,'VALOR I.'!$B$6:$K$418,10,FALSE)),"")</f>
        <v/>
      </c>
      <c r="AQ96" s="269" t="e">
        <f>VLOOKUP($A96,INICIO!$A$5:$J$72,8,FALSE)</f>
        <v>#N/A</v>
      </c>
      <c r="AR96" s="232" t="e">
        <f>VLOOKUP($A96,REPOSICIONES!$A$5:$J$72,8,FALSE)</f>
        <v>#N/A</v>
      </c>
      <c r="AS96" s="79" t="e">
        <f t="shared" si="46"/>
        <v>#N/A</v>
      </c>
      <c r="AT96" s="230" t="str">
        <f>IFERROR(VLOOKUP($A96,VENTAS!$H$2:$O$201,7,FALSE),"")</f>
        <v/>
      </c>
      <c r="AU96" s="10" t="str">
        <f t="shared" si="47"/>
        <v/>
      </c>
      <c r="AV96" s="270" t="e">
        <f>VLOOKUP($A96,INICIO!$A$5:$J$72,9,FALSE)</f>
        <v>#N/A</v>
      </c>
      <c r="AW96" s="11"/>
      <c r="AX96" s="204" t="str">
        <f>IFERROR(IF(AW96&gt;0,"",AW96*VLOOKUP($A96,'VALOR I.'!$B$6:$K$418,10,FALSE)),"")</f>
        <v/>
      </c>
      <c r="AY96" s="269" t="e">
        <f>VLOOKUP($A96,INICIO!$A$5:$J$72,9,FALSE)</f>
        <v>#N/A</v>
      </c>
      <c r="AZ96" s="232" t="e">
        <f>VLOOKUP($A96,REPOSICIONES!$A$5:$J$72,9,FALSE)</f>
        <v>#N/A</v>
      </c>
      <c r="BA96" s="79" t="e">
        <f t="shared" si="48"/>
        <v>#N/A</v>
      </c>
      <c r="BB96" s="230" t="str">
        <f>IFERROR(VLOOKUP($A96,VENTAS!$H$2:$O$201,8,FALSE),"")</f>
        <v/>
      </c>
      <c r="BC96" s="10" t="str">
        <f t="shared" si="49"/>
        <v/>
      </c>
      <c r="BD96" s="270" t="e">
        <f>VLOOKUP($A96,INICIO!$A$5:$J$72,10,FALSE)</f>
        <v>#N/A</v>
      </c>
      <c r="BE96" s="11"/>
      <c r="BF96" s="204" t="str">
        <f>IFERROR(IF(BE96&gt;0,"",BE96*VLOOKUP($A96,'VALOR I.'!$B$6:$K$418,10,FALSE)),"")</f>
        <v/>
      </c>
    </row>
    <row r="97" spans="1:58" ht="15.75" hidden="1" customHeight="1" x14ac:dyDescent="0.25">
      <c r="B97" s="213"/>
      <c r="C97" s="239" t="e">
        <f>VLOOKUP($A97,INICIO!$A$5:$J$72,3,FALSE)</f>
        <v>#N/A</v>
      </c>
      <c r="D97" s="9" t="e">
        <f>VLOOKUP($A97,REPOSICIONES!$A$5:$J$72,3,FALSE)</f>
        <v>#N/A</v>
      </c>
      <c r="E97" s="79" t="e">
        <f t="shared" si="36"/>
        <v>#N/A</v>
      </c>
      <c r="F97" s="80" t="str">
        <f>IFERROR(VLOOKUP($A97,VENTAS!$H$2:$O$201,2,FALSE),"")</f>
        <v/>
      </c>
      <c r="G97" s="9" t="str">
        <f t="shared" si="37"/>
        <v/>
      </c>
      <c r="H97" s="9" t="e">
        <f>VLOOKUP($A97,INICIO!$A$5:$J$72,4,FALSE)</f>
        <v>#N/A</v>
      </c>
      <c r="I97" s="13"/>
      <c r="J97" s="242" t="str">
        <f>IFERROR(IF(I97&gt;0,"",I97*VLOOKUP($A97,'VALOR I.'!$B$6:$K$418,10,FALSE)),"")</f>
        <v/>
      </c>
      <c r="K97" s="276" t="e">
        <f>VLOOKUP($A97,INICIO!$A$5:$J$72,4,FALSE)</f>
        <v>#N/A</v>
      </c>
      <c r="L97" s="232" t="e">
        <f>VLOOKUP($A97,REPOSICIONES!$A$5:$J$72,4,FALSE)</f>
        <v>#N/A</v>
      </c>
      <c r="M97" s="13" t="e">
        <f t="shared" si="38"/>
        <v>#N/A</v>
      </c>
      <c r="N97" s="230" t="str">
        <f>IFERROR(VLOOKUP($A97,VENTAS!$H$2:$O$201,3,FALSE),"")</f>
        <v/>
      </c>
      <c r="O97" s="267" t="str">
        <f t="shared" si="39"/>
        <v/>
      </c>
      <c r="P97" s="270" t="e">
        <f>VLOOKUP($A97,INICIO!$A$5:$J$72,5,FALSE)</f>
        <v>#N/A</v>
      </c>
      <c r="Q97" s="13"/>
      <c r="R97" s="242" t="str">
        <f>IFERROR(IF(Q97&gt;0,"",Q97*VLOOKUP($A97,'VALOR I.'!$B$6:$K$418,10,FALSE)),"")</f>
        <v/>
      </c>
      <c r="S97" s="276" t="e">
        <f>VLOOKUP($A97,INICIO!$A$5:$J$72,5,FALSE)</f>
        <v>#N/A</v>
      </c>
      <c r="T97" s="232" t="e">
        <f>VLOOKUP($A97,REPOSICIONES!$A$5:$J$72,5,FALSE)</f>
        <v>#N/A</v>
      </c>
      <c r="U97" s="13" t="e">
        <f t="shared" si="40"/>
        <v>#N/A</v>
      </c>
      <c r="V97" s="230" t="str">
        <f>IFERROR(VLOOKUP($A97,VENTAS!$H$2:$O$201,4,FALSE),"")</f>
        <v/>
      </c>
      <c r="W97" s="13" t="str">
        <f t="shared" si="41"/>
        <v/>
      </c>
      <c r="X97" s="270" t="e">
        <f>VLOOKUP($A97,INICIO!$A$5:$J$72,6,FALSE)</f>
        <v>#N/A</v>
      </c>
      <c r="Y97" s="13"/>
      <c r="Z97" s="242" t="str">
        <f>IFERROR(IF(Y97&gt;0,"",Y97*VLOOKUP($A97,'VALOR I.'!$B$6:$K$418,10,FALSE)),"")</f>
        <v/>
      </c>
      <c r="AA97" s="276" t="e">
        <f>VLOOKUP($A97,INICIO!$A$5:$J$72,6,FALSE)</f>
        <v>#N/A</v>
      </c>
      <c r="AB97" s="232" t="e">
        <f>VLOOKUP($A97,REPOSICIONES!$A$5:$J$72,6,FALSE)</f>
        <v>#N/A</v>
      </c>
      <c r="AC97" s="13" t="e">
        <f t="shared" si="42"/>
        <v>#N/A</v>
      </c>
      <c r="AD97" s="230" t="str">
        <f>IFERROR(VLOOKUP($A97,VENTAS!$H$2:$O$201,5,FALSE),"")</f>
        <v/>
      </c>
      <c r="AE97" s="13" t="str">
        <f t="shared" si="43"/>
        <v/>
      </c>
      <c r="AF97" s="270" t="e">
        <f>VLOOKUP($A97,INICIO!$A$5:$J$72,7,FALSE)</f>
        <v>#N/A</v>
      </c>
      <c r="AG97" s="13"/>
      <c r="AH97" s="242" t="str">
        <f>IFERROR(IF(AG97&gt;0,"",AG97*VLOOKUP($A97,'VALOR I.'!$B$6:$K$418,10,FALSE)),"")</f>
        <v/>
      </c>
      <c r="AI97" s="269" t="e">
        <f>VLOOKUP($A97,INICIO!$A$5:$J$72,7,FALSE)</f>
        <v>#N/A</v>
      </c>
      <c r="AJ97" s="232" t="e">
        <f>VLOOKUP($A97,REPOSICIONES!$A$5:$J$72,7,FALSE)</f>
        <v>#N/A</v>
      </c>
      <c r="AK97" s="13" t="e">
        <f t="shared" si="44"/>
        <v>#N/A</v>
      </c>
      <c r="AL97" s="230" t="str">
        <f>IFERROR(VLOOKUP($A97,VENTAS!$H$2:$O$201,6,FALSE),"")</f>
        <v/>
      </c>
      <c r="AM97" s="13" t="str">
        <f t="shared" si="45"/>
        <v/>
      </c>
      <c r="AN97" s="270" t="e">
        <f>VLOOKUP($A97,INICIO!$A$5:$J$72,8,FALSE)</f>
        <v>#N/A</v>
      </c>
      <c r="AO97" s="13"/>
      <c r="AP97" s="204" t="str">
        <f>IFERROR(IF(AO97&gt;0,"",AO97*VLOOKUP($A97,'VALOR I.'!$B$6:$K$418,10,FALSE)),"")</f>
        <v/>
      </c>
      <c r="AQ97" s="269" t="e">
        <f>VLOOKUP($A97,INICIO!$A$5:$J$72,8,FALSE)</f>
        <v>#N/A</v>
      </c>
      <c r="AR97" s="232" t="e">
        <f>VLOOKUP($A97,REPOSICIONES!$A$5:$J$72,8,FALSE)</f>
        <v>#N/A</v>
      </c>
      <c r="AS97" s="13" t="e">
        <f t="shared" si="46"/>
        <v>#N/A</v>
      </c>
      <c r="AT97" s="230" t="str">
        <f>IFERROR(VLOOKUP($A97,VENTAS!$H$2:$O$201,7,FALSE),"")</f>
        <v/>
      </c>
      <c r="AU97" s="13" t="str">
        <f t="shared" si="47"/>
        <v/>
      </c>
      <c r="AV97" s="270" t="e">
        <f>VLOOKUP($A97,INICIO!$A$5:$J$72,9,FALSE)</f>
        <v>#N/A</v>
      </c>
      <c r="AW97" s="13"/>
      <c r="AX97" s="204" t="str">
        <f>IFERROR(IF(AW97&gt;0,"",AW97*VLOOKUP($A97,'VALOR I.'!$B$6:$K$418,10,FALSE)),"")</f>
        <v/>
      </c>
      <c r="AY97" s="269" t="e">
        <f>VLOOKUP($A97,INICIO!$A$5:$J$72,9,FALSE)</f>
        <v>#N/A</v>
      </c>
      <c r="AZ97" s="232" t="e">
        <f>VLOOKUP($A97,REPOSICIONES!$A$5:$J$72,9,FALSE)</f>
        <v>#N/A</v>
      </c>
      <c r="BA97" s="13" t="e">
        <f t="shared" si="48"/>
        <v>#N/A</v>
      </c>
      <c r="BB97" s="230" t="str">
        <f>IFERROR(VLOOKUP($A97,VENTAS!$H$2:$O$201,8,FALSE),"")</f>
        <v/>
      </c>
      <c r="BC97" s="13" t="str">
        <f t="shared" si="49"/>
        <v/>
      </c>
      <c r="BD97" s="270" t="e">
        <f>VLOOKUP($A97,INICIO!$A$5:$J$72,10,FALSE)</f>
        <v>#N/A</v>
      </c>
      <c r="BE97" s="13"/>
      <c r="BF97" s="204" t="str">
        <f>IFERROR(IF(BE97&gt;0,"",BE97*VLOOKUP($A97,'VALOR I.'!$B$6:$K$418,10,FALSE)),"")</f>
        <v/>
      </c>
    </row>
    <row r="98" spans="1:58" ht="15.75" hidden="1" customHeight="1" x14ac:dyDescent="0.25">
      <c r="B98" s="214"/>
      <c r="C98" s="239" t="e">
        <f>VLOOKUP($A98,INICIO!$A$5:$J$72,3,FALSE)</f>
        <v>#N/A</v>
      </c>
      <c r="D98" s="9" t="e">
        <f>VLOOKUP($A98,REPOSICIONES!$A$5:$J$72,3,FALSE)</f>
        <v>#N/A</v>
      </c>
      <c r="E98" s="79" t="e">
        <f t="shared" si="36"/>
        <v>#N/A</v>
      </c>
      <c r="F98" s="80" t="str">
        <f>IFERROR(VLOOKUP($A98,VENTAS!$H$2:$O$201,2,FALSE),"")</f>
        <v/>
      </c>
      <c r="G98" s="9" t="str">
        <f t="shared" si="37"/>
        <v/>
      </c>
      <c r="H98" s="9" t="e">
        <f>VLOOKUP($A98,INICIO!$A$5:$J$72,4,FALSE)</f>
        <v>#N/A</v>
      </c>
      <c r="I98" s="11"/>
      <c r="J98" s="242" t="str">
        <f>IFERROR(IF(I98&gt;0,"",I98*VLOOKUP($A98,'VALOR I.'!$B$6:$K$418,10,FALSE)),"")</f>
        <v/>
      </c>
      <c r="K98" s="276" t="e">
        <f>VLOOKUP($A98,INICIO!$A$5:$J$72,4,FALSE)</f>
        <v>#N/A</v>
      </c>
      <c r="L98" s="232" t="e">
        <f>VLOOKUP($A98,REPOSICIONES!$A$5:$J$72,4,FALSE)</f>
        <v>#N/A</v>
      </c>
      <c r="M98" s="79" t="e">
        <f t="shared" si="38"/>
        <v>#N/A</v>
      </c>
      <c r="N98" s="230" t="str">
        <f>IFERROR(VLOOKUP($A98,VENTAS!$H$2:$O$201,3,FALSE),"")</f>
        <v/>
      </c>
      <c r="O98" s="267" t="str">
        <f t="shared" si="39"/>
        <v/>
      </c>
      <c r="P98" s="270" t="e">
        <f>VLOOKUP($A98,INICIO!$A$5:$J$72,5,FALSE)</f>
        <v>#N/A</v>
      </c>
      <c r="Q98" s="11"/>
      <c r="R98" s="242" t="str">
        <f>IFERROR(IF(Q98&gt;0,"",Q98*VLOOKUP($A98,'VALOR I.'!$B$6:$K$418,10,FALSE)),"")</f>
        <v/>
      </c>
      <c r="S98" s="276" t="e">
        <f>VLOOKUP($A98,INICIO!$A$5:$J$72,5,FALSE)</f>
        <v>#N/A</v>
      </c>
      <c r="T98" s="232" t="e">
        <f>VLOOKUP($A98,REPOSICIONES!$A$5:$J$72,5,FALSE)</f>
        <v>#N/A</v>
      </c>
      <c r="U98" s="79" t="e">
        <f t="shared" si="40"/>
        <v>#N/A</v>
      </c>
      <c r="V98" s="230" t="str">
        <f>IFERROR(VLOOKUP($A98,VENTAS!$H$2:$O$201,4,FALSE),"")</f>
        <v/>
      </c>
      <c r="W98" s="11" t="str">
        <f t="shared" si="41"/>
        <v/>
      </c>
      <c r="X98" s="270" t="e">
        <f>VLOOKUP($A98,INICIO!$A$5:$J$72,6,FALSE)</f>
        <v>#N/A</v>
      </c>
      <c r="Y98" s="11"/>
      <c r="Z98" s="242" t="str">
        <f>IFERROR(IF(Y98&gt;0,"",Y98*VLOOKUP($A98,'VALOR I.'!$B$6:$K$418,10,FALSE)),"")</f>
        <v/>
      </c>
      <c r="AA98" s="276" t="e">
        <f>VLOOKUP($A98,INICIO!$A$5:$J$72,6,FALSE)</f>
        <v>#N/A</v>
      </c>
      <c r="AB98" s="232" t="e">
        <f>VLOOKUP($A98,REPOSICIONES!$A$5:$J$72,6,FALSE)</f>
        <v>#N/A</v>
      </c>
      <c r="AC98" s="79" t="e">
        <f t="shared" si="42"/>
        <v>#N/A</v>
      </c>
      <c r="AD98" s="230" t="str">
        <f>IFERROR(VLOOKUP($A98,VENTAS!$H$2:$O$201,5,FALSE),"")</f>
        <v/>
      </c>
      <c r="AE98" s="11" t="str">
        <f t="shared" si="43"/>
        <v/>
      </c>
      <c r="AF98" s="270" t="e">
        <f>VLOOKUP($A98,INICIO!$A$5:$J$72,7,FALSE)</f>
        <v>#N/A</v>
      </c>
      <c r="AG98" s="11"/>
      <c r="AH98" s="242" t="str">
        <f>IFERROR(IF(AG98&gt;0,"",AG98*VLOOKUP($A98,'VALOR I.'!$B$6:$K$418,10,FALSE)),"")</f>
        <v/>
      </c>
      <c r="AI98" s="269" t="e">
        <f>VLOOKUP($A98,INICIO!$A$5:$J$72,7,FALSE)</f>
        <v>#N/A</v>
      </c>
      <c r="AJ98" s="232" t="e">
        <f>VLOOKUP($A98,REPOSICIONES!$A$5:$J$72,7,FALSE)</f>
        <v>#N/A</v>
      </c>
      <c r="AK98" s="79" t="e">
        <f t="shared" si="44"/>
        <v>#N/A</v>
      </c>
      <c r="AL98" s="230" t="str">
        <f>IFERROR(VLOOKUP($A98,VENTAS!$H$2:$O$201,6,FALSE),"")</f>
        <v/>
      </c>
      <c r="AM98" s="11" t="str">
        <f t="shared" si="45"/>
        <v/>
      </c>
      <c r="AN98" s="270" t="e">
        <f>VLOOKUP($A98,INICIO!$A$5:$J$72,8,FALSE)</f>
        <v>#N/A</v>
      </c>
      <c r="AO98" s="11"/>
      <c r="AP98" s="204" t="str">
        <f>IFERROR(IF(AO98&gt;0,"",AO98*VLOOKUP($A98,'VALOR I.'!$B$6:$K$418,10,FALSE)),"")</f>
        <v/>
      </c>
      <c r="AQ98" s="269" t="e">
        <f>VLOOKUP($A98,INICIO!$A$5:$J$72,8,FALSE)</f>
        <v>#N/A</v>
      </c>
      <c r="AR98" s="232" t="e">
        <f>VLOOKUP($A98,REPOSICIONES!$A$5:$J$72,8,FALSE)</f>
        <v>#N/A</v>
      </c>
      <c r="AS98" s="79" t="e">
        <f t="shared" si="46"/>
        <v>#N/A</v>
      </c>
      <c r="AT98" s="230" t="str">
        <f>IFERROR(VLOOKUP($A98,VENTAS!$H$2:$O$201,7,FALSE),"")</f>
        <v/>
      </c>
      <c r="AU98" s="11" t="str">
        <f t="shared" si="47"/>
        <v/>
      </c>
      <c r="AV98" s="270" t="e">
        <f>VLOOKUP($A98,INICIO!$A$5:$J$72,9,FALSE)</f>
        <v>#N/A</v>
      </c>
      <c r="AW98" s="11"/>
      <c r="AX98" s="204" t="str">
        <f>IFERROR(IF(AW98&gt;0,"",AW98*VLOOKUP($A98,'VALOR I.'!$B$6:$K$418,10,FALSE)),"")</f>
        <v/>
      </c>
      <c r="AY98" s="269" t="e">
        <f>VLOOKUP($A98,INICIO!$A$5:$J$72,9,FALSE)</f>
        <v>#N/A</v>
      </c>
      <c r="AZ98" s="232" t="e">
        <f>VLOOKUP($A98,REPOSICIONES!$A$5:$J$72,9,FALSE)</f>
        <v>#N/A</v>
      </c>
      <c r="BA98" s="79" t="e">
        <f t="shared" si="48"/>
        <v>#N/A</v>
      </c>
      <c r="BB98" s="230" t="str">
        <f>IFERROR(VLOOKUP($A98,VENTAS!$H$2:$O$201,8,FALSE),"")</f>
        <v/>
      </c>
      <c r="BC98" s="11" t="str">
        <f t="shared" si="49"/>
        <v/>
      </c>
      <c r="BD98" s="270" t="e">
        <f>VLOOKUP($A98,INICIO!$A$5:$J$72,10,FALSE)</f>
        <v>#N/A</v>
      </c>
      <c r="BE98" s="11"/>
      <c r="BF98" s="204" t="str">
        <f>IFERROR(IF(BE98&gt;0,"",BE98*VLOOKUP($A98,'VALOR I.'!$B$6:$K$418,10,FALSE)),"")</f>
        <v/>
      </c>
    </row>
    <row r="99" spans="1:58" ht="15.75" hidden="1" customHeight="1" x14ac:dyDescent="0.25">
      <c r="B99" s="214"/>
      <c r="C99" s="239" t="e">
        <f>VLOOKUP($A99,INICIO!$A$5:$J$72,3,FALSE)</f>
        <v>#N/A</v>
      </c>
      <c r="D99" s="9" t="e">
        <f>VLOOKUP($A99,REPOSICIONES!$A$5:$J$72,3,FALSE)</f>
        <v>#N/A</v>
      </c>
      <c r="E99" s="79" t="e">
        <f t="shared" si="36"/>
        <v>#N/A</v>
      </c>
      <c r="F99" s="80" t="str">
        <f>IFERROR(VLOOKUP($A99,VENTAS!$H$2:$O$201,2,FALSE),"")</f>
        <v/>
      </c>
      <c r="G99" s="9" t="str">
        <f t="shared" si="37"/>
        <v/>
      </c>
      <c r="H99" s="9" t="e">
        <f>VLOOKUP($A99,INICIO!$A$5:$J$72,4,FALSE)</f>
        <v>#N/A</v>
      </c>
      <c r="I99" s="11"/>
      <c r="J99" s="242" t="str">
        <f>IFERROR(IF(I99&gt;0,"",I99*VLOOKUP($A99,'VALOR I.'!$B$6:$K$418,10,FALSE)),"")</f>
        <v/>
      </c>
      <c r="K99" s="276" t="e">
        <f>VLOOKUP($A99,INICIO!$A$5:$J$72,4,FALSE)</f>
        <v>#N/A</v>
      </c>
      <c r="L99" s="232" t="e">
        <f>VLOOKUP($A99,REPOSICIONES!$A$5:$J$72,4,FALSE)</f>
        <v>#N/A</v>
      </c>
      <c r="M99" s="79" t="e">
        <f t="shared" si="38"/>
        <v>#N/A</v>
      </c>
      <c r="N99" s="230" t="str">
        <f>IFERROR(VLOOKUP($A99,VENTAS!$H$2:$O$201,3,FALSE),"")</f>
        <v/>
      </c>
      <c r="O99" s="267" t="str">
        <f t="shared" si="39"/>
        <v/>
      </c>
      <c r="P99" s="270" t="e">
        <f>VLOOKUP($A99,INICIO!$A$5:$J$72,5,FALSE)</f>
        <v>#N/A</v>
      </c>
      <c r="Q99" s="11"/>
      <c r="R99" s="242" t="str">
        <f>IFERROR(IF(Q99&gt;0,"",Q99*VLOOKUP($A99,'VALOR I.'!$B$6:$K$418,10,FALSE)),"")</f>
        <v/>
      </c>
      <c r="S99" s="276" t="e">
        <f>VLOOKUP($A99,INICIO!$A$5:$J$72,5,FALSE)</f>
        <v>#N/A</v>
      </c>
      <c r="T99" s="232" t="e">
        <f>VLOOKUP($A99,REPOSICIONES!$A$5:$J$72,5,FALSE)</f>
        <v>#N/A</v>
      </c>
      <c r="U99" s="79" t="e">
        <f t="shared" si="40"/>
        <v>#N/A</v>
      </c>
      <c r="V99" s="230" t="str">
        <f>IFERROR(VLOOKUP($A99,VENTAS!$H$2:$O$201,4,FALSE),"")</f>
        <v/>
      </c>
      <c r="W99" s="11" t="str">
        <f t="shared" si="41"/>
        <v/>
      </c>
      <c r="X99" s="270" t="e">
        <f>VLOOKUP($A99,INICIO!$A$5:$J$72,6,FALSE)</f>
        <v>#N/A</v>
      </c>
      <c r="Y99" s="11"/>
      <c r="Z99" s="242" t="str">
        <f>IFERROR(IF(Y99&gt;0,"",Y99*VLOOKUP($A99,'VALOR I.'!$B$6:$K$418,10,FALSE)),"")</f>
        <v/>
      </c>
      <c r="AA99" s="276" t="e">
        <f>VLOOKUP($A99,INICIO!$A$5:$J$72,6,FALSE)</f>
        <v>#N/A</v>
      </c>
      <c r="AB99" s="232" t="e">
        <f>VLOOKUP($A99,REPOSICIONES!$A$5:$J$72,6,FALSE)</f>
        <v>#N/A</v>
      </c>
      <c r="AC99" s="79" t="e">
        <f t="shared" si="42"/>
        <v>#N/A</v>
      </c>
      <c r="AD99" s="230" t="str">
        <f>IFERROR(VLOOKUP($A99,VENTAS!$H$2:$O$201,5,FALSE),"")</f>
        <v/>
      </c>
      <c r="AE99" s="11" t="str">
        <f t="shared" si="43"/>
        <v/>
      </c>
      <c r="AF99" s="270" t="e">
        <f>VLOOKUP($A99,INICIO!$A$5:$J$72,7,FALSE)</f>
        <v>#N/A</v>
      </c>
      <c r="AG99" s="11"/>
      <c r="AH99" s="242" t="str">
        <f>IFERROR(IF(AG99&gt;0,"",AG99*VLOOKUP($A99,'VALOR I.'!$B$6:$K$418,10,FALSE)),"")</f>
        <v/>
      </c>
      <c r="AI99" s="269" t="e">
        <f>VLOOKUP($A99,INICIO!$A$5:$J$72,7,FALSE)</f>
        <v>#N/A</v>
      </c>
      <c r="AJ99" s="232" t="e">
        <f>VLOOKUP($A99,REPOSICIONES!$A$5:$J$72,7,FALSE)</f>
        <v>#N/A</v>
      </c>
      <c r="AK99" s="79" t="e">
        <f t="shared" si="44"/>
        <v>#N/A</v>
      </c>
      <c r="AL99" s="230" t="str">
        <f>IFERROR(VLOOKUP($A99,VENTAS!$H$2:$O$201,6,FALSE),"")</f>
        <v/>
      </c>
      <c r="AM99" s="11" t="str">
        <f t="shared" si="45"/>
        <v/>
      </c>
      <c r="AN99" s="270" t="e">
        <f>VLOOKUP($A99,INICIO!$A$5:$J$72,8,FALSE)</f>
        <v>#N/A</v>
      </c>
      <c r="AO99" s="11"/>
      <c r="AP99" s="204" t="str">
        <f>IFERROR(IF(AO99&gt;0,"",AO99*VLOOKUP($A99,'VALOR I.'!$B$6:$K$418,10,FALSE)),"")</f>
        <v/>
      </c>
      <c r="AQ99" s="269" t="e">
        <f>VLOOKUP($A99,INICIO!$A$5:$J$72,8,FALSE)</f>
        <v>#N/A</v>
      </c>
      <c r="AR99" s="232" t="e">
        <f>VLOOKUP($A99,REPOSICIONES!$A$5:$J$72,8,FALSE)</f>
        <v>#N/A</v>
      </c>
      <c r="AS99" s="79" t="e">
        <f t="shared" si="46"/>
        <v>#N/A</v>
      </c>
      <c r="AT99" s="230" t="str">
        <f>IFERROR(VLOOKUP($A99,VENTAS!$H$2:$O$201,7,FALSE),"")</f>
        <v/>
      </c>
      <c r="AU99" s="11" t="str">
        <f t="shared" si="47"/>
        <v/>
      </c>
      <c r="AV99" s="270" t="e">
        <f>VLOOKUP($A99,INICIO!$A$5:$J$72,9,FALSE)</f>
        <v>#N/A</v>
      </c>
      <c r="AW99" s="11"/>
      <c r="AX99" s="204" t="str">
        <f>IFERROR(IF(AW99&gt;0,"",AW99*VLOOKUP($A99,'VALOR I.'!$B$6:$K$418,10,FALSE)),"")</f>
        <v/>
      </c>
      <c r="AY99" s="269" t="e">
        <f>VLOOKUP($A99,INICIO!$A$5:$J$72,9,FALSE)</f>
        <v>#N/A</v>
      </c>
      <c r="AZ99" s="232" t="e">
        <f>VLOOKUP($A99,REPOSICIONES!$A$5:$J$72,9,FALSE)</f>
        <v>#N/A</v>
      </c>
      <c r="BA99" s="79" t="e">
        <f t="shared" si="48"/>
        <v>#N/A</v>
      </c>
      <c r="BB99" s="230" t="str">
        <f>IFERROR(VLOOKUP($A99,VENTAS!$H$2:$O$201,8,FALSE),"")</f>
        <v/>
      </c>
      <c r="BC99" s="11" t="str">
        <f t="shared" si="49"/>
        <v/>
      </c>
      <c r="BD99" s="270" t="e">
        <f>VLOOKUP($A99,INICIO!$A$5:$J$72,10,FALSE)</f>
        <v>#N/A</v>
      </c>
      <c r="BE99" s="11"/>
      <c r="BF99" s="204" t="str">
        <f>IFERROR(IF(BE99&gt;0,"",BE99*VLOOKUP($A99,'VALOR I.'!$B$6:$K$418,10,FALSE)),"")</f>
        <v/>
      </c>
    </row>
    <row r="100" spans="1:58" ht="15.75" hidden="1" customHeight="1" x14ac:dyDescent="0.25">
      <c r="B100" s="211"/>
      <c r="C100" s="239" t="e">
        <f>VLOOKUP($A100,INICIO!$A$5:$J$72,3,FALSE)</f>
        <v>#N/A</v>
      </c>
      <c r="D100" s="9" t="e">
        <f>VLOOKUP($A100,REPOSICIONES!$A$5:$J$72,3,FALSE)</f>
        <v>#N/A</v>
      </c>
      <c r="E100" s="79" t="e">
        <f t="shared" si="36"/>
        <v>#N/A</v>
      </c>
      <c r="F100" s="80" t="str">
        <f>IFERROR(VLOOKUP($A100,VENTAS!$H$2:$O$201,2,FALSE),"")</f>
        <v/>
      </c>
      <c r="G100" s="9" t="str">
        <f t="shared" si="37"/>
        <v/>
      </c>
      <c r="H100" s="9" t="e">
        <f>VLOOKUP($A100,INICIO!$A$5:$J$72,4,FALSE)</f>
        <v>#N/A</v>
      </c>
      <c r="I100" s="11"/>
      <c r="J100" s="242" t="str">
        <f>IFERROR(IF(I100&gt;0,"",I100*VLOOKUP($A100,'VALOR I.'!$B$6:$K$418,10,FALSE)),"")</f>
        <v/>
      </c>
      <c r="K100" s="276" t="e">
        <f>VLOOKUP($A100,INICIO!$A$5:$J$72,4,FALSE)</f>
        <v>#N/A</v>
      </c>
      <c r="L100" s="232" t="e">
        <f>VLOOKUP($A100,REPOSICIONES!$A$5:$J$72,4,FALSE)</f>
        <v>#N/A</v>
      </c>
      <c r="M100" s="79" t="e">
        <f t="shared" si="38"/>
        <v>#N/A</v>
      </c>
      <c r="N100" s="230" t="str">
        <f>IFERROR(VLOOKUP($A100,VENTAS!$H$2:$O$201,3,FALSE),"")</f>
        <v/>
      </c>
      <c r="O100" s="267" t="str">
        <f t="shared" si="39"/>
        <v/>
      </c>
      <c r="P100" s="270" t="e">
        <f>VLOOKUP($A100,INICIO!$A$5:$J$72,5,FALSE)</f>
        <v>#N/A</v>
      </c>
      <c r="Q100" s="11"/>
      <c r="R100" s="242" t="str">
        <f>IFERROR(IF(Q100&gt;0,"",Q100*VLOOKUP($A100,'VALOR I.'!$B$6:$K$418,10,FALSE)),"")</f>
        <v/>
      </c>
      <c r="S100" s="276" t="e">
        <f>VLOOKUP($A100,INICIO!$A$5:$J$72,5,FALSE)</f>
        <v>#N/A</v>
      </c>
      <c r="T100" s="232" t="e">
        <f>VLOOKUP($A100,REPOSICIONES!$A$5:$J$72,5,FALSE)</f>
        <v>#N/A</v>
      </c>
      <c r="U100" s="79" t="e">
        <f t="shared" si="40"/>
        <v>#N/A</v>
      </c>
      <c r="V100" s="230" t="str">
        <f>IFERROR(VLOOKUP($A100,VENTAS!$H$2:$O$201,4,FALSE),"")</f>
        <v/>
      </c>
      <c r="W100" s="11" t="str">
        <f t="shared" si="41"/>
        <v/>
      </c>
      <c r="X100" s="270" t="e">
        <f>VLOOKUP($A100,INICIO!$A$5:$J$72,6,FALSE)</f>
        <v>#N/A</v>
      </c>
      <c r="Y100" s="11"/>
      <c r="Z100" s="242" t="str">
        <f>IFERROR(IF(Y100&gt;0,"",Y100*VLOOKUP($A100,'VALOR I.'!$B$6:$K$418,10,FALSE)),"")</f>
        <v/>
      </c>
      <c r="AA100" s="276" t="e">
        <f>VLOOKUP($A100,INICIO!$A$5:$J$72,6,FALSE)</f>
        <v>#N/A</v>
      </c>
      <c r="AB100" s="232" t="e">
        <f>VLOOKUP($A100,REPOSICIONES!$A$5:$J$72,6,FALSE)</f>
        <v>#N/A</v>
      </c>
      <c r="AC100" s="79" t="e">
        <f t="shared" si="42"/>
        <v>#N/A</v>
      </c>
      <c r="AD100" s="230" t="str">
        <f>IFERROR(VLOOKUP($A100,VENTAS!$H$2:$O$201,5,FALSE),"")</f>
        <v/>
      </c>
      <c r="AE100" s="11" t="str">
        <f t="shared" si="43"/>
        <v/>
      </c>
      <c r="AF100" s="270" t="e">
        <f>VLOOKUP($A100,INICIO!$A$5:$J$72,7,FALSE)</f>
        <v>#N/A</v>
      </c>
      <c r="AG100" s="11"/>
      <c r="AH100" s="242" t="str">
        <f>IFERROR(IF(AG100&gt;0,"",AG100*VLOOKUP($A100,'VALOR I.'!$B$6:$K$418,10,FALSE)),"")</f>
        <v/>
      </c>
      <c r="AI100" s="269" t="e">
        <f>VLOOKUP($A100,INICIO!$A$5:$J$72,7,FALSE)</f>
        <v>#N/A</v>
      </c>
      <c r="AJ100" s="232" t="e">
        <f>VLOOKUP($A100,REPOSICIONES!$A$5:$J$72,7,FALSE)</f>
        <v>#N/A</v>
      </c>
      <c r="AK100" s="79" t="e">
        <f t="shared" si="44"/>
        <v>#N/A</v>
      </c>
      <c r="AL100" s="230" t="str">
        <f>IFERROR(VLOOKUP($A100,VENTAS!$H$2:$O$201,6,FALSE),"")</f>
        <v/>
      </c>
      <c r="AM100" s="11" t="str">
        <f t="shared" si="45"/>
        <v/>
      </c>
      <c r="AN100" s="270" t="e">
        <f>VLOOKUP($A100,INICIO!$A$5:$J$72,8,FALSE)</f>
        <v>#N/A</v>
      </c>
      <c r="AO100" s="11"/>
      <c r="AP100" s="204" t="str">
        <f>IFERROR(IF(AO100&gt;0,"",AO100*VLOOKUP($A100,'VALOR I.'!$B$6:$K$418,10,FALSE)),"")</f>
        <v/>
      </c>
      <c r="AQ100" s="269" t="e">
        <f>VLOOKUP($A100,INICIO!$A$5:$J$72,8,FALSE)</f>
        <v>#N/A</v>
      </c>
      <c r="AR100" s="232" t="e">
        <f>VLOOKUP($A100,REPOSICIONES!$A$5:$J$72,8,FALSE)</f>
        <v>#N/A</v>
      </c>
      <c r="AS100" s="79" t="e">
        <f t="shared" si="46"/>
        <v>#N/A</v>
      </c>
      <c r="AT100" s="230" t="str">
        <f>IFERROR(VLOOKUP($A100,VENTAS!$H$2:$O$201,7,FALSE),"")</f>
        <v/>
      </c>
      <c r="AU100" s="11" t="str">
        <f t="shared" si="47"/>
        <v/>
      </c>
      <c r="AV100" s="270" t="e">
        <f>VLOOKUP($A100,INICIO!$A$5:$J$72,9,FALSE)</f>
        <v>#N/A</v>
      </c>
      <c r="AW100" s="11"/>
      <c r="AX100" s="204" t="str">
        <f>IFERROR(IF(AW100&gt;0,"",AW100*VLOOKUP($A100,'VALOR I.'!$B$6:$K$418,10,FALSE)),"")</f>
        <v/>
      </c>
      <c r="AY100" s="269" t="e">
        <f>VLOOKUP($A100,INICIO!$A$5:$J$72,9,FALSE)</f>
        <v>#N/A</v>
      </c>
      <c r="AZ100" s="232" t="e">
        <f>VLOOKUP($A100,REPOSICIONES!$A$5:$J$72,9,FALSE)</f>
        <v>#N/A</v>
      </c>
      <c r="BA100" s="79" t="e">
        <f t="shared" si="48"/>
        <v>#N/A</v>
      </c>
      <c r="BB100" s="230" t="str">
        <f>IFERROR(VLOOKUP($A100,VENTAS!$H$2:$O$201,8,FALSE),"")</f>
        <v/>
      </c>
      <c r="BC100" s="11" t="str">
        <f t="shared" si="49"/>
        <v/>
      </c>
      <c r="BD100" s="270" t="e">
        <f>VLOOKUP($A100,INICIO!$A$5:$J$72,10,FALSE)</f>
        <v>#N/A</v>
      </c>
      <c r="BE100" s="11"/>
      <c r="BF100" s="204" t="str">
        <f>IFERROR(IF(BE100&gt;0,"",BE100*VLOOKUP($A100,'VALOR I.'!$B$6:$K$418,10,FALSE)),"")</f>
        <v/>
      </c>
    </row>
    <row r="101" spans="1:58" ht="15.75" hidden="1" customHeight="1" x14ac:dyDescent="0.25">
      <c r="B101" s="211"/>
      <c r="C101" s="239" t="e">
        <f>VLOOKUP($A101,INICIO!$A$5:$J$72,3,FALSE)</f>
        <v>#N/A</v>
      </c>
      <c r="D101" s="9" t="e">
        <f>VLOOKUP($A101,REPOSICIONES!$A$5:$J$72,3,FALSE)</f>
        <v>#N/A</v>
      </c>
      <c r="E101" s="79" t="e">
        <f t="shared" si="36"/>
        <v>#N/A</v>
      </c>
      <c r="F101" s="80" t="str">
        <f>IFERROR(VLOOKUP($A101,VENTAS!$H$2:$O$201,2,FALSE),"")</f>
        <v/>
      </c>
      <c r="G101" s="9" t="str">
        <f t="shared" si="37"/>
        <v/>
      </c>
      <c r="H101" s="9" t="e">
        <f>VLOOKUP($A101,INICIO!$A$5:$J$72,4,FALSE)</f>
        <v>#N/A</v>
      </c>
      <c r="I101" s="11"/>
      <c r="J101" s="242" t="str">
        <f>IFERROR(IF(I101&gt;0,"",I101*VLOOKUP($A101,'VALOR I.'!$B$6:$K$418,10,FALSE)),"")</f>
        <v/>
      </c>
      <c r="K101" s="276" t="e">
        <f>VLOOKUP($A101,INICIO!$A$5:$J$72,4,FALSE)</f>
        <v>#N/A</v>
      </c>
      <c r="L101" s="232" t="e">
        <f>VLOOKUP($A101,REPOSICIONES!$A$5:$J$72,4,FALSE)</f>
        <v>#N/A</v>
      </c>
      <c r="M101" s="79" t="e">
        <f t="shared" si="38"/>
        <v>#N/A</v>
      </c>
      <c r="N101" s="230" t="str">
        <f>IFERROR(VLOOKUP($A101,VENTAS!$H$2:$O$201,3,FALSE),"")</f>
        <v/>
      </c>
      <c r="O101" s="267" t="str">
        <f t="shared" si="39"/>
        <v/>
      </c>
      <c r="P101" s="270" t="e">
        <f>VLOOKUP($A101,INICIO!$A$5:$J$72,5,FALSE)</f>
        <v>#N/A</v>
      </c>
      <c r="Q101" s="11"/>
      <c r="R101" s="242" t="str">
        <f>IFERROR(IF(Q101&gt;0,"",Q101*VLOOKUP($A101,'VALOR I.'!$B$6:$K$418,10,FALSE)),"")</f>
        <v/>
      </c>
      <c r="S101" s="276" t="e">
        <f>VLOOKUP($A101,INICIO!$A$5:$J$72,5,FALSE)</f>
        <v>#N/A</v>
      </c>
      <c r="T101" s="232" t="e">
        <f>VLOOKUP($A101,REPOSICIONES!$A$5:$J$72,5,FALSE)</f>
        <v>#N/A</v>
      </c>
      <c r="U101" s="79" t="e">
        <f t="shared" si="40"/>
        <v>#N/A</v>
      </c>
      <c r="V101" s="230" t="str">
        <f>IFERROR(VLOOKUP($A101,VENTAS!$H$2:$O$201,4,FALSE),"")</f>
        <v/>
      </c>
      <c r="W101" s="11" t="str">
        <f t="shared" si="41"/>
        <v/>
      </c>
      <c r="X101" s="270" t="e">
        <f>VLOOKUP($A101,INICIO!$A$5:$J$72,6,FALSE)</f>
        <v>#N/A</v>
      </c>
      <c r="Y101" s="11"/>
      <c r="Z101" s="242" t="str">
        <f>IFERROR(IF(Y101&gt;0,"",Y101*VLOOKUP($A101,'VALOR I.'!$B$6:$K$418,10,FALSE)),"")</f>
        <v/>
      </c>
      <c r="AA101" s="276" t="e">
        <f>VLOOKUP($A101,INICIO!$A$5:$J$72,6,FALSE)</f>
        <v>#N/A</v>
      </c>
      <c r="AB101" s="232" t="e">
        <f>VLOOKUP($A101,REPOSICIONES!$A$5:$J$72,6,FALSE)</f>
        <v>#N/A</v>
      </c>
      <c r="AC101" s="79" t="e">
        <f t="shared" si="42"/>
        <v>#N/A</v>
      </c>
      <c r="AD101" s="230" t="str">
        <f>IFERROR(VLOOKUP($A101,VENTAS!$H$2:$O$201,5,FALSE),"")</f>
        <v/>
      </c>
      <c r="AE101" s="11" t="str">
        <f t="shared" si="43"/>
        <v/>
      </c>
      <c r="AF101" s="270" t="e">
        <f>VLOOKUP($A101,INICIO!$A$5:$J$72,7,FALSE)</f>
        <v>#N/A</v>
      </c>
      <c r="AG101" s="11"/>
      <c r="AH101" s="242" t="str">
        <f>IFERROR(IF(AG101&gt;0,"",AG101*VLOOKUP($A101,'VALOR I.'!$B$6:$K$418,10,FALSE)),"")</f>
        <v/>
      </c>
      <c r="AI101" s="269" t="e">
        <f>VLOOKUP($A101,INICIO!$A$5:$J$72,7,FALSE)</f>
        <v>#N/A</v>
      </c>
      <c r="AJ101" s="232" t="e">
        <f>VLOOKUP($A101,REPOSICIONES!$A$5:$J$72,7,FALSE)</f>
        <v>#N/A</v>
      </c>
      <c r="AK101" s="79" t="e">
        <f t="shared" si="44"/>
        <v>#N/A</v>
      </c>
      <c r="AL101" s="230" t="str">
        <f>IFERROR(VLOOKUP($A101,VENTAS!$H$2:$O$201,6,FALSE),"")</f>
        <v/>
      </c>
      <c r="AM101" s="11" t="str">
        <f t="shared" si="45"/>
        <v/>
      </c>
      <c r="AN101" s="270" t="e">
        <f>VLOOKUP($A101,INICIO!$A$5:$J$72,8,FALSE)</f>
        <v>#N/A</v>
      </c>
      <c r="AO101" s="11"/>
      <c r="AP101" s="204" t="str">
        <f>IFERROR(IF(AO101&gt;0,"",AO101*VLOOKUP($A101,'VALOR I.'!$B$6:$K$418,10,FALSE)),"")</f>
        <v/>
      </c>
      <c r="AQ101" s="269" t="e">
        <f>VLOOKUP($A101,INICIO!$A$5:$J$72,8,FALSE)</f>
        <v>#N/A</v>
      </c>
      <c r="AR101" s="232" t="e">
        <f>VLOOKUP($A101,REPOSICIONES!$A$5:$J$72,8,FALSE)</f>
        <v>#N/A</v>
      </c>
      <c r="AS101" s="79" t="e">
        <f t="shared" si="46"/>
        <v>#N/A</v>
      </c>
      <c r="AT101" s="230" t="str">
        <f>IFERROR(VLOOKUP($A101,VENTAS!$H$2:$O$201,7,FALSE),"")</f>
        <v/>
      </c>
      <c r="AU101" s="11" t="str">
        <f t="shared" si="47"/>
        <v/>
      </c>
      <c r="AV101" s="270" t="e">
        <f>VLOOKUP($A101,INICIO!$A$5:$J$72,9,FALSE)</f>
        <v>#N/A</v>
      </c>
      <c r="AW101" s="11"/>
      <c r="AX101" s="204" t="str">
        <f>IFERROR(IF(AW101&gt;0,"",AW101*VLOOKUP($A101,'VALOR I.'!$B$6:$K$418,10,FALSE)),"")</f>
        <v/>
      </c>
      <c r="AY101" s="269" t="e">
        <f>VLOOKUP($A101,INICIO!$A$5:$J$72,9,FALSE)</f>
        <v>#N/A</v>
      </c>
      <c r="AZ101" s="232" t="e">
        <f>VLOOKUP($A101,REPOSICIONES!$A$5:$J$72,9,FALSE)</f>
        <v>#N/A</v>
      </c>
      <c r="BA101" s="79" t="e">
        <f t="shared" si="48"/>
        <v>#N/A</v>
      </c>
      <c r="BB101" s="230" t="str">
        <f>IFERROR(VLOOKUP($A101,VENTAS!$H$2:$O$201,8,FALSE),"")</f>
        <v/>
      </c>
      <c r="BC101" s="11" t="str">
        <f t="shared" si="49"/>
        <v/>
      </c>
      <c r="BD101" s="270" t="e">
        <f>VLOOKUP($A101,INICIO!$A$5:$J$72,10,FALSE)</f>
        <v>#N/A</v>
      </c>
      <c r="BE101" s="11"/>
      <c r="BF101" s="204" t="str">
        <f>IFERROR(IF(BE101&gt;0,"",BE101*VLOOKUP($A101,'VALOR I.'!$B$6:$K$418,10,FALSE)),"")</f>
        <v/>
      </c>
    </row>
    <row r="102" spans="1:58" ht="15.75" hidden="1" customHeight="1" x14ac:dyDescent="0.25">
      <c r="B102" s="211"/>
      <c r="C102" s="239" t="e">
        <f>VLOOKUP($A102,INICIO!$A$5:$J$72,3,FALSE)</f>
        <v>#N/A</v>
      </c>
      <c r="D102" s="9" t="e">
        <f>VLOOKUP($A102,REPOSICIONES!$A$5:$J$72,3,FALSE)</f>
        <v>#N/A</v>
      </c>
      <c r="E102" s="79" t="e">
        <f t="shared" si="36"/>
        <v>#N/A</v>
      </c>
      <c r="F102" s="80" t="str">
        <f>IFERROR(VLOOKUP($A102,VENTAS!$H$2:$O$201,2,FALSE),"")</f>
        <v/>
      </c>
      <c r="G102" s="9" t="str">
        <f t="shared" si="37"/>
        <v/>
      </c>
      <c r="H102" s="9" t="e">
        <f>VLOOKUP($A102,INICIO!$A$5:$J$72,4,FALSE)</f>
        <v>#N/A</v>
      </c>
      <c r="I102" s="11"/>
      <c r="J102" s="242" t="str">
        <f>IFERROR(IF(I102&gt;0,"",I102*VLOOKUP($A102,'VALOR I.'!$B$6:$K$418,10,FALSE)),"")</f>
        <v/>
      </c>
      <c r="K102" s="276" t="e">
        <f>VLOOKUP($A102,INICIO!$A$5:$J$72,4,FALSE)</f>
        <v>#N/A</v>
      </c>
      <c r="L102" s="232" t="e">
        <f>VLOOKUP($A102,REPOSICIONES!$A$5:$J$72,4,FALSE)</f>
        <v>#N/A</v>
      </c>
      <c r="M102" s="79" t="e">
        <f t="shared" si="38"/>
        <v>#N/A</v>
      </c>
      <c r="N102" s="230" t="str">
        <f>IFERROR(VLOOKUP($A102,VENTAS!$H$2:$O$201,3,FALSE),"")</f>
        <v/>
      </c>
      <c r="O102" s="267" t="str">
        <f t="shared" si="39"/>
        <v/>
      </c>
      <c r="P102" s="270" t="e">
        <f>VLOOKUP($A102,INICIO!$A$5:$J$72,5,FALSE)</f>
        <v>#N/A</v>
      </c>
      <c r="Q102" s="11"/>
      <c r="R102" s="242" t="str">
        <f>IFERROR(IF(Q102&gt;0,"",Q102*VLOOKUP($A102,'VALOR I.'!$B$6:$K$418,10,FALSE)),"")</f>
        <v/>
      </c>
      <c r="S102" s="276" t="e">
        <f>VLOOKUP($A102,INICIO!$A$5:$J$72,5,FALSE)</f>
        <v>#N/A</v>
      </c>
      <c r="T102" s="232" t="e">
        <f>VLOOKUP($A102,REPOSICIONES!$A$5:$J$72,5,FALSE)</f>
        <v>#N/A</v>
      </c>
      <c r="U102" s="79" t="e">
        <f t="shared" si="40"/>
        <v>#N/A</v>
      </c>
      <c r="V102" s="230" t="str">
        <f>IFERROR(VLOOKUP($A102,VENTAS!$H$2:$O$201,4,FALSE),"")</f>
        <v/>
      </c>
      <c r="W102" s="11" t="str">
        <f t="shared" si="41"/>
        <v/>
      </c>
      <c r="X102" s="270" t="e">
        <f>VLOOKUP($A102,INICIO!$A$5:$J$72,6,FALSE)</f>
        <v>#N/A</v>
      </c>
      <c r="Y102" s="11"/>
      <c r="Z102" s="242" t="str">
        <f>IFERROR(IF(Y102&gt;0,"",Y102*VLOOKUP($A102,'VALOR I.'!$B$6:$K$418,10,FALSE)),"")</f>
        <v/>
      </c>
      <c r="AA102" s="276" t="e">
        <f>VLOOKUP($A102,INICIO!$A$5:$J$72,6,FALSE)</f>
        <v>#N/A</v>
      </c>
      <c r="AB102" s="232" t="e">
        <f>VLOOKUP($A102,REPOSICIONES!$A$5:$J$72,6,FALSE)</f>
        <v>#N/A</v>
      </c>
      <c r="AC102" s="79" t="e">
        <f t="shared" si="42"/>
        <v>#N/A</v>
      </c>
      <c r="AD102" s="230" t="str">
        <f>IFERROR(VLOOKUP($A102,VENTAS!$H$2:$O$201,5,FALSE),"")</f>
        <v/>
      </c>
      <c r="AE102" s="11" t="str">
        <f t="shared" si="43"/>
        <v/>
      </c>
      <c r="AF102" s="270" t="e">
        <f>VLOOKUP($A102,INICIO!$A$5:$J$72,7,FALSE)</f>
        <v>#N/A</v>
      </c>
      <c r="AG102" s="11"/>
      <c r="AH102" s="242" t="str">
        <f>IFERROR(IF(AG102&gt;0,"",AG102*VLOOKUP($A102,'VALOR I.'!$B$6:$K$418,10,FALSE)),"")</f>
        <v/>
      </c>
      <c r="AI102" s="269" t="e">
        <f>VLOOKUP($A102,INICIO!$A$5:$J$72,7,FALSE)</f>
        <v>#N/A</v>
      </c>
      <c r="AJ102" s="232" t="e">
        <f>VLOOKUP($A102,REPOSICIONES!$A$5:$J$72,7,FALSE)</f>
        <v>#N/A</v>
      </c>
      <c r="AK102" s="79" t="e">
        <f t="shared" si="44"/>
        <v>#N/A</v>
      </c>
      <c r="AL102" s="230" t="str">
        <f>IFERROR(VLOOKUP($A102,VENTAS!$H$2:$O$201,6,FALSE),"")</f>
        <v/>
      </c>
      <c r="AM102" s="11" t="str">
        <f t="shared" si="45"/>
        <v/>
      </c>
      <c r="AN102" s="270" t="e">
        <f>VLOOKUP($A102,INICIO!$A$5:$J$72,8,FALSE)</f>
        <v>#N/A</v>
      </c>
      <c r="AO102" s="11"/>
      <c r="AP102" s="204" t="str">
        <f>IFERROR(IF(AO102&gt;0,"",AO102*VLOOKUP($A102,'VALOR I.'!$B$6:$K$418,10,FALSE)),"")</f>
        <v/>
      </c>
      <c r="AQ102" s="269" t="e">
        <f>VLOOKUP($A102,INICIO!$A$5:$J$72,8,FALSE)</f>
        <v>#N/A</v>
      </c>
      <c r="AR102" s="232" t="e">
        <f>VLOOKUP($A102,REPOSICIONES!$A$5:$J$72,8,FALSE)</f>
        <v>#N/A</v>
      </c>
      <c r="AS102" s="79" t="e">
        <f t="shared" si="46"/>
        <v>#N/A</v>
      </c>
      <c r="AT102" s="230" t="str">
        <f>IFERROR(VLOOKUP($A102,VENTAS!$H$2:$O$201,7,FALSE),"")</f>
        <v/>
      </c>
      <c r="AU102" s="11" t="str">
        <f t="shared" si="47"/>
        <v/>
      </c>
      <c r="AV102" s="270" t="e">
        <f>VLOOKUP($A102,INICIO!$A$5:$J$72,9,FALSE)</f>
        <v>#N/A</v>
      </c>
      <c r="AW102" s="11"/>
      <c r="AX102" s="204" t="str">
        <f>IFERROR(IF(AW102&gt;0,"",AW102*VLOOKUP($A102,'VALOR I.'!$B$6:$K$418,10,FALSE)),"")</f>
        <v/>
      </c>
      <c r="AY102" s="269" t="e">
        <f>VLOOKUP($A102,INICIO!$A$5:$J$72,9,FALSE)</f>
        <v>#N/A</v>
      </c>
      <c r="AZ102" s="232" t="e">
        <f>VLOOKUP($A102,REPOSICIONES!$A$5:$J$72,9,FALSE)</f>
        <v>#N/A</v>
      </c>
      <c r="BA102" s="79" t="e">
        <f t="shared" si="48"/>
        <v>#N/A</v>
      </c>
      <c r="BB102" s="230" t="str">
        <f>IFERROR(VLOOKUP($A102,VENTAS!$H$2:$O$201,8,FALSE),"")</f>
        <v/>
      </c>
      <c r="BC102" s="11" t="str">
        <f t="shared" si="49"/>
        <v/>
      </c>
      <c r="BD102" s="270" t="e">
        <f>VLOOKUP($A102,INICIO!$A$5:$J$72,10,FALSE)</f>
        <v>#N/A</v>
      </c>
      <c r="BE102" s="11"/>
      <c r="BF102" s="204" t="str">
        <f>IFERROR(IF(BE102&gt;0,"",BE102*VLOOKUP($A102,'VALOR I.'!$B$6:$K$418,10,FALSE)),"")</f>
        <v/>
      </c>
    </row>
    <row r="103" spans="1:58" ht="15.75" hidden="1" customHeight="1" x14ac:dyDescent="0.25">
      <c r="A103" s="70"/>
      <c r="B103" s="211"/>
      <c r="C103" s="239" t="e">
        <f>VLOOKUP($A103,INICIO!$A$5:$J$72,3,FALSE)</f>
        <v>#N/A</v>
      </c>
      <c r="D103" s="9" t="e">
        <f>VLOOKUP($A103,REPOSICIONES!$A$5:$J$72,3,FALSE)</f>
        <v>#N/A</v>
      </c>
      <c r="E103" s="79" t="e">
        <f t="shared" si="36"/>
        <v>#N/A</v>
      </c>
      <c r="F103" s="80" t="str">
        <f>IFERROR(VLOOKUP($A103,VENTAS!$H$2:$O$201,2,FALSE),"")</f>
        <v/>
      </c>
      <c r="G103" s="9" t="str">
        <f t="shared" si="37"/>
        <v/>
      </c>
      <c r="H103" s="9" t="e">
        <f>VLOOKUP($A103,INICIO!$A$5:$J$72,4,FALSE)</f>
        <v>#N/A</v>
      </c>
      <c r="I103" s="11"/>
      <c r="J103" s="242" t="str">
        <f>IFERROR(IF(I103&gt;0,"",I103*VLOOKUP($A103,'VALOR I.'!$B$6:$K$418,10,FALSE)),"")</f>
        <v/>
      </c>
      <c r="K103" s="276" t="e">
        <f>VLOOKUP($A103,INICIO!$A$5:$J$72,4,FALSE)</f>
        <v>#N/A</v>
      </c>
      <c r="L103" s="232" t="e">
        <f>VLOOKUP($A103,REPOSICIONES!$A$5:$J$72,4,FALSE)</f>
        <v>#N/A</v>
      </c>
      <c r="M103" s="79" t="e">
        <f t="shared" si="38"/>
        <v>#N/A</v>
      </c>
      <c r="N103" s="230" t="str">
        <f>IFERROR(VLOOKUP($A103,VENTAS!$H$2:$O$201,3,FALSE),"")</f>
        <v/>
      </c>
      <c r="O103" s="267" t="str">
        <f t="shared" si="39"/>
        <v/>
      </c>
      <c r="P103" s="270" t="e">
        <f>VLOOKUP($A103,INICIO!$A$5:$J$72,5,FALSE)</f>
        <v>#N/A</v>
      </c>
      <c r="Q103" s="11"/>
      <c r="R103" s="242" t="str">
        <f>IFERROR(IF(Q103&gt;0,"",Q103*VLOOKUP($A103,'VALOR I.'!$B$6:$K$418,10,FALSE)),"")</f>
        <v/>
      </c>
      <c r="S103" s="276" t="e">
        <f>VLOOKUP($A103,INICIO!$A$5:$J$72,5,FALSE)</f>
        <v>#N/A</v>
      </c>
      <c r="T103" s="232" t="e">
        <f>VLOOKUP($A103,REPOSICIONES!$A$5:$J$72,5,FALSE)</f>
        <v>#N/A</v>
      </c>
      <c r="U103" s="79" t="e">
        <f t="shared" si="40"/>
        <v>#N/A</v>
      </c>
      <c r="V103" s="230" t="str">
        <f>IFERROR(VLOOKUP($A103,VENTAS!$H$2:$O$201,4,FALSE),"")</f>
        <v/>
      </c>
      <c r="W103" s="11" t="str">
        <f t="shared" si="41"/>
        <v/>
      </c>
      <c r="X103" s="270" t="e">
        <f>VLOOKUP($A103,INICIO!$A$5:$J$72,6,FALSE)</f>
        <v>#N/A</v>
      </c>
      <c r="Y103" s="11"/>
      <c r="Z103" s="242" t="str">
        <f>IFERROR(IF(Y103&gt;0,"",Y103*VLOOKUP($A103,'VALOR I.'!$B$6:$K$418,10,FALSE)),"")</f>
        <v/>
      </c>
      <c r="AA103" s="276" t="e">
        <f>VLOOKUP($A103,INICIO!$A$5:$J$72,6,FALSE)</f>
        <v>#N/A</v>
      </c>
      <c r="AB103" s="232" t="e">
        <f>VLOOKUP($A103,REPOSICIONES!$A$5:$J$72,6,FALSE)</f>
        <v>#N/A</v>
      </c>
      <c r="AC103" s="79" t="e">
        <f t="shared" si="42"/>
        <v>#N/A</v>
      </c>
      <c r="AD103" s="230" t="str">
        <f>IFERROR(VLOOKUP($A103,VENTAS!$H$2:$O$201,5,FALSE),"")</f>
        <v/>
      </c>
      <c r="AE103" s="11" t="str">
        <f t="shared" si="43"/>
        <v/>
      </c>
      <c r="AF103" s="270" t="e">
        <f>VLOOKUP($A103,INICIO!$A$5:$J$72,7,FALSE)</f>
        <v>#N/A</v>
      </c>
      <c r="AG103" s="11"/>
      <c r="AH103" s="242" t="str">
        <f>IFERROR(IF(AG103&gt;0,"",AG103*VLOOKUP($A103,'VALOR I.'!$B$6:$K$418,10,FALSE)),"")</f>
        <v/>
      </c>
      <c r="AI103" s="269" t="e">
        <f>VLOOKUP($A103,INICIO!$A$5:$J$72,7,FALSE)</f>
        <v>#N/A</v>
      </c>
      <c r="AJ103" s="232" t="e">
        <f>VLOOKUP($A103,REPOSICIONES!$A$5:$J$72,7,FALSE)</f>
        <v>#N/A</v>
      </c>
      <c r="AK103" s="79" t="e">
        <f t="shared" si="44"/>
        <v>#N/A</v>
      </c>
      <c r="AL103" s="230" t="str">
        <f>IFERROR(VLOOKUP($A103,VENTAS!$H$2:$O$201,6,FALSE),"")</f>
        <v/>
      </c>
      <c r="AM103" s="11" t="str">
        <f t="shared" si="45"/>
        <v/>
      </c>
      <c r="AN103" s="270" t="e">
        <f>VLOOKUP($A103,INICIO!$A$5:$J$72,8,FALSE)</f>
        <v>#N/A</v>
      </c>
      <c r="AO103" s="11"/>
      <c r="AP103" s="204" t="str">
        <f>IFERROR(IF(AO103&gt;0,"",AO103*VLOOKUP($A103,'VALOR I.'!$B$6:$K$418,10,FALSE)),"")</f>
        <v/>
      </c>
      <c r="AQ103" s="269" t="e">
        <f>VLOOKUP($A103,INICIO!$A$5:$J$72,8,FALSE)</f>
        <v>#N/A</v>
      </c>
      <c r="AR103" s="232" t="e">
        <f>VLOOKUP($A103,REPOSICIONES!$A$5:$J$72,8,FALSE)</f>
        <v>#N/A</v>
      </c>
      <c r="AS103" s="79" t="e">
        <f t="shared" si="46"/>
        <v>#N/A</v>
      </c>
      <c r="AT103" s="230" t="str">
        <f>IFERROR(VLOOKUP($A103,VENTAS!$H$2:$O$201,7,FALSE),"")</f>
        <v/>
      </c>
      <c r="AU103" s="11" t="str">
        <f t="shared" si="47"/>
        <v/>
      </c>
      <c r="AV103" s="270" t="e">
        <f>VLOOKUP($A103,INICIO!$A$5:$J$72,9,FALSE)</f>
        <v>#N/A</v>
      </c>
      <c r="AW103" s="11"/>
      <c r="AX103" s="204" t="str">
        <f>IFERROR(IF(AW103&gt;0,"",AW103*VLOOKUP($A103,'VALOR I.'!$B$6:$K$418,10,FALSE)),"")</f>
        <v/>
      </c>
      <c r="AY103" s="269" t="e">
        <f>VLOOKUP($A103,INICIO!$A$5:$J$72,9,FALSE)</f>
        <v>#N/A</v>
      </c>
      <c r="AZ103" s="232" t="e">
        <f>VLOOKUP($A103,REPOSICIONES!$A$5:$J$72,9,FALSE)</f>
        <v>#N/A</v>
      </c>
      <c r="BA103" s="79" t="e">
        <f t="shared" si="48"/>
        <v>#N/A</v>
      </c>
      <c r="BB103" s="230" t="str">
        <f>IFERROR(VLOOKUP($A103,VENTAS!$H$2:$O$201,8,FALSE),"")</f>
        <v/>
      </c>
      <c r="BC103" s="11" t="str">
        <f t="shared" si="49"/>
        <v/>
      </c>
      <c r="BD103" s="270" t="e">
        <f>VLOOKUP($A103,INICIO!$A$5:$J$72,10,FALSE)</f>
        <v>#N/A</v>
      </c>
      <c r="BE103" s="11"/>
      <c r="BF103" s="204" t="str">
        <f>IFERROR(IF(BE103&gt;0,"",BE103*VLOOKUP($A103,'VALOR I.'!$B$6:$K$418,10,FALSE)),"")</f>
        <v/>
      </c>
    </row>
    <row r="104" spans="1:58" ht="15.75" hidden="1" customHeight="1" x14ac:dyDescent="0.25">
      <c r="B104" s="213"/>
      <c r="C104" s="239" t="e">
        <f>VLOOKUP($A104,INICIO!$A$5:$J$72,3,FALSE)</f>
        <v>#N/A</v>
      </c>
      <c r="D104" s="9" t="e">
        <f>VLOOKUP($A104,REPOSICIONES!$A$5:$J$72,3,FALSE)</f>
        <v>#N/A</v>
      </c>
      <c r="E104" s="79" t="e">
        <f t="shared" si="36"/>
        <v>#N/A</v>
      </c>
      <c r="F104" s="80" t="str">
        <f>IFERROR(VLOOKUP($A104,VENTAS!$H$2:$O$201,2,FALSE),"")</f>
        <v/>
      </c>
      <c r="G104" s="9" t="str">
        <f t="shared" si="37"/>
        <v/>
      </c>
      <c r="H104" s="9" t="e">
        <f>VLOOKUP($A104,INICIO!$A$5:$J$72,4,FALSE)</f>
        <v>#N/A</v>
      </c>
      <c r="I104" s="13"/>
      <c r="J104" s="242" t="str">
        <f>IFERROR(IF(I104&gt;0,"",I104*VLOOKUP($A104,'VALOR I.'!$B$6:$K$418,10,FALSE)),"")</f>
        <v/>
      </c>
      <c r="K104" s="276" t="e">
        <f>VLOOKUP($A104,INICIO!$A$5:$J$72,4,FALSE)</f>
        <v>#N/A</v>
      </c>
      <c r="L104" s="232" t="e">
        <f>VLOOKUP($A104,REPOSICIONES!$A$5:$J$72,4,FALSE)</f>
        <v>#N/A</v>
      </c>
      <c r="M104" s="13" t="e">
        <f t="shared" si="38"/>
        <v>#N/A</v>
      </c>
      <c r="N104" s="230" t="str">
        <f>IFERROR(VLOOKUP($A104,VENTAS!$H$2:$O$201,3,FALSE),"")</f>
        <v/>
      </c>
      <c r="O104" s="267" t="str">
        <f t="shared" si="39"/>
        <v/>
      </c>
      <c r="P104" s="270" t="e">
        <f>VLOOKUP($A104,INICIO!$A$5:$J$72,5,FALSE)</f>
        <v>#N/A</v>
      </c>
      <c r="Q104" s="13"/>
      <c r="R104" s="242" t="str">
        <f>IFERROR(IF(Q104&gt;0,"",Q104*VLOOKUP($A104,'VALOR I.'!$B$6:$K$418,10,FALSE)),"")</f>
        <v/>
      </c>
      <c r="S104" s="276" t="e">
        <f>VLOOKUP($A104,INICIO!$A$5:$J$72,5,FALSE)</f>
        <v>#N/A</v>
      </c>
      <c r="T104" s="232" t="e">
        <f>VLOOKUP($A104,REPOSICIONES!$A$5:$J$72,5,FALSE)</f>
        <v>#N/A</v>
      </c>
      <c r="U104" s="13" t="e">
        <f t="shared" si="40"/>
        <v>#N/A</v>
      </c>
      <c r="V104" s="230" t="str">
        <f>IFERROR(VLOOKUP($A104,VENTAS!$H$2:$O$201,4,FALSE),"")</f>
        <v/>
      </c>
      <c r="W104" s="13" t="str">
        <f t="shared" si="41"/>
        <v/>
      </c>
      <c r="X104" s="270" t="e">
        <f>VLOOKUP($A104,INICIO!$A$5:$J$72,6,FALSE)</f>
        <v>#N/A</v>
      </c>
      <c r="Y104" s="13"/>
      <c r="Z104" s="242" t="str">
        <f>IFERROR(IF(Y104&gt;0,"",Y104*VLOOKUP($A104,'VALOR I.'!$B$6:$K$418,10,FALSE)),"")</f>
        <v/>
      </c>
      <c r="AA104" s="276" t="e">
        <f>VLOOKUP($A104,INICIO!$A$5:$J$72,6,FALSE)</f>
        <v>#N/A</v>
      </c>
      <c r="AB104" s="232" t="e">
        <f>VLOOKUP($A104,REPOSICIONES!$A$5:$J$72,6,FALSE)</f>
        <v>#N/A</v>
      </c>
      <c r="AC104" s="13" t="e">
        <f t="shared" si="42"/>
        <v>#N/A</v>
      </c>
      <c r="AD104" s="230" t="str">
        <f>IFERROR(VLOOKUP($A104,VENTAS!$H$2:$O$201,5,FALSE),"")</f>
        <v/>
      </c>
      <c r="AE104" s="13" t="str">
        <f t="shared" si="43"/>
        <v/>
      </c>
      <c r="AF104" s="270" t="e">
        <f>VLOOKUP($A104,INICIO!$A$5:$J$72,7,FALSE)</f>
        <v>#N/A</v>
      </c>
      <c r="AG104" s="13"/>
      <c r="AH104" s="242" t="str">
        <f>IFERROR(IF(AG104&gt;0,"",AG104*VLOOKUP($A104,'VALOR I.'!$B$6:$K$418,10,FALSE)),"")</f>
        <v/>
      </c>
      <c r="AI104" s="269" t="e">
        <f>VLOOKUP($A104,INICIO!$A$5:$J$72,7,FALSE)</f>
        <v>#N/A</v>
      </c>
      <c r="AJ104" s="232" t="e">
        <f>VLOOKUP($A104,REPOSICIONES!$A$5:$J$72,7,FALSE)</f>
        <v>#N/A</v>
      </c>
      <c r="AK104" s="13" t="e">
        <f t="shared" si="44"/>
        <v>#N/A</v>
      </c>
      <c r="AL104" s="230" t="str">
        <f>IFERROR(VLOOKUP($A104,VENTAS!$H$2:$O$201,6,FALSE),"")</f>
        <v/>
      </c>
      <c r="AM104" s="13" t="str">
        <f t="shared" si="45"/>
        <v/>
      </c>
      <c r="AN104" s="270" t="e">
        <f>VLOOKUP($A104,INICIO!$A$5:$J$72,8,FALSE)</f>
        <v>#N/A</v>
      </c>
      <c r="AO104" s="13"/>
      <c r="AP104" s="204" t="str">
        <f>IFERROR(IF(AO104&gt;0,"",AO104*VLOOKUP($A104,'VALOR I.'!$B$6:$K$418,10,FALSE)),"")</f>
        <v/>
      </c>
      <c r="AQ104" s="269" t="e">
        <f>VLOOKUP($A104,INICIO!$A$5:$J$72,8,FALSE)</f>
        <v>#N/A</v>
      </c>
      <c r="AR104" s="232" t="e">
        <f>VLOOKUP($A104,REPOSICIONES!$A$5:$J$72,8,FALSE)</f>
        <v>#N/A</v>
      </c>
      <c r="AS104" s="13" t="e">
        <f t="shared" si="46"/>
        <v>#N/A</v>
      </c>
      <c r="AT104" s="230" t="str">
        <f>IFERROR(VLOOKUP($A104,VENTAS!$H$2:$O$201,7,FALSE),"")</f>
        <v/>
      </c>
      <c r="AU104" s="13" t="str">
        <f t="shared" si="47"/>
        <v/>
      </c>
      <c r="AV104" s="270" t="e">
        <f>VLOOKUP($A104,INICIO!$A$5:$J$72,9,FALSE)</f>
        <v>#N/A</v>
      </c>
      <c r="AW104" s="13"/>
      <c r="AX104" s="204" t="str">
        <f>IFERROR(IF(AW104&gt;0,"",AW104*VLOOKUP($A104,'VALOR I.'!$B$6:$K$418,10,FALSE)),"")</f>
        <v/>
      </c>
      <c r="AY104" s="269" t="e">
        <f>VLOOKUP($A104,INICIO!$A$5:$J$72,9,FALSE)</f>
        <v>#N/A</v>
      </c>
      <c r="AZ104" s="232" t="e">
        <f>VLOOKUP($A104,REPOSICIONES!$A$5:$J$72,9,FALSE)</f>
        <v>#N/A</v>
      </c>
      <c r="BA104" s="13" t="e">
        <f t="shared" si="48"/>
        <v>#N/A</v>
      </c>
      <c r="BB104" s="230" t="str">
        <f>IFERROR(VLOOKUP($A104,VENTAS!$H$2:$O$201,8,FALSE),"")</f>
        <v/>
      </c>
      <c r="BC104" s="13" t="str">
        <f t="shared" si="49"/>
        <v/>
      </c>
      <c r="BD104" s="270" t="e">
        <f>VLOOKUP($A104,INICIO!$A$5:$J$72,10,FALSE)</f>
        <v>#N/A</v>
      </c>
      <c r="BE104" s="13"/>
      <c r="BF104" s="204" t="str">
        <f>IFERROR(IF(BE104&gt;0,"",BE104*VLOOKUP($A104,'VALOR I.'!$B$6:$K$418,10,FALSE)),"")</f>
        <v/>
      </c>
    </row>
    <row r="105" spans="1:58" ht="15.75" hidden="1" customHeight="1" x14ac:dyDescent="0.25">
      <c r="A105" s="71"/>
      <c r="B105" s="214"/>
      <c r="C105" s="239" t="e">
        <f>VLOOKUP($A105,INICIO!$A$5:$J$72,3,FALSE)</f>
        <v>#N/A</v>
      </c>
      <c r="D105" s="9" t="e">
        <f>VLOOKUP($A105,REPOSICIONES!$A$5:$J$72,3,FALSE)</f>
        <v>#N/A</v>
      </c>
      <c r="E105" s="79" t="e">
        <f t="shared" si="36"/>
        <v>#N/A</v>
      </c>
      <c r="F105" s="80" t="str">
        <f>IFERROR(VLOOKUP($A105,VENTAS!$H$2:$O$201,2,FALSE),"")</f>
        <v/>
      </c>
      <c r="G105" s="9" t="str">
        <f t="shared" si="37"/>
        <v/>
      </c>
      <c r="H105" s="9" t="e">
        <f>VLOOKUP($A105,INICIO!$A$5:$J$72,4,FALSE)</f>
        <v>#N/A</v>
      </c>
      <c r="I105" s="11"/>
      <c r="J105" s="242" t="str">
        <f>IFERROR(IF(I105&gt;0,"",I105*VLOOKUP($A105,'VALOR I.'!$B$6:$K$418,10,FALSE)),"")</f>
        <v/>
      </c>
      <c r="K105" s="276" t="e">
        <f>VLOOKUP($A105,INICIO!$A$5:$J$72,4,FALSE)</f>
        <v>#N/A</v>
      </c>
      <c r="L105" s="232" t="e">
        <f>VLOOKUP($A105,REPOSICIONES!$A$5:$J$72,4,FALSE)</f>
        <v>#N/A</v>
      </c>
      <c r="M105" s="79" t="e">
        <f t="shared" si="38"/>
        <v>#N/A</v>
      </c>
      <c r="N105" s="230" t="str">
        <f>IFERROR(VLOOKUP($A105,VENTAS!$H$2:$O$201,3,FALSE),"")</f>
        <v/>
      </c>
      <c r="O105" s="267" t="str">
        <f t="shared" si="39"/>
        <v/>
      </c>
      <c r="P105" s="270" t="e">
        <f>VLOOKUP($A105,INICIO!$A$5:$J$72,5,FALSE)</f>
        <v>#N/A</v>
      </c>
      <c r="Q105" s="11"/>
      <c r="R105" s="242" t="str">
        <f>IFERROR(IF(Q105&gt;0,"",Q105*VLOOKUP($A105,'VALOR I.'!$B$6:$K$418,10,FALSE)),"")</f>
        <v/>
      </c>
      <c r="S105" s="276" t="e">
        <f>VLOOKUP($A105,INICIO!$A$5:$J$72,5,FALSE)</f>
        <v>#N/A</v>
      </c>
      <c r="T105" s="232" t="e">
        <f>VLOOKUP($A105,REPOSICIONES!$A$5:$J$72,5,FALSE)</f>
        <v>#N/A</v>
      </c>
      <c r="U105" s="79" t="e">
        <f t="shared" si="40"/>
        <v>#N/A</v>
      </c>
      <c r="V105" s="230" t="str">
        <f>IFERROR(VLOOKUP($A105,VENTAS!$H$2:$O$201,4,FALSE),"")</f>
        <v/>
      </c>
      <c r="W105" s="11" t="str">
        <f t="shared" si="41"/>
        <v/>
      </c>
      <c r="X105" s="270" t="e">
        <f>VLOOKUP($A105,INICIO!$A$5:$J$72,6,FALSE)</f>
        <v>#N/A</v>
      </c>
      <c r="Y105" s="11"/>
      <c r="Z105" s="242" t="str">
        <f>IFERROR(IF(Y105&gt;0,"",Y105*VLOOKUP($A105,'VALOR I.'!$B$6:$K$418,10,FALSE)),"")</f>
        <v/>
      </c>
      <c r="AA105" s="276" t="e">
        <f>VLOOKUP($A105,INICIO!$A$5:$J$72,6,FALSE)</f>
        <v>#N/A</v>
      </c>
      <c r="AB105" s="232" t="e">
        <f>VLOOKUP($A105,REPOSICIONES!$A$5:$J$72,6,FALSE)</f>
        <v>#N/A</v>
      </c>
      <c r="AC105" s="79" t="e">
        <f t="shared" si="42"/>
        <v>#N/A</v>
      </c>
      <c r="AD105" s="230" t="str">
        <f>IFERROR(VLOOKUP($A105,VENTAS!$H$2:$O$201,5,FALSE),"")</f>
        <v/>
      </c>
      <c r="AE105" s="11" t="str">
        <f t="shared" si="43"/>
        <v/>
      </c>
      <c r="AF105" s="270" t="e">
        <f>VLOOKUP($A105,INICIO!$A$5:$J$72,7,FALSE)</f>
        <v>#N/A</v>
      </c>
      <c r="AG105" s="11"/>
      <c r="AH105" s="242" t="str">
        <f>IFERROR(IF(AG105&gt;0,"",AG105*VLOOKUP($A105,'VALOR I.'!$B$6:$K$418,10,FALSE)),"")</f>
        <v/>
      </c>
      <c r="AI105" s="269" t="e">
        <f>VLOOKUP($A105,INICIO!$A$5:$J$72,7,FALSE)</f>
        <v>#N/A</v>
      </c>
      <c r="AJ105" s="232" t="e">
        <f>VLOOKUP($A105,REPOSICIONES!$A$5:$J$72,7,FALSE)</f>
        <v>#N/A</v>
      </c>
      <c r="AK105" s="79" t="e">
        <f t="shared" si="44"/>
        <v>#N/A</v>
      </c>
      <c r="AL105" s="230" t="str">
        <f>IFERROR(VLOOKUP($A105,VENTAS!$H$2:$O$201,6,FALSE),"")</f>
        <v/>
      </c>
      <c r="AM105" s="11" t="str">
        <f t="shared" si="45"/>
        <v/>
      </c>
      <c r="AN105" s="270" t="e">
        <f>VLOOKUP($A105,INICIO!$A$5:$J$72,8,FALSE)</f>
        <v>#N/A</v>
      </c>
      <c r="AO105" s="11"/>
      <c r="AP105" s="204" t="str">
        <f>IFERROR(IF(AO105&gt;0,"",AO105*VLOOKUP($A105,'VALOR I.'!$B$6:$K$418,10,FALSE)),"")</f>
        <v/>
      </c>
      <c r="AQ105" s="269" t="e">
        <f>VLOOKUP($A105,INICIO!$A$5:$J$72,8,FALSE)</f>
        <v>#N/A</v>
      </c>
      <c r="AR105" s="232" t="e">
        <f>VLOOKUP($A105,REPOSICIONES!$A$5:$J$72,8,FALSE)</f>
        <v>#N/A</v>
      </c>
      <c r="AS105" s="79" t="e">
        <f t="shared" si="46"/>
        <v>#N/A</v>
      </c>
      <c r="AT105" s="230" t="str">
        <f>IFERROR(VLOOKUP($A105,VENTAS!$H$2:$O$201,7,FALSE),"")</f>
        <v/>
      </c>
      <c r="AU105" s="11" t="str">
        <f t="shared" si="47"/>
        <v/>
      </c>
      <c r="AV105" s="270" t="e">
        <f>VLOOKUP($A105,INICIO!$A$5:$J$72,9,FALSE)</f>
        <v>#N/A</v>
      </c>
      <c r="AW105" s="11"/>
      <c r="AX105" s="204" t="str">
        <f>IFERROR(IF(AW105&gt;0,"",AW105*VLOOKUP($A105,'VALOR I.'!$B$6:$K$418,10,FALSE)),"")</f>
        <v/>
      </c>
      <c r="AY105" s="269" t="e">
        <f>VLOOKUP($A105,INICIO!$A$5:$J$72,9,FALSE)</f>
        <v>#N/A</v>
      </c>
      <c r="AZ105" s="232" t="e">
        <f>VLOOKUP($A105,REPOSICIONES!$A$5:$J$72,9,FALSE)</f>
        <v>#N/A</v>
      </c>
      <c r="BA105" s="79" t="e">
        <f t="shared" si="48"/>
        <v>#N/A</v>
      </c>
      <c r="BB105" s="230" t="str">
        <f>IFERROR(VLOOKUP($A105,VENTAS!$H$2:$O$201,8,FALSE),"")</f>
        <v/>
      </c>
      <c r="BC105" s="11" t="str">
        <f t="shared" si="49"/>
        <v/>
      </c>
      <c r="BD105" s="270" t="e">
        <f>VLOOKUP($A105,INICIO!$A$5:$J$72,10,FALSE)</f>
        <v>#N/A</v>
      </c>
      <c r="BE105" s="11"/>
      <c r="BF105" s="204" t="str">
        <f>IFERROR(IF(BE105&gt;0,"",BE105*VLOOKUP($A105,'VALOR I.'!$B$6:$K$418,10,FALSE)),"")</f>
        <v/>
      </c>
    </row>
    <row r="106" spans="1:58" ht="15.75" hidden="1" customHeight="1" x14ac:dyDescent="0.25">
      <c r="B106" s="214"/>
      <c r="C106" s="239" t="e">
        <f>VLOOKUP($A106,INICIO!$A$5:$J$72,3,FALSE)</f>
        <v>#N/A</v>
      </c>
      <c r="D106" s="9" t="e">
        <f>VLOOKUP($A106,REPOSICIONES!$A$5:$J$72,3,FALSE)</f>
        <v>#N/A</v>
      </c>
      <c r="E106" s="79" t="e">
        <f t="shared" si="36"/>
        <v>#N/A</v>
      </c>
      <c r="F106" s="80" t="str">
        <f>IFERROR(VLOOKUP($A106,VENTAS!$H$2:$O$201,2,FALSE),"")</f>
        <v/>
      </c>
      <c r="G106" s="9" t="str">
        <f t="shared" si="37"/>
        <v/>
      </c>
      <c r="H106" s="9" t="e">
        <f>VLOOKUP($A106,INICIO!$A$5:$J$72,4,FALSE)</f>
        <v>#N/A</v>
      </c>
      <c r="I106" s="11"/>
      <c r="J106" s="242" t="str">
        <f>IFERROR(IF(I106&gt;0,"",I106*VLOOKUP($A106,'VALOR I.'!$B$6:$K$418,10,FALSE)),"")</f>
        <v/>
      </c>
      <c r="K106" s="276" t="e">
        <f>VLOOKUP($A106,INICIO!$A$5:$J$72,4,FALSE)</f>
        <v>#N/A</v>
      </c>
      <c r="L106" s="232" t="e">
        <f>VLOOKUP($A106,REPOSICIONES!$A$5:$J$72,4,FALSE)</f>
        <v>#N/A</v>
      </c>
      <c r="M106" s="79" t="e">
        <f t="shared" si="38"/>
        <v>#N/A</v>
      </c>
      <c r="N106" s="230" t="str">
        <f>IFERROR(VLOOKUP($A106,VENTAS!$H$2:$O$201,3,FALSE),"")</f>
        <v/>
      </c>
      <c r="O106" s="267" t="str">
        <f t="shared" si="39"/>
        <v/>
      </c>
      <c r="P106" s="270" t="e">
        <f>VLOOKUP($A106,INICIO!$A$5:$J$72,5,FALSE)</f>
        <v>#N/A</v>
      </c>
      <c r="Q106" s="11"/>
      <c r="R106" s="242" t="str">
        <f>IFERROR(IF(Q106&gt;0,"",Q106*VLOOKUP($A106,'VALOR I.'!$B$6:$K$418,10,FALSE)),"")</f>
        <v/>
      </c>
      <c r="S106" s="276" t="e">
        <f>VLOOKUP($A106,INICIO!$A$5:$J$72,5,FALSE)</f>
        <v>#N/A</v>
      </c>
      <c r="T106" s="232" t="e">
        <f>VLOOKUP($A106,REPOSICIONES!$A$5:$J$72,5,FALSE)</f>
        <v>#N/A</v>
      </c>
      <c r="U106" s="79" t="e">
        <f t="shared" si="40"/>
        <v>#N/A</v>
      </c>
      <c r="V106" s="230" t="str">
        <f>IFERROR(VLOOKUP($A106,VENTAS!$H$2:$O$201,4,FALSE),"")</f>
        <v/>
      </c>
      <c r="W106" s="11" t="str">
        <f t="shared" si="41"/>
        <v/>
      </c>
      <c r="X106" s="270" t="e">
        <f>VLOOKUP($A106,INICIO!$A$5:$J$72,6,FALSE)</f>
        <v>#N/A</v>
      </c>
      <c r="Y106" s="11"/>
      <c r="Z106" s="242" t="str">
        <f>IFERROR(IF(Y106&gt;0,"",Y106*VLOOKUP($A106,'VALOR I.'!$B$6:$K$418,10,FALSE)),"")</f>
        <v/>
      </c>
      <c r="AA106" s="276" t="e">
        <f>VLOOKUP($A106,INICIO!$A$5:$J$72,6,FALSE)</f>
        <v>#N/A</v>
      </c>
      <c r="AB106" s="232" t="e">
        <f>VLOOKUP($A106,REPOSICIONES!$A$5:$J$72,6,FALSE)</f>
        <v>#N/A</v>
      </c>
      <c r="AC106" s="79" t="e">
        <f t="shared" si="42"/>
        <v>#N/A</v>
      </c>
      <c r="AD106" s="230" t="str">
        <f>IFERROR(VLOOKUP($A106,VENTAS!$H$2:$O$201,5,FALSE),"")</f>
        <v/>
      </c>
      <c r="AE106" s="11" t="str">
        <f t="shared" si="43"/>
        <v/>
      </c>
      <c r="AF106" s="270" t="e">
        <f>VLOOKUP($A106,INICIO!$A$5:$J$72,7,FALSE)</f>
        <v>#N/A</v>
      </c>
      <c r="AG106" s="11"/>
      <c r="AH106" s="242" t="str">
        <f>IFERROR(IF(AG106&gt;0,"",AG106*VLOOKUP($A106,'VALOR I.'!$B$6:$K$418,10,FALSE)),"")</f>
        <v/>
      </c>
      <c r="AI106" s="269" t="e">
        <f>VLOOKUP($A106,INICIO!$A$5:$J$72,7,FALSE)</f>
        <v>#N/A</v>
      </c>
      <c r="AJ106" s="232" t="e">
        <f>VLOOKUP($A106,REPOSICIONES!$A$5:$J$72,7,FALSE)</f>
        <v>#N/A</v>
      </c>
      <c r="AK106" s="79" t="e">
        <f t="shared" si="44"/>
        <v>#N/A</v>
      </c>
      <c r="AL106" s="230" t="str">
        <f>IFERROR(VLOOKUP($A106,VENTAS!$H$2:$O$201,6,FALSE),"")</f>
        <v/>
      </c>
      <c r="AM106" s="11" t="str">
        <f t="shared" si="45"/>
        <v/>
      </c>
      <c r="AN106" s="270" t="e">
        <f>VLOOKUP($A106,INICIO!$A$5:$J$72,8,FALSE)</f>
        <v>#N/A</v>
      </c>
      <c r="AO106" s="11"/>
      <c r="AP106" s="204" t="str">
        <f>IFERROR(IF(AO106&gt;0,"",AO106*VLOOKUP($A106,'VALOR I.'!$B$6:$K$418,10,FALSE)),"")</f>
        <v/>
      </c>
      <c r="AQ106" s="269" t="e">
        <f>VLOOKUP($A106,INICIO!$A$5:$J$72,8,FALSE)</f>
        <v>#N/A</v>
      </c>
      <c r="AR106" s="232" t="e">
        <f>VLOOKUP($A106,REPOSICIONES!$A$5:$J$72,8,FALSE)</f>
        <v>#N/A</v>
      </c>
      <c r="AS106" s="79" t="e">
        <f t="shared" si="46"/>
        <v>#N/A</v>
      </c>
      <c r="AT106" s="230" t="str">
        <f>IFERROR(VLOOKUP($A106,VENTAS!$H$2:$O$201,7,FALSE),"")</f>
        <v/>
      </c>
      <c r="AU106" s="11" t="str">
        <f t="shared" si="47"/>
        <v/>
      </c>
      <c r="AV106" s="270" t="e">
        <f>VLOOKUP($A106,INICIO!$A$5:$J$72,9,FALSE)</f>
        <v>#N/A</v>
      </c>
      <c r="AW106" s="11"/>
      <c r="AX106" s="204" t="str">
        <f>IFERROR(IF(AW106&gt;0,"",AW106*VLOOKUP($A106,'VALOR I.'!$B$6:$K$418,10,FALSE)),"")</f>
        <v/>
      </c>
      <c r="AY106" s="269" t="e">
        <f>VLOOKUP($A106,INICIO!$A$5:$J$72,9,FALSE)</f>
        <v>#N/A</v>
      </c>
      <c r="AZ106" s="232" t="e">
        <f>VLOOKUP($A106,REPOSICIONES!$A$5:$J$72,9,FALSE)</f>
        <v>#N/A</v>
      </c>
      <c r="BA106" s="79" t="e">
        <f t="shared" si="48"/>
        <v>#N/A</v>
      </c>
      <c r="BB106" s="230" t="str">
        <f>IFERROR(VLOOKUP($A106,VENTAS!$H$2:$O$201,8,FALSE),"")</f>
        <v/>
      </c>
      <c r="BC106" s="11" t="str">
        <f t="shared" si="49"/>
        <v/>
      </c>
      <c r="BD106" s="270" t="e">
        <f>VLOOKUP($A106,INICIO!$A$5:$J$72,10,FALSE)</f>
        <v>#N/A</v>
      </c>
      <c r="BE106" s="11"/>
      <c r="BF106" s="204" t="str">
        <f>IFERROR(IF(BE106&gt;0,"",BE106*VLOOKUP($A106,'VALOR I.'!$B$6:$K$418,10,FALSE)),"")</f>
        <v/>
      </c>
    </row>
    <row r="107" spans="1:58" ht="15.75" hidden="1" customHeight="1" x14ac:dyDescent="0.25">
      <c r="B107" s="212"/>
      <c r="C107" s="239" t="e">
        <f>VLOOKUP($A107,INICIO!$A$5:$J$72,3,FALSE)</f>
        <v>#N/A</v>
      </c>
      <c r="D107" s="9" t="e">
        <f>VLOOKUP($A107,REPOSICIONES!$A$5:$J$72,3,FALSE)</f>
        <v>#N/A</v>
      </c>
      <c r="E107" s="79" t="e">
        <f t="shared" si="36"/>
        <v>#N/A</v>
      </c>
      <c r="F107" s="80" t="str">
        <f>IFERROR(VLOOKUP($A107,VENTAS!$H$2:$O$201,2,FALSE),"")</f>
        <v/>
      </c>
      <c r="G107" s="9" t="str">
        <f t="shared" si="37"/>
        <v/>
      </c>
      <c r="H107" s="9" t="e">
        <f>VLOOKUP($A107,INICIO!$A$5:$J$72,4,FALSE)</f>
        <v>#N/A</v>
      </c>
      <c r="I107" s="11"/>
      <c r="J107" s="242" t="str">
        <f>IFERROR(IF(I107&gt;0,"",I107*VLOOKUP($A107,'VALOR I.'!$B$6:$K$418,10,FALSE)),"")</f>
        <v/>
      </c>
      <c r="K107" s="276" t="e">
        <f>VLOOKUP($A107,INICIO!$A$5:$J$72,4,FALSE)</f>
        <v>#N/A</v>
      </c>
      <c r="L107" s="232" t="e">
        <f>VLOOKUP($A107,REPOSICIONES!$A$5:$J$72,4,FALSE)</f>
        <v>#N/A</v>
      </c>
      <c r="M107" s="79" t="e">
        <f t="shared" si="38"/>
        <v>#N/A</v>
      </c>
      <c r="N107" s="230" t="str">
        <f>IFERROR(VLOOKUP($A107,VENTAS!$H$2:$O$201,3,FALSE),"")</f>
        <v/>
      </c>
      <c r="O107" s="267" t="str">
        <f t="shared" si="39"/>
        <v/>
      </c>
      <c r="P107" s="270" t="e">
        <f>VLOOKUP($A107,INICIO!$A$5:$J$72,5,FALSE)</f>
        <v>#N/A</v>
      </c>
      <c r="Q107" s="11"/>
      <c r="R107" s="242" t="str">
        <f>IFERROR(IF(Q107&gt;0,"",Q107*VLOOKUP($A107,'VALOR I.'!$B$6:$K$418,10,FALSE)),"")</f>
        <v/>
      </c>
      <c r="S107" s="276" t="e">
        <f>VLOOKUP($A107,INICIO!$A$5:$J$72,5,FALSE)</f>
        <v>#N/A</v>
      </c>
      <c r="T107" s="232" t="e">
        <f>VLOOKUP($A107,REPOSICIONES!$A$5:$J$72,5,FALSE)</f>
        <v>#N/A</v>
      </c>
      <c r="U107" s="79" t="e">
        <f t="shared" si="40"/>
        <v>#N/A</v>
      </c>
      <c r="V107" s="230" t="str">
        <f>IFERROR(VLOOKUP($A107,VENTAS!$H$2:$O$201,4,FALSE),"")</f>
        <v/>
      </c>
      <c r="W107" s="11" t="str">
        <f t="shared" si="41"/>
        <v/>
      </c>
      <c r="X107" s="270" t="e">
        <f>VLOOKUP($A107,INICIO!$A$5:$J$72,6,FALSE)</f>
        <v>#N/A</v>
      </c>
      <c r="Y107" s="11"/>
      <c r="Z107" s="242" t="str">
        <f>IFERROR(IF(Y107&gt;0,"",Y107*VLOOKUP($A107,'VALOR I.'!$B$6:$K$418,10,FALSE)),"")</f>
        <v/>
      </c>
      <c r="AA107" s="276" t="e">
        <f>VLOOKUP($A107,INICIO!$A$5:$J$72,6,FALSE)</f>
        <v>#N/A</v>
      </c>
      <c r="AB107" s="232" t="e">
        <f>VLOOKUP($A107,REPOSICIONES!$A$5:$J$72,6,FALSE)</f>
        <v>#N/A</v>
      </c>
      <c r="AC107" s="79" t="e">
        <f t="shared" si="42"/>
        <v>#N/A</v>
      </c>
      <c r="AD107" s="230" t="str">
        <f>IFERROR(VLOOKUP($A107,VENTAS!$H$2:$O$201,5,FALSE),"")</f>
        <v/>
      </c>
      <c r="AE107" s="11" t="str">
        <f t="shared" si="43"/>
        <v/>
      </c>
      <c r="AF107" s="270" t="e">
        <f>VLOOKUP($A107,INICIO!$A$5:$J$72,7,FALSE)</f>
        <v>#N/A</v>
      </c>
      <c r="AG107" s="11"/>
      <c r="AH107" s="242" t="str">
        <f>IFERROR(IF(AG107&gt;0,"",AG107*VLOOKUP($A107,'VALOR I.'!$B$6:$K$418,10,FALSE)),"")</f>
        <v/>
      </c>
      <c r="AI107" s="269" t="e">
        <f>VLOOKUP($A107,INICIO!$A$5:$J$72,7,FALSE)</f>
        <v>#N/A</v>
      </c>
      <c r="AJ107" s="232" t="e">
        <f>VLOOKUP($A107,REPOSICIONES!$A$5:$J$72,7,FALSE)</f>
        <v>#N/A</v>
      </c>
      <c r="AK107" s="79" t="e">
        <f t="shared" si="44"/>
        <v>#N/A</v>
      </c>
      <c r="AL107" s="230" t="str">
        <f>IFERROR(VLOOKUP($A107,VENTAS!$H$2:$O$201,6,FALSE),"")</f>
        <v/>
      </c>
      <c r="AM107" s="11" t="str">
        <f t="shared" si="45"/>
        <v/>
      </c>
      <c r="AN107" s="270" t="e">
        <f>VLOOKUP($A107,INICIO!$A$5:$J$72,8,FALSE)</f>
        <v>#N/A</v>
      </c>
      <c r="AO107" s="11"/>
      <c r="AP107" s="204" t="str">
        <f>IFERROR(IF(AO107&gt;0,"",AO107*VLOOKUP($A107,'VALOR I.'!$B$6:$K$418,10,FALSE)),"")</f>
        <v/>
      </c>
      <c r="AQ107" s="269" t="e">
        <f>VLOOKUP($A107,INICIO!$A$5:$J$72,8,FALSE)</f>
        <v>#N/A</v>
      </c>
      <c r="AR107" s="232" t="e">
        <f>VLOOKUP($A107,REPOSICIONES!$A$5:$J$72,8,FALSE)</f>
        <v>#N/A</v>
      </c>
      <c r="AS107" s="79" t="e">
        <f t="shared" si="46"/>
        <v>#N/A</v>
      </c>
      <c r="AT107" s="230" t="str">
        <f>IFERROR(VLOOKUP($A107,VENTAS!$H$2:$O$201,7,FALSE),"")</f>
        <v/>
      </c>
      <c r="AU107" s="11" t="str">
        <f t="shared" si="47"/>
        <v/>
      </c>
      <c r="AV107" s="270" t="e">
        <f>VLOOKUP($A107,INICIO!$A$5:$J$72,9,FALSE)</f>
        <v>#N/A</v>
      </c>
      <c r="AW107" s="11"/>
      <c r="AX107" s="204" t="str">
        <f>IFERROR(IF(AW107&gt;0,"",AW107*VLOOKUP($A107,'VALOR I.'!$B$6:$K$418,10,FALSE)),"")</f>
        <v/>
      </c>
      <c r="AY107" s="269" t="e">
        <f>VLOOKUP($A107,INICIO!$A$5:$J$72,9,FALSE)</f>
        <v>#N/A</v>
      </c>
      <c r="AZ107" s="232" t="e">
        <f>VLOOKUP($A107,REPOSICIONES!$A$5:$J$72,9,FALSE)</f>
        <v>#N/A</v>
      </c>
      <c r="BA107" s="79" t="e">
        <f t="shared" si="48"/>
        <v>#N/A</v>
      </c>
      <c r="BB107" s="230" t="str">
        <f>IFERROR(VLOOKUP($A107,VENTAS!$H$2:$O$201,8,FALSE),"")</f>
        <v/>
      </c>
      <c r="BC107" s="11" t="str">
        <f t="shared" si="49"/>
        <v/>
      </c>
      <c r="BD107" s="270" t="e">
        <f>VLOOKUP($A107,INICIO!$A$5:$J$72,10,FALSE)</f>
        <v>#N/A</v>
      </c>
      <c r="BE107" s="11"/>
      <c r="BF107" s="204" t="str">
        <f>IFERROR(IF(BE107&gt;0,"",BE107*VLOOKUP($A107,'VALOR I.'!$B$6:$K$418,10,FALSE)),"")</f>
        <v/>
      </c>
    </row>
    <row r="108" spans="1:58" ht="15.75" hidden="1" customHeight="1" x14ac:dyDescent="0.25">
      <c r="B108" s="214"/>
      <c r="C108" s="239" t="e">
        <f>VLOOKUP($A108,INICIO!$A$5:$J$72,3,FALSE)</f>
        <v>#N/A</v>
      </c>
      <c r="D108" s="9" t="e">
        <f>VLOOKUP($A108,REPOSICIONES!$A$5:$J$72,3,FALSE)</f>
        <v>#N/A</v>
      </c>
      <c r="E108" s="79" t="e">
        <f t="shared" si="36"/>
        <v>#N/A</v>
      </c>
      <c r="F108" s="80" t="str">
        <f>IFERROR(VLOOKUP($A108,VENTAS!$H$2:$O$201,2,FALSE),"")</f>
        <v/>
      </c>
      <c r="G108" s="9" t="str">
        <f t="shared" si="37"/>
        <v/>
      </c>
      <c r="H108" s="9" t="e">
        <f>VLOOKUP($A108,INICIO!$A$5:$J$72,4,FALSE)</f>
        <v>#N/A</v>
      </c>
      <c r="I108" s="11"/>
      <c r="J108" s="242" t="str">
        <f>IFERROR(IF(I108&gt;0,"",I108*VLOOKUP($A108,'VALOR I.'!$B$6:$K$418,10,FALSE)),"")</f>
        <v/>
      </c>
      <c r="K108" s="276" t="e">
        <f>VLOOKUP($A108,INICIO!$A$5:$J$72,4,FALSE)</f>
        <v>#N/A</v>
      </c>
      <c r="L108" s="232" t="e">
        <f>VLOOKUP($A108,REPOSICIONES!$A$5:$J$72,4,FALSE)</f>
        <v>#N/A</v>
      </c>
      <c r="M108" s="79" t="e">
        <f t="shared" si="38"/>
        <v>#N/A</v>
      </c>
      <c r="N108" s="230" t="str">
        <f>IFERROR(VLOOKUP($A108,VENTAS!$H$2:$O$201,3,FALSE),"")</f>
        <v/>
      </c>
      <c r="O108" s="267" t="str">
        <f t="shared" si="39"/>
        <v/>
      </c>
      <c r="P108" s="270" t="e">
        <f>VLOOKUP($A108,INICIO!$A$5:$J$72,5,FALSE)</f>
        <v>#N/A</v>
      </c>
      <c r="Q108" s="11"/>
      <c r="R108" s="242" t="str">
        <f>IFERROR(IF(Q108&gt;0,"",Q108*VLOOKUP($A108,'VALOR I.'!$B$6:$K$418,10,FALSE)),"")</f>
        <v/>
      </c>
      <c r="S108" s="276" t="e">
        <f>VLOOKUP($A108,INICIO!$A$5:$J$72,5,FALSE)</f>
        <v>#N/A</v>
      </c>
      <c r="T108" s="232" t="e">
        <f>VLOOKUP($A108,REPOSICIONES!$A$5:$J$72,5,FALSE)</f>
        <v>#N/A</v>
      </c>
      <c r="U108" s="79" t="e">
        <f t="shared" si="40"/>
        <v>#N/A</v>
      </c>
      <c r="V108" s="230" t="str">
        <f>IFERROR(VLOOKUP($A108,VENTAS!$H$2:$O$201,4,FALSE),"")</f>
        <v/>
      </c>
      <c r="W108" s="11" t="str">
        <f t="shared" si="41"/>
        <v/>
      </c>
      <c r="X108" s="270" t="e">
        <f>VLOOKUP($A108,INICIO!$A$5:$J$72,6,FALSE)</f>
        <v>#N/A</v>
      </c>
      <c r="Y108" s="11"/>
      <c r="Z108" s="242" t="str">
        <f>IFERROR(IF(Y108&gt;0,"",Y108*VLOOKUP($A108,'VALOR I.'!$B$6:$K$418,10,FALSE)),"")</f>
        <v/>
      </c>
      <c r="AA108" s="276" t="e">
        <f>VLOOKUP($A108,INICIO!$A$5:$J$72,6,FALSE)</f>
        <v>#N/A</v>
      </c>
      <c r="AB108" s="232" t="e">
        <f>VLOOKUP($A108,REPOSICIONES!$A$5:$J$72,6,FALSE)</f>
        <v>#N/A</v>
      </c>
      <c r="AC108" s="79" t="e">
        <f t="shared" si="42"/>
        <v>#N/A</v>
      </c>
      <c r="AD108" s="230" t="str">
        <f>IFERROR(VLOOKUP($A108,VENTAS!$H$2:$O$201,5,FALSE),"")</f>
        <v/>
      </c>
      <c r="AE108" s="11" t="str">
        <f t="shared" si="43"/>
        <v/>
      </c>
      <c r="AF108" s="270" t="e">
        <f>VLOOKUP($A108,INICIO!$A$5:$J$72,7,FALSE)</f>
        <v>#N/A</v>
      </c>
      <c r="AG108" s="11"/>
      <c r="AH108" s="242" t="str">
        <f>IFERROR(IF(AG108&gt;0,"",AG108*VLOOKUP($A108,'VALOR I.'!$B$6:$K$418,10,FALSE)),"")</f>
        <v/>
      </c>
      <c r="AI108" s="269" t="e">
        <f>VLOOKUP($A108,INICIO!$A$5:$J$72,7,FALSE)</f>
        <v>#N/A</v>
      </c>
      <c r="AJ108" s="232" t="e">
        <f>VLOOKUP($A108,REPOSICIONES!$A$5:$J$72,7,FALSE)</f>
        <v>#N/A</v>
      </c>
      <c r="AK108" s="79" t="e">
        <f t="shared" si="44"/>
        <v>#N/A</v>
      </c>
      <c r="AL108" s="230" t="str">
        <f>IFERROR(VLOOKUP($A108,VENTAS!$H$2:$O$201,6,FALSE),"")</f>
        <v/>
      </c>
      <c r="AM108" s="11" t="str">
        <f t="shared" si="45"/>
        <v/>
      </c>
      <c r="AN108" s="270" t="e">
        <f>VLOOKUP($A108,INICIO!$A$5:$J$72,8,FALSE)</f>
        <v>#N/A</v>
      </c>
      <c r="AO108" s="11"/>
      <c r="AP108" s="204" t="str">
        <f>IFERROR(IF(AO108&gt;0,"",AO108*VLOOKUP($A108,'VALOR I.'!$B$6:$K$418,10,FALSE)),"")</f>
        <v/>
      </c>
      <c r="AQ108" s="269" t="e">
        <f>VLOOKUP($A108,INICIO!$A$5:$J$72,8,FALSE)</f>
        <v>#N/A</v>
      </c>
      <c r="AR108" s="232" t="e">
        <f>VLOOKUP($A108,REPOSICIONES!$A$5:$J$72,8,FALSE)</f>
        <v>#N/A</v>
      </c>
      <c r="AS108" s="79" t="e">
        <f t="shared" si="46"/>
        <v>#N/A</v>
      </c>
      <c r="AT108" s="230" t="str">
        <f>IFERROR(VLOOKUP($A108,VENTAS!$H$2:$O$201,7,FALSE),"")</f>
        <v/>
      </c>
      <c r="AU108" s="11" t="str">
        <f t="shared" si="47"/>
        <v/>
      </c>
      <c r="AV108" s="270" t="e">
        <f>VLOOKUP($A108,INICIO!$A$5:$J$72,9,FALSE)</f>
        <v>#N/A</v>
      </c>
      <c r="AW108" s="11"/>
      <c r="AX108" s="204" t="str">
        <f>IFERROR(IF(AW108&gt;0,"",AW108*VLOOKUP($A108,'VALOR I.'!$B$6:$K$418,10,FALSE)),"")</f>
        <v/>
      </c>
      <c r="AY108" s="269" t="e">
        <f>VLOOKUP($A108,INICIO!$A$5:$J$72,9,FALSE)</f>
        <v>#N/A</v>
      </c>
      <c r="AZ108" s="232" t="e">
        <f>VLOOKUP($A108,REPOSICIONES!$A$5:$J$72,9,FALSE)</f>
        <v>#N/A</v>
      </c>
      <c r="BA108" s="79" t="e">
        <f t="shared" si="48"/>
        <v>#N/A</v>
      </c>
      <c r="BB108" s="230" t="str">
        <f>IFERROR(VLOOKUP($A108,VENTAS!$H$2:$O$201,8,FALSE),"")</f>
        <v/>
      </c>
      <c r="BC108" s="11" t="str">
        <f t="shared" si="49"/>
        <v/>
      </c>
      <c r="BD108" s="270" t="e">
        <f>VLOOKUP($A108,INICIO!$A$5:$J$72,10,FALSE)</f>
        <v>#N/A</v>
      </c>
      <c r="BE108" s="11"/>
      <c r="BF108" s="204" t="str">
        <f>IFERROR(IF(BE108&gt;0,"",BE108*VLOOKUP($A108,'VALOR I.'!$B$6:$K$418,10,FALSE)),"")</f>
        <v/>
      </c>
    </row>
    <row r="109" spans="1:58" ht="15.75" hidden="1" customHeight="1" x14ac:dyDescent="0.25">
      <c r="B109" s="214"/>
      <c r="C109" s="239" t="e">
        <f>VLOOKUP($A109,INICIO!$A$5:$J$72,3,FALSE)</f>
        <v>#N/A</v>
      </c>
      <c r="D109" s="9" t="e">
        <f>VLOOKUP($A109,REPOSICIONES!$A$5:$J$72,3,FALSE)</f>
        <v>#N/A</v>
      </c>
      <c r="E109" s="79" t="e">
        <f t="shared" si="36"/>
        <v>#N/A</v>
      </c>
      <c r="F109" s="80" t="str">
        <f>IFERROR(VLOOKUP($A109,VENTAS!$H$2:$O$201,2,FALSE),"")</f>
        <v/>
      </c>
      <c r="G109" s="9" t="str">
        <f t="shared" si="37"/>
        <v/>
      </c>
      <c r="H109" s="9" t="e">
        <f>VLOOKUP($A109,INICIO!$A$5:$J$72,4,FALSE)</f>
        <v>#N/A</v>
      </c>
      <c r="I109" s="11"/>
      <c r="J109" s="242" t="str">
        <f>IFERROR(IF(I109&gt;0,"",I109*VLOOKUP($A109,'VALOR I.'!$B$6:$K$418,10,FALSE)),"")</f>
        <v/>
      </c>
      <c r="K109" s="276" t="e">
        <f>VLOOKUP($A109,INICIO!$A$5:$J$72,4,FALSE)</f>
        <v>#N/A</v>
      </c>
      <c r="L109" s="232" t="e">
        <f>VLOOKUP($A109,REPOSICIONES!$A$5:$J$72,4,FALSE)</f>
        <v>#N/A</v>
      </c>
      <c r="M109" s="79" t="e">
        <f t="shared" si="38"/>
        <v>#N/A</v>
      </c>
      <c r="N109" s="230" t="str">
        <f>IFERROR(VLOOKUP($A109,VENTAS!$H$2:$O$201,3,FALSE),"")</f>
        <v/>
      </c>
      <c r="O109" s="267" t="str">
        <f t="shared" si="39"/>
        <v/>
      </c>
      <c r="P109" s="270" t="e">
        <f>VLOOKUP($A109,INICIO!$A$5:$J$72,5,FALSE)</f>
        <v>#N/A</v>
      </c>
      <c r="Q109" s="11"/>
      <c r="R109" s="242" t="str">
        <f>IFERROR(IF(Q109&gt;0,"",Q109*VLOOKUP($A109,'VALOR I.'!$B$6:$K$418,10,FALSE)),"")</f>
        <v/>
      </c>
      <c r="S109" s="276" t="e">
        <f>VLOOKUP($A109,INICIO!$A$5:$J$72,5,FALSE)</f>
        <v>#N/A</v>
      </c>
      <c r="T109" s="232" t="e">
        <f>VLOOKUP($A109,REPOSICIONES!$A$5:$J$72,5,FALSE)</f>
        <v>#N/A</v>
      </c>
      <c r="U109" s="79" t="e">
        <f t="shared" si="40"/>
        <v>#N/A</v>
      </c>
      <c r="V109" s="230" t="str">
        <f>IFERROR(VLOOKUP($A109,VENTAS!$H$2:$O$201,4,FALSE),"")</f>
        <v/>
      </c>
      <c r="W109" s="11" t="str">
        <f t="shared" si="41"/>
        <v/>
      </c>
      <c r="X109" s="270" t="e">
        <f>VLOOKUP($A109,INICIO!$A$5:$J$72,6,FALSE)</f>
        <v>#N/A</v>
      </c>
      <c r="Y109" s="11"/>
      <c r="Z109" s="242" t="str">
        <f>IFERROR(IF(Y109&gt;0,"",Y109*VLOOKUP($A109,'VALOR I.'!$B$6:$K$418,10,FALSE)),"")</f>
        <v/>
      </c>
      <c r="AA109" s="276" t="e">
        <f>VLOOKUP($A109,INICIO!$A$5:$J$72,6,FALSE)</f>
        <v>#N/A</v>
      </c>
      <c r="AB109" s="232" t="e">
        <f>VLOOKUP($A109,REPOSICIONES!$A$5:$J$72,6,FALSE)</f>
        <v>#N/A</v>
      </c>
      <c r="AC109" s="79" t="e">
        <f t="shared" si="42"/>
        <v>#N/A</v>
      </c>
      <c r="AD109" s="230" t="str">
        <f>IFERROR(VLOOKUP($A109,VENTAS!$H$2:$O$201,5,FALSE),"")</f>
        <v/>
      </c>
      <c r="AE109" s="11" t="str">
        <f t="shared" si="43"/>
        <v/>
      </c>
      <c r="AF109" s="270" t="e">
        <f>VLOOKUP($A109,INICIO!$A$5:$J$72,7,FALSE)</f>
        <v>#N/A</v>
      </c>
      <c r="AG109" s="11"/>
      <c r="AH109" s="242" t="str">
        <f>IFERROR(IF(AG109&gt;0,"",AG109*VLOOKUP($A109,'VALOR I.'!$B$6:$K$418,10,FALSE)),"")</f>
        <v/>
      </c>
      <c r="AI109" s="269" t="e">
        <f>VLOOKUP($A109,INICIO!$A$5:$J$72,7,FALSE)</f>
        <v>#N/A</v>
      </c>
      <c r="AJ109" s="232" t="e">
        <f>VLOOKUP($A109,REPOSICIONES!$A$5:$J$72,7,FALSE)</f>
        <v>#N/A</v>
      </c>
      <c r="AK109" s="79" t="e">
        <f t="shared" si="44"/>
        <v>#N/A</v>
      </c>
      <c r="AL109" s="230" t="str">
        <f>IFERROR(VLOOKUP($A109,VENTAS!$H$2:$O$201,6,FALSE),"")</f>
        <v/>
      </c>
      <c r="AM109" s="11" t="str">
        <f t="shared" si="45"/>
        <v/>
      </c>
      <c r="AN109" s="270" t="e">
        <f>VLOOKUP($A109,INICIO!$A$5:$J$72,8,FALSE)</f>
        <v>#N/A</v>
      </c>
      <c r="AO109" s="11"/>
      <c r="AP109" s="204" t="str">
        <f>IFERROR(IF(AO109&gt;0,"",AO109*VLOOKUP($A109,'VALOR I.'!$B$6:$K$418,10,FALSE)),"")</f>
        <v/>
      </c>
      <c r="AQ109" s="269" t="e">
        <f>VLOOKUP($A109,INICIO!$A$5:$J$72,8,FALSE)</f>
        <v>#N/A</v>
      </c>
      <c r="AR109" s="232" t="e">
        <f>VLOOKUP($A109,REPOSICIONES!$A$5:$J$72,8,FALSE)</f>
        <v>#N/A</v>
      </c>
      <c r="AS109" s="79" t="e">
        <f t="shared" si="46"/>
        <v>#N/A</v>
      </c>
      <c r="AT109" s="230" t="str">
        <f>IFERROR(VLOOKUP($A109,VENTAS!$H$2:$O$201,7,FALSE),"")</f>
        <v/>
      </c>
      <c r="AU109" s="11" t="str">
        <f t="shared" si="47"/>
        <v/>
      </c>
      <c r="AV109" s="270" t="e">
        <f>VLOOKUP($A109,INICIO!$A$5:$J$72,9,FALSE)</f>
        <v>#N/A</v>
      </c>
      <c r="AW109" s="11"/>
      <c r="AX109" s="204" t="str">
        <f>IFERROR(IF(AW109&gt;0,"",AW109*VLOOKUP($A109,'VALOR I.'!$B$6:$K$418,10,FALSE)),"")</f>
        <v/>
      </c>
      <c r="AY109" s="269" t="e">
        <f>VLOOKUP($A109,INICIO!$A$5:$J$72,9,FALSE)</f>
        <v>#N/A</v>
      </c>
      <c r="AZ109" s="232" t="e">
        <f>VLOOKUP($A109,REPOSICIONES!$A$5:$J$72,9,FALSE)</f>
        <v>#N/A</v>
      </c>
      <c r="BA109" s="79" t="e">
        <f t="shared" si="48"/>
        <v>#N/A</v>
      </c>
      <c r="BB109" s="230" t="str">
        <f>IFERROR(VLOOKUP($A109,VENTAS!$H$2:$O$201,8,FALSE),"")</f>
        <v/>
      </c>
      <c r="BC109" s="11" t="str">
        <f t="shared" si="49"/>
        <v/>
      </c>
      <c r="BD109" s="270" t="e">
        <f>VLOOKUP($A109,INICIO!$A$5:$J$72,10,FALSE)</f>
        <v>#N/A</v>
      </c>
      <c r="BE109" s="11"/>
      <c r="BF109" s="204" t="str">
        <f>IFERROR(IF(BE109&gt;0,"",BE109*VLOOKUP($A109,'VALOR I.'!$B$6:$K$418,10,FALSE)),"")</f>
        <v/>
      </c>
    </row>
    <row r="110" spans="1:58" ht="15.75" hidden="1" customHeight="1" x14ac:dyDescent="0.25">
      <c r="B110" s="214"/>
      <c r="C110" s="239" t="e">
        <f>VLOOKUP($A110,INICIO!$A$5:$J$72,3,FALSE)</f>
        <v>#N/A</v>
      </c>
      <c r="D110" s="9" t="e">
        <f>VLOOKUP($A110,REPOSICIONES!$A$5:$J$72,3,FALSE)</f>
        <v>#N/A</v>
      </c>
      <c r="E110" s="79" t="e">
        <f t="shared" si="36"/>
        <v>#N/A</v>
      </c>
      <c r="F110" s="80" t="str">
        <f>IFERROR(VLOOKUP($A110,VENTAS!$H$2:$O$201,2,FALSE),"")</f>
        <v/>
      </c>
      <c r="G110" s="9" t="str">
        <f t="shared" si="37"/>
        <v/>
      </c>
      <c r="H110" s="9" t="e">
        <f>VLOOKUP($A110,INICIO!$A$5:$J$72,4,FALSE)</f>
        <v>#N/A</v>
      </c>
      <c r="I110" s="11"/>
      <c r="J110" s="242" t="str">
        <f>IFERROR(IF(I110&gt;0,"",I110*VLOOKUP($A110,'VALOR I.'!$B$6:$K$418,10,FALSE)),"")</f>
        <v/>
      </c>
      <c r="K110" s="276" t="e">
        <f>VLOOKUP($A110,INICIO!$A$5:$J$72,4,FALSE)</f>
        <v>#N/A</v>
      </c>
      <c r="L110" s="232" t="e">
        <f>VLOOKUP($A110,REPOSICIONES!$A$5:$J$72,4,FALSE)</f>
        <v>#N/A</v>
      </c>
      <c r="M110" s="79" t="e">
        <f t="shared" si="38"/>
        <v>#N/A</v>
      </c>
      <c r="N110" s="230" t="str">
        <f>IFERROR(VLOOKUP($A110,VENTAS!$H$2:$O$201,3,FALSE),"")</f>
        <v/>
      </c>
      <c r="O110" s="267" t="str">
        <f t="shared" si="39"/>
        <v/>
      </c>
      <c r="P110" s="270" t="e">
        <f>VLOOKUP($A110,INICIO!$A$5:$J$72,5,FALSE)</f>
        <v>#N/A</v>
      </c>
      <c r="Q110" s="11"/>
      <c r="R110" s="242" t="str">
        <f>IFERROR(IF(Q110&gt;0,"",Q110*VLOOKUP($A110,'VALOR I.'!$B$6:$K$418,10,FALSE)),"")</f>
        <v/>
      </c>
      <c r="S110" s="276" t="e">
        <f>VLOOKUP($A110,INICIO!$A$5:$J$72,5,FALSE)</f>
        <v>#N/A</v>
      </c>
      <c r="T110" s="232" t="e">
        <f>VLOOKUP($A110,REPOSICIONES!$A$5:$J$72,5,FALSE)</f>
        <v>#N/A</v>
      </c>
      <c r="U110" s="79" t="e">
        <f t="shared" si="40"/>
        <v>#N/A</v>
      </c>
      <c r="V110" s="230" t="str">
        <f>IFERROR(VLOOKUP($A110,VENTAS!$H$2:$O$201,4,FALSE),"")</f>
        <v/>
      </c>
      <c r="W110" s="11" t="str">
        <f t="shared" si="41"/>
        <v/>
      </c>
      <c r="X110" s="270" t="e">
        <f>VLOOKUP($A110,INICIO!$A$5:$J$72,6,FALSE)</f>
        <v>#N/A</v>
      </c>
      <c r="Y110" s="11"/>
      <c r="Z110" s="242" t="str">
        <f>IFERROR(IF(Y110&gt;0,"",Y110*VLOOKUP($A110,'VALOR I.'!$B$6:$K$418,10,FALSE)),"")</f>
        <v/>
      </c>
      <c r="AA110" s="276" t="e">
        <f>VLOOKUP($A110,INICIO!$A$5:$J$72,6,FALSE)</f>
        <v>#N/A</v>
      </c>
      <c r="AB110" s="232" t="e">
        <f>VLOOKUP($A110,REPOSICIONES!$A$5:$J$72,6,FALSE)</f>
        <v>#N/A</v>
      </c>
      <c r="AC110" s="79" t="e">
        <f t="shared" si="42"/>
        <v>#N/A</v>
      </c>
      <c r="AD110" s="230" t="str">
        <f>IFERROR(VLOOKUP($A110,VENTAS!$H$2:$O$201,5,FALSE),"")</f>
        <v/>
      </c>
      <c r="AE110" s="11" t="str">
        <f t="shared" si="43"/>
        <v/>
      </c>
      <c r="AF110" s="270" t="e">
        <f>VLOOKUP($A110,INICIO!$A$5:$J$72,7,FALSE)</f>
        <v>#N/A</v>
      </c>
      <c r="AG110" s="11"/>
      <c r="AH110" s="242" t="str">
        <f>IFERROR(IF(AG110&gt;0,"",AG110*VLOOKUP($A110,'VALOR I.'!$B$6:$K$418,10,FALSE)),"")</f>
        <v/>
      </c>
      <c r="AI110" s="269" t="e">
        <f>VLOOKUP($A110,INICIO!$A$5:$J$72,7,FALSE)</f>
        <v>#N/A</v>
      </c>
      <c r="AJ110" s="232" t="e">
        <f>VLOOKUP($A110,REPOSICIONES!$A$5:$J$72,7,FALSE)</f>
        <v>#N/A</v>
      </c>
      <c r="AK110" s="79" t="e">
        <f t="shared" si="44"/>
        <v>#N/A</v>
      </c>
      <c r="AL110" s="230" t="str">
        <f>IFERROR(VLOOKUP($A110,VENTAS!$H$2:$O$201,6,FALSE),"")</f>
        <v/>
      </c>
      <c r="AM110" s="11" t="str">
        <f t="shared" si="45"/>
        <v/>
      </c>
      <c r="AN110" s="270" t="e">
        <f>VLOOKUP($A110,INICIO!$A$5:$J$72,8,FALSE)</f>
        <v>#N/A</v>
      </c>
      <c r="AO110" s="11"/>
      <c r="AP110" s="204" t="str">
        <f>IFERROR(IF(AO110&gt;0,"",AO110*VLOOKUP($A110,'VALOR I.'!$B$6:$K$418,10,FALSE)),"")</f>
        <v/>
      </c>
      <c r="AQ110" s="269" t="e">
        <f>VLOOKUP($A110,INICIO!$A$5:$J$72,8,FALSE)</f>
        <v>#N/A</v>
      </c>
      <c r="AR110" s="232" t="e">
        <f>VLOOKUP($A110,REPOSICIONES!$A$5:$J$72,8,FALSE)</f>
        <v>#N/A</v>
      </c>
      <c r="AS110" s="79" t="e">
        <f t="shared" si="46"/>
        <v>#N/A</v>
      </c>
      <c r="AT110" s="230" t="str">
        <f>IFERROR(VLOOKUP($A110,VENTAS!$H$2:$O$201,7,FALSE),"")</f>
        <v/>
      </c>
      <c r="AU110" s="11" t="str">
        <f t="shared" si="47"/>
        <v/>
      </c>
      <c r="AV110" s="270" t="e">
        <f>VLOOKUP($A110,INICIO!$A$5:$J$72,9,FALSE)</f>
        <v>#N/A</v>
      </c>
      <c r="AW110" s="11"/>
      <c r="AX110" s="204" t="str">
        <f>IFERROR(IF(AW110&gt;0,"",AW110*VLOOKUP($A110,'VALOR I.'!$B$6:$K$418,10,FALSE)),"")</f>
        <v/>
      </c>
      <c r="AY110" s="269" t="e">
        <f>VLOOKUP($A110,INICIO!$A$5:$J$72,9,FALSE)</f>
        <v>#N/A</v>
      </c>
      <c r="AZ110" s="232" t="e">
        <f>VLOOKUP($A110,REPOSICIONES!$A$5:$J$72,9,FALSE)</f>
        <v>#N/A</v>
      </c>
      <c r="BA110" s="79" t="e">
        <f t="shared" si="48"/>
        <v>#N/A</v>
      </c>
      <c r="BB110" s="230" t="str">
        <f>IFERROR(VLOOKUP($A110,VENTAS!$H$2:$O$201,8,FALSE),"")</f>
        <v/>
      </c>
      <c r="BC110" s="11" t="str">
        <f t="shared" si="49"/>
        <v/>
      </c>
      <c r="BD110" s="270" t="e">
        <f>VLOOKUP($A110,INICIO!$A$5:$J$72,10,FALSE)</f>
        <v>#N/A</v>
      </c>
      <c r="BE110" s="11"/>
      <c r="BF110" s="204" t="str">
        <f>IFERROR(IF(BE110&gt;0,"",BE110*VLOOKUP($A110,'VALOR I.'!$B$6:$K$418,10,FALSE)),"")</f>
        <v/>
      </c>
    </row>
    <row r="111" spans="1:58" ht="15.75" hidden="1" customHeight="1" x14ac:dyDescent="0.25">
      <c r="B111" s="214"/>
      <c r="C111" s="239" t="e">
        <f>VLOOKUP($A111,INICIO!$A$5:$J$72,3,FALSE)</f>
        <v>#N/A</v>
      </c>
      <c r="D111" s="9" t="e">
        <f>VLOOKUP($A111,REPOSICIONES!$A$5:$J$72,3,FALSE)</f>
        <v>#N/A</v>
      </c>
      <c r="E111" s="79" t="e">
        <f t="shared" si="36"/>
        <v>#N/A</v>
      </c>
      <c r="F111" s="80" t="str">
        <f>IFERROR(VLOOKUP($A111,VENTAS!$H$2:$O$201,2,FALSE),"")</f>
        <v/>
      </c>
      <c r="G111" s="9" t="str">
        <f t="shared" si="37"/>
        <v/>
      </c>
      <c r="H111" s="9" t="e">
        <f>VLOOKUP($A111,INICIO!$A$5:$J$72,4,FALSE)</f>
        <v>#N/A</v>
      </c>
      <c r="I111" s="11"/>
      <c r="J111" s="242" t="str">
        <f>IFERROR(IF(I111&gt;0,"",I111*VLOOKUP($A111,'VALOR I.'!$B$6:$K$418,10,FALSE)),"")</f>
        <v/>
      </c>
      <c r="K111" s="276" t="e">
        <f>VLOOKUP($A111,INICIO!$A$5:$J$72,4,FALSE)</f>
        <v>#N/A</v>
      </c>
      <c r="L111" s="232" t="e">
        <f>VLOOKUP($A111,REPOSICIONES!$A$5:$J$72,4,FALSE)</f>
        <v>#N/A</v>
      </c>
      <c r="M111" s="79" t="e">
        <f t="shared" si="38"/>
        <v>#N/A</v>
      </c>
      <c r="N111" s="230" t="str">
        <f>IFERROR(VLOOKUP($A111,VENTAS!$H$2:$O$201,3,FALSE),"")</f>
        <v/>
      </c>
      <c r="O111" s="267" t="str">
        <f t="shared" si="39"/>
        <v/>
      </c>
      <c r="P111" s="270" t="e">
        <f>VLOOKUP($A111,INICIO!$A$5:$J$72,5,FALSE)</f>
        <v>#N/A</v>
      </c>
      <c r="Q111" s="11"/>
      <c r="R111" s="242" t="str">
        <f>IFERROR(IF(Q111&gt;0,"",Q111*VLOOKUP($A111,'VALOR I.'!$B$6:$K$418,10,FALSE)),"")</f>
        <v/>
      </c>
      <c r="S111" s="276" t="e">
        <f>VLOOKUP($A111,INICIO!$A$5:$J$72,5,FALSE)</f>
        <v>#N/A</v>
      </c>
      <c r="T111" s="232" t="e">
        <f>VLOOKUP($A111,REPOSICIONES!$A$5:$J$72,5,FALSE)</f>
        <v>#N/A</v>
      </c>
      <c r="U111" s="79" t="e">
        <f t="shared" si="40"/>
        <v>#N/A</v>
      </c>
      <c r="V111" s="230" t="str">
        <f>IFERROR(VLOOKUP($A111,VENTAS!$H$2:$O$201,4,FALSE),"")</f>
        <v/>
      </c>
      <c r="W111" s="11" t="str">
        <f t="shared" si="41"/>
        <v/>
      </c>
      <c r="X111" s="270" t="e">
        <f>VLOOKUP($A111,INICIO!$A$5:$J$72,6,FALSE)</f>
        <v>#N/A</v>
      </c>
      <c r="Y111" s="11"/>
      <c r="Z111" s="242" t="str">
        <f>IFERROR(IF(Y111&gt;0,"",Y111*VLOOKUP($A111,'VALOR I.'!$B$6:$K$418,10,FALSE)),"")</f>
        <v/>
      </c>
      <c r="AA111" s="276" t="e">
        <f>VLOOKUP($A111,INICIO!$A$5:$J$72,6,FALSE)</f>
        <v>#N/A</v>
      </c>
      <c r="AB111" s="232" t="e">
        <f>VLOOKUP($A111,REPOSICIONES!$A$5:$J$72,6,FALSE)</f>
        <v>#N/A</v>
      </c>
      <c r="AC111" s="79" t="e">
        <f t="shared" si="42"/>
        <v>#N/A</v>
      </c>
      <c r="AD111" s="230" t="str">
        <f>IFERROR(VLOOKUP($A111,VENTAS!$H$2:$O$201,5,FALSE),"")</f>
        <v/>
      </c>
      <c r="AE111" s="11" t="str">
        <f t="shared" si="43"/>
        <v/>
      </c>
      <c r="AF111" s="270" t="e">
        <f>VLOOKUP($A111,INICIO!$A$5:$J$72,7,FALSE)</f>
        <v>#N/A</v>
      </c>
      <c r="AG111" s="11"/>
      <c r="AH111" s="242" t="str">
        <f>IFERROR(IF(AG111&gt;0,"",AG111*VLOOKUP($A111,'VALOR I.'!$B$6:$K$418,10,FALSE)),"")</f>
        <v/>
      </c>
      <c r="AI111" s="269" t="e">
        <f>VLOOKUP($A111,INICIO!$A$5:$J$72,7,FALSE)</f>
        <v>#N/A</v>
      </c>
      <c r="AJ111" s="232" t="e">
        <f>VLOOKUP($A111,REPOSICIONES!$A$5:$J$72,7,FALSE)</f>
        <v>#N/A</v>
      </c>
      <c r="AK111" s="79" t="e">
        <f t="shared" si="44"/>
        <v>#N/A</v>
      </c>
      <c r="AL111" s="230" t="str">
        <f>IFERROR(VLOOKUP($A111,VENTAS!$H$2:$O$201,6,FALSE),"")</f>
        <v/>
      </c>
      <c r="AM111" s="11" t="str">
        <f t="shared" si="45"/>
        <v/>
      </c>
      <c r="AN111" s="270" t="e">
        <f>VLOOKUP($A111,INICIO!$A$5:$J$72,8,FALSE)</f>
        <v>#N/A</v>
      </c>
      <c r="AO111" s="11"/>
      <c r="AP111" s="204" t="str">
        <f>IFERROR(IF(AO111&gt;0,"",AO111*VLOOKUP($A111,'VALOR I.'!$B$6:$K$418,10,FALSE)),"")</f>
        <v/>
      </c>
      <c r="AQ111" s="269" t="e">
        <f>VLOOKUP($A111,INICIO!$A$5:$J$72,8,FALSE)</f>
        <v>#N/A</v>
      </c>
      <c r="AR111" s="232" t="e">
        <f>VLOOKUP($A111,REPOSICIONES!$A$5:$J$72,8,FALSE)</f>
        <v>#N/A</v>
      </c>
      <c r="AS111" s="79" t="e">
        <f t="shared" si="46"/>
        <v>#N/A</v>
      </c>
      <c r="AT111" s="230" t="str">
        <f>IFERROR(VLOOKUP($A111,VENTAS!$H$2:$O$201,7,FALSE),"")</f>
        <v/>
      </c>
      <c r="AU111" s="11" t="str">
        <f t="shared" si="47"/>
        <v/>
      </c>
      <c r="AV111" s="270" t="e">
        <f>VLOOKUP($A111,INICIO!$A$5:$J$72,9,FALSE)</f>
        <v>#N/A</v>
      </c>
      <c r="AW111" s="11"/>
      <c r="AX111" s="204" t="str">
        <f>IFERROR(IF(AW111&gt;0,"",AW111*VLOOKUP($A111,'VALOR I.'!$B$6:$K$418,10,FALSE)),"")</f>
        <v/>
      </c>
      <c r="AY111" s="269" t="e">
        <f>VLOOKUP($A111,INICIO!$A$5:$J$72,9,FALSE)</f>
        <v>#N/A</v>
      </c>
      <c r="AZ111" s="232" t="e">
        <f>VLOOKUP($A111,REPOSICIONES!$A$5:$J$72,9,FALSE)</f>
        <v>#N/A</v>
      </c>
      <c r="BA111" s="79" t="e">
        <f t="shared" si="48"/>
        <v>#N/A</v>
      </c>
      <c r="BB111" s="230" t="str">
        <f>IFERROR(VLOOKUP($A111,VENTAS!$H$2:$O$201,8,FALSE),"")</f>
        <v/>
      </c>
      <c r="BC111" s="11" t="str">
        <f t="shared" si="49"/>
        <v/>
      </c>
      <c r="BD111" s="270" t="e">
        <f>VLOOKUP($A111,INICIO!$A$5:$J$72,10,FALSE)</f>
        <v>#N/A</v>
      </c>
      <c r="BE111" s="11"/>
      <c r="BF111" s="204" t="str">
        <f>IFERROR(IF(BE111&gt;0,"",BE111*VLOOKUP($A111,'VALOR I.'!$B$6:$K$418,10,FALSE)),"")</f>
        <v/>
      </c>
    </row>
    <row r="112" spans="1:58" ht="15.75" hidden="1" customHeight="1" x14ac:dyDescent="0.25">
      <c r="B112" s="214"/>
      <c r="C112" s="239" t="e">
        <f>VLOOKUP($A112,INICIO!$A$5:$J$72,3,FALSE)</f>
        <v>#N/A</v>
      </c>
      <c r="D112" s="9" t="e">
        <f>VLOOKUP($A112,REPOSICIONES!$A$5:$J$72,3,FALSE)</f>
        <v>#N/A</v>
      </c>
      <c r="E112" s="79" t="e">
        <f t="shared" si="36"/>
        <v>#N/A</v>
      </c>
      <c r="F112" s="80" t="str">
        <f>IFERROR(VLOOKUP($A112,VENTAS!$H$2:$O$201,2,FALSE),"")</f>
        <v/>
      </c>
      <c r="G112" s="9" t="str">
        <f t="shared" si="37"/>
        <v/>
      </c>
      <c r="H112" s="9" t="e">
        <f>VLOOKUP($A112,INICIO!$A$5:$J$72,4,FALSE)</f>
        <v>#N/A</v>
      </c>
      <c r="I112" s="11"/>
      <c r="J112" s="242" t="str">
        <f>IFERROR(IF(I112&gt;0,"",I112*VLOOKUP($A112,'VALOR I.'!$B$6:$K$418,10,FALSE)),"")</f>
        <v/>
      </c>
      <c r="K112" s="276" t="e">
        <f>VLOOKUP($A112,INICIO!$A$5:$J$72,4,FALSE)</f>
        <v>#N/A</v>
      </c>
      <c r="L112" s="232" t="e">
        <f>VLOOKUP($A112,REPOSICIONES!$A$5:$J$72,4,FALSE)</f>
        <v>#N/A</v>
      </c>
      <c r="M112" s="79" t="e">
        <f t="shared" si="38"/>
        <v>#N/A</v>
      </c>
      <c r="N112" s="230" t="str">
        <f>IFERROR(VLOOKUP($A112,VENTAS!$H$2:$O$201,3,FALSE),"")</f>
        <v/>
      </c>
      <c r="O112" s="267" t="str">
        <f t="shared" si="39"/>
        <v/>
      </c>
      <c r="P112" s="270" t="e">
        <f>VLOOKUP($A112,INICIO!$A$5:$J$72,5,FALSE)</f>
        <v>#N/A</v>
      </c>
      <c r="Q112" s="11"/>
      <c r="R112" s="242" t="str">
        <f>IFERROR(IF(Q112&gt;0,"",Q112*VLOOKUP($A112,'VALOR I.'!$B$6:$K$418,10,FALSE)),"")</f>
        <v/>
      </c>
      <c r="S112" s="276" t="e">
        <f>VLOOKUP($A112,INICIO!$A$5:$J$72,5,FALSE)</f>
        <v>#N/A</v>
      </c>
      <c r="T112" s="232" t="e">
        <f>VLOOKUP($A112,REPOSICIONES!$A$5:$J$72,5,FALSE)</f>
        <v>#N/A</v>
      </c>
      <c r="U112" s="79" t="e">
        <f t="shared" si="40"/>
        <v>#N/A</v>
      </c>
      <c r="V112" s="230" t="str">
        <f>IFERROR(VLOOKUP($A112,VENTAS!$H$2:$O$201,4,FALSE),"")</f>
        <v/>
      </c>
      <c r="W112" s="11" t="str">
        <f t="shared" si="41"/>
        <v/>
      </c>
      <c r="X112" s="270" t="e">
        <f>VLOOKUP($A112,INICIO!$A$5:$J$72,6,FALSE)</f>
        <v>#N/A</v>
      </c>
      <c r="Y112" s="11"/>
      <c r="Z112" s="242" t="str">
        <f>IFERROR(IF(Y112&gt;0,"",Y112*VLOOKUP($A112,'VALOR I.'!$B$6:$K$418,10,FALSE)),"")</f>
        <v/>
      </c>
      <c r="AA112" s="276" t="e">
        <f>VLOOKUP($A112,INICIO!$A$5:$J$72,6,FALSE)</f>
        <v>#N/A</v>
      </c>
      <c r="AB112" s="232" t="e">
        <f>VLOOKUP($A112,REPOSICIONES!$A$5:$J$72,6,FALSE)</f>
        <v>#N/A</v>
      </c>
      <c r="AC112" s="79" t="e">
        <f t="shared" si="42"/>
        <v>#N/A</v>
      </c>
      <c r="AD112" s="230" t="str">
        <f>IFERROR(VLOOKUP($A112,VENTAS!$H$2:$O$201,5,FALSE),"")</f>
        <v/>
      </c>
      <c r="AE112" s="11" t="str">
        <f t="shared" si="43"/>
        <v/>
      </c>
      <c r="AF112" s="270" t="e">
        <f>VLOOKUP($A112,INICIO!$A$5:$J$72,7,FALSE)</f>
        <v>#N/A</v>
      </c>
      <c r="AG112" s="11"/>
      <c r="AH112" s="242" t="str">
        <f>IFERROR(IF(AG112&gt;0,"",AG112*VLOOKUP($A112,'VALOR I.'!$B$6:$K$418,10,FALSE)),"")</f>
        <v/>
      </c>
      <c r="AI112" s="269" t="e">
        <f>VLOOKUP($A112,INICIO!$A$5:$J$72,7,FALSE)</f>
        <v>#N/A</v>
      </c>
      <c r="AJ112" s="232" t="e">
        <f>VLOOKUP($A112,REPOSICIONES!$A$5:$J$72,7,FALSE)</f>
        <v>#N/A</v>
      </c>
      <c r="AK112" s="79" t="e">
        <f t="shared" si="44"/>
        <v>#N/A</v>
      </c>
      <c r="AL112" s="230" t="str">
        <f>IFERROR(VLOOKUP($A112,VENTAS!$H$2:$O$201,6,FALSE),"")</f>
        <v/>
      </c>
      <c r="AM112" s="11" t="str">
        <f t="shared" si="45"/>
        <v/>
      </c>
      <c r="AN112" s="270" t="e">
        <f>VLOOKUP($A112,INICIO!$A$5:$J$72,8,FALSE)</f>
        <v>#N/A</v>
      </c>
      <c r="AO112" s="11"/>
      <c r="AP112" s="204" t="str">
        <f>IFERROR(IF(AO112&gt;0,"",AO112*VLOOKUP($A112,'VALOR I.'!$B$6:$K$418,10,FALSE)),"")</f>
        <v/>
      </c>
      <c r="AQ112" s="269" t="e">
        <f>VLOOKUP($A112,INICIO!$A$5:$J$72,8,FALSE)</f>
        <v>#N/A</v>
      </c>
      <c r="AR112" s="232" t="e">
        <f>VLOOKUP($A112,REPOSICIONES!$A$5:$J$72,8,FALSE)</f>
        <v>#N/A</v>
      </c>
      <c r="AS112" s="79" t="e">
        <f t="shared" si="46"/>
        <v>#N/A</v>
      </c>
      <c r="AT112" s="230" t="str">
        <f>IFERROR(VLOOKUP($A112,VENTAS!$H$2:$O$201,7,FALSE),"")</f>
        <v/>
      </c>
      <c r="AU112" s="11" t="str">
        <f t="shared" si="47"/>
        <v/>
      </c>
      <c r="AV112" s="270" t="e">
        <f>VLOOKUP($A112,INICIO!$A$5:$J$72,9,FALSE)</f>
        <v>#N/A</v>
      </c>
      <c r="AW112" s="11"/>
      <c r="AX112" s="204" t="str">
        <f>IFERROR(IF(AW112&gt;0,"",AW112*VLOOKUP($A112,'VALOR I.'!$B$6:$K$418,10,FALSE)),"")</f>
        <v/>
      </c>
      <c r="AY112" s="269" t="e">
        <f>VLOOKUP($A112,INICIO!$A$5:$J$72,9,FALSE)</f>
        <v>#N/A</v>
      </c>
      <c r="AZ112" s="232" t="e">
        <f>VLOOKUP($A112,REPOSICIONES!$A$5:$J$72,9,FALSE)</f>
        <v>#N/A</v>
      </c>
      <c r="BA112" s="79" t="e">
        <f t="shared" si="48"/>
        <v>#N/A</v>
      </c>
      <c r="BB112" s="230" t="str">
        <f>IFERROR(VLOOKUP($A112,VENTAS!$H$2:$O$201,8,FALSE),"")</f>
        <v/>
      </c>
      <c r="BC112" s="11" t="str">
        <f t="shared" si="49"/>
        <v/>
      </c>
      <c r="BD112" s="270" t="e">
        <f>VLOOKUP($A112,INICIO!$A$5:$J$72,10,FALSE)</f>
        <v>#N/A</v>
      </c>
      <c r="BE112" s="11"/>
      <c r="BF112" s="204" t="str">
        <f>IFERROR(IF(BE112&gt;0,"",BE112*VLOOKUP($A112,'VALOR I.'!$B$6:$K$418,10,FALSE)),"")</f>
        <v/>
      </c>
    </row>
    <row r="113" spans="1:58" ht="15.75" hidden="1" customHeight="1" x14ac:dyDescent="0.25">
      <c r="B113" s="214"/>
      <c r="C113" s="239" t="e">
        <f>VLOOKUP($A113,INICIO!$A$5:$J$72,3,FALSE)</f>
        <v>#N/A</v>
      </c>
      <c r="D113" s="9" t="e">
        <f>VLOOKUP($A113,REPOSICIONES!$A$5:$J$72,3,FALSE)</f>
        <v>#N/A</v>
      </c>
      <c r="E113" s="79" t="e">
        <f t="shared" si="36"/>
        <v>#N/A</v>
      </c>
      <c r="F113" s="80" t="str">
        <f>IFERROR(VLOOKUP($A113,VENTAS!$H$2:$O$201,2,FALSE),"")</f>
        <v/>
      </c>
      <c r="G113" s="9" t="str">
        <f t="shared" si="37"/>
        <v/>
      </c>
      <c r="H113" s="9" t="e">
        <f>VLOOKUP($A113,INICIO!$A$5:$J$72,4,FALSE)</f>
        <v>#N/A</v>
      </c>
      <c r="I113" s="11"/>
      <c r="J113" s="242" t="str">
        <f>IFERROR(IF(I113&gt;0,"",I113*VLOOKUP($A113,'VALOR I.'!$B$6:$K$418,10,FALSE)),"")</f>
        <v/>
      </c>
      <c r="K113" s="276" t="e">
        <f>VLOOKUP($A113,INICIO!$A$5:$J$72,4,FALSE)</f>
        <v>#N/A</v>
      </c>
      <c r="L113" s="232" t="e">
        <f>VLOOKUP($A113,REPOSICIONES!$A$5:$J$72,4,FALSE)</f>
        <v>#N/A</v>
      </c>
      <c r="M113" s="79" t="e">
        <f t="shared" si="38"/>
        <v>#N/A</v>
      </c>
      <c r="N113" s="230" t="str">
        <f>IFERROR(VLOOKUP($A113,VENTAS!$H$2:$O$201,3,FALSE),"")</f>
        <v/>
      </c>
      <c r="O113" s="267" t="str">
        <f t="shared" si="39"/>
        <v/>
      </c>
      <c r="P113" s="270" t="e">
        <f>VLOOKUP($A113,INICIO!$A$5:$J$72,5,FALSE)</f>
        <v>#N/A</v>
      </c>
      <c r="Q113" s="11"/>
      <c r="R113" s="242" t="str">
        <f>IFERROR(IF(Q113&gt;0,"",Q113*VLOOKUP($A113,'VALOR I.'!$B$6:$K$418,10,FALSE)),"")</f>
        <v/>
      </c>
      <c r="S113" s="276" t="e">
        <f>VLOOKUP($A113,INICIO!$A$5:$J$72,5,FALSE)</f>
        <v>#N/A</v>
      </c>
      <c r="T113" s="232" t="e">
        <f>VLOOKUP($A113,REPOSICIONES!$A$5:$J$72,5,FALSE)</f>
        <v>#N/A</v>
      </c>
      <c r="U113" s="79" t="e">
        <f t="shared" si="40"/>
        <v>#N/A</v>
      </c>
      <c r="V113" s="230" t="str">
        <f>IFERROR(VLOOKUP($A113,VENTAS!$H$2:$O$201,4,FALSE),"")</f>
        <v/>
      </c>
      <c r="W113" s="11" t="str">
        <f t="shared" si="41"/>
        <v/>
      </c>
      <c r="X113" s="270" t="e">
        <f>VLOOKUP($A113,INICIO!$A$5:$J$72,6,FALSE)</f>
        <v>#N/A</v>
      </c>
      <c r="Y113" s="11"/>
      <c r="Z113" s="242" t="str">
        <f>IFERROR(IF(Y113&gt;0,"",Y113*VLOOKUP($A113,'VALOR I.'!$B$6:$K$418,10,FALSE)),"")</f>
        <v/>
      </c>
      <c r="AA113" s="276" t="e">
        <f>VLOOKUP($A113,INICIO!$A$5:$J$72,6,FALSE)</f>
        <v>#N/A</v>
      </c>
      <c r="AB113" s="232" t="e">
        <f>VLOOKUP($A113,REPOSICIONES!$A$5:$J$72,6,FALSE)</f>
        <v>#N/A</v>
      </c>
      <c r="AC113" s="79" t="e">
        <f t="shared" si="42"/>
        <v>#N/A</v>
      </c>
      <c r="AD113" s="230" t="str">
        <f>IFERROR(VLOOKUP($A113,VENTAS!$H$2:$O$201,5,FALSE),"")</f>
        <v/>
      </c>
      <c r="AE113" s="11" t="str">
        <f t="shared" si="43"/>
        <v/>
      </c>
      <c r="AF113" s="270" t="e">
        <f>VLOOKUP($A113,INICIO!$A$5:$J$72,7,FALSE)</f>
        <v>#N/A</v>
      </c>
      <c r="AG113" s="11"/>
      <c r="AH113" s="242" t="str">
        <f>IFERROR(IF(AG113&gt;0,"",AG113*VLOOKUP($A113,'VALOR I.'!$B$6:$K$418,10,FALSE)),"")</f>
        <v/>
      </c>
      <c r="AI113" s="269" t="e">
        <f>VLOOKUP($A113,INICIO!$A$5:$J$72,7,FALSE)</f>
        <v>#N/A</v>
      </c>
      <c r="AJ113" s="232" t="e">
        <f>VLOOKUP($A113,REPOSICIONES!$A$5:$J$72,7,FALSE)</f>
        <v>#N/A</v>
      </c>
      <c r="AK113" s="79" t="e">
        <f t="shared" si="44"/>
        <v>#N/A</v>
      </c>
      <c r="AL113" s="230" t="str">
        <f>IFERROR(VLOOKUP($A113,VENTAS!$H$2:$O$201,6,FALSE),"")</f>
        <v/>
      </c>
      <c r="AM113" s="11" t="str">
        <f t="shared" si="45"/>
        <v/>
      </c>
      <c r="AN113" s="270" t="e">
        <f>VLOOKUP($A113,INICIO!$A$5:$J$72,8,FALSE)</f>
        <v>#N/A</v>
      </c>
      <c r="AO113" s="11"/>
      <c r="AP113" s="204" t="str">
        <f>IFERROR(IF(AO113&gt;0,"",AO113*VLOOKUP($A113,'VALOR I.'!$B$6:$K$418,10,FALSE)),"")</f>
        <v/>
      </c>
      <c r="AQ113" s="269" t="e">
        <f>VLOOKUP($A113,INICIO!$A$5:$J$72,8,FALSE)</f>
        <v>#N/A</v>
      </c>
      <c r="AR113" s="232" t="e">
        <f>VLOOKUP($A113,REPOSICIONES!$A$5:$J$72,8,FALSE)</f>
        <v>#N/A</v>
      </c>
      <c r="AS113" s="79" t="e">
        <f t="shared" si="46"/>
        <v>#N/A</v>
      </c>
      <c r="AT113" s="230" t="str">
        <f>IFERROR(VLOOKUP($A113,VENTAS!$H$2:$O$201,7,FALSE),"")</f>
        <v/>
      </c>
      <c r="AU113" s="11" t="str">
        <f t="shared" si="47"/>
        <v/>
      </c>
      <c r="AV113" s="270" t="e">
        <f>VLOOKUP($A113,INICIO!$A$5:$J$72,9,FALSE)</f>
        <v>#N/A</v>
      </c>
      <c r="AW113" s="11"/>
      <c r="AX113" s="204" t="str">
        <f>IFERROR(IF(AW113&gt;0,"",AW113*VLOOKUP($A113,'VALOR I.'!$B$6:$K$418,10,FALSE)),"")</f>
        <v/>
      </c>
      <c r="AY113" s="269" t="e">
        <f>VLOOKUP($A113,INICIO!$A$5:$J$72,9,FALSE)</f>
        <v>#N/A</v>
      </c>
      <c r="AZ113" s="232" t="e">
        <f>VLOOKUP($A113,REPOSICIONES!$A$5:$J$72,9,FALSE)</f>
        <v>#N/A</v>
      </c>
      <c r="BA113" s="79" t="e">
        <f t="shared" si="48"/>
        <v>#N/A</v>
      </c>
      <c r="BB113" s="230" t="str">
        <f>IFERROR(VLOOKUP($A113,VENTAS!$H$2:$O$201,8,FALSE),"")</f>
        <v/>
      </c>
      <c r="BC113" s="11" t="str">
        <f t="shared" si="49"/>
        <v/>
      </c>
      <c r="BD113" s="270" t="e">
        <f>VLOOKUP($A113,INICIO!$A$5:$J$72,10,FALSE)</f>
        <v>#N/A</v>
      </c>
      <c r="BE113" s="11"/>
      <c r="BF113" s="204" t="str">
        <f>IFERROR(IF(BE113&gt;0,"",BE113*VLOOKUP($A113,'VALOR I.'!$B$6:$K$418,10,FALSE)),"")</f>
        <v/>
      </c>
    </row>
    <row r="114" spans="1:58" ht="15.75" hidden="1" customHeight="1" x14ac:dyDescent="0.25">
      <c r="B114" s="214"/>
      <c r="C114" s="239" t="e">
        <f>VLOOKUP($A114,INICIO!$A$5:$J$72,3,FALSE)</f>
        <v>#N/A</v>
      </c>
      <c r="D114" s="9" t="e">
        <f>VLOOKUP($A114,REPOSICIONES!$A$5:$J$72,3,FALSE)</f>
        <v>#N/A</v>
      </c>
      <c r="E114" s="79" t="e">
        <f t="shared" si="36"/>
        <v>#N/A</v>
      </c>
      <c r="F114" s="80" t="str">
        <f>IFERROR(VLOOKUP($A114,VENTAS!$H$2:$O$201,2,FALSE),"")</f>
        <v/>
      </c>
      <c r="G114" s="9" t="str">
        <f t="shared" si="37"/>
        <v/>
      </c>
      <c r="H114" s="9" t="e">
        <f>VLOOKUP($A114,INICIO!$A$5:$J$72,4,FALSE)</f>
        <v>#N/A</v>
      </c>
      <c r="I114" s="11"/>
      <c r="J114" s="242" t="str">
        <f>IFERROR(IF(I114&gt;0,"",I114*VLOOKUP($A114,'VALOR I.'!$B$6:$K$418,10,FALSE)),"")</f>
        <v/>
      </c>
      <c r="K114" s="276" t="e">
        <f>VLOOKUP($A114,INICIO!$A$5:$J$72,4,FALSE)</f>
        <v>#N/A</v>
      </c>
      <c r="L114" s="232" t="e">
        <f>VLOOKUP($A114,REPOSICIONES!$A$5:$J$72,4,FALSE)</f>
        <v>#N/A</v>
      </c>
      <c r="M114" s="79" t="e">
        <f t="shared" si="38"/>
        <v>#N/A</v>
      </c>
      <c r="N114" s="230" t="str">
        <f>IFERROR(VLOOKUP($A114,VENTAS!$H$2:$O$201,3,FALSE),"")</f>
        <v/>
      </c>
      <c r="O114" s="267" t="str">
        <f t="shared" si="39"/>
        <v/>
      </c>
      <c r="P114" s="270" t="e">
        <f>VLOOKUP($A114,INICIO!$A$5:$J$72,5,FALSE)</f>
        <v>#N/A</v>
      </c>
      <c r="Q114" s="11"/>
      <c r="R114" s="242" t="str">
        <f>IFERROR(IF(Q114&gt;0,"",Q114*VLOOKUP($A114,'VALOR I.'!$B$6:$K$418,10,FALSE)),"")</f>
        <v/>
      </c>
      <c r="S114" s="276" t="e">
        <f>VLOOKUP($A114,INICIO!$A$5:$J$72,5,FALSE)</f>
        <v>#N/A</v>
      </c>
      <c r="T114" s="232" t="e">
        <f>VLOOKUP($A114,REPOSICIONES!$A$5:$J$72,5,FALSE)</f>
        <v>#N/A</v>
      </c>
      <c r="U114" s="79" t="e">
        <f t="shared" si="40"/>
        <v>#N/A</v>
      </c>
      <c r="V114" s="230" t="str">
        <f>IFERROR(VLOOKUP($A114,VENTAS!$H$2:$O$201,4,FALSE),"")</f>
        <v/>
      </c>
      <c r="W114" s="11" t="str">
        <f t="shared" si="41"/>
        <v/>
      </c>
      <c r="X114" s="270" t="e">
        <f>VLOOKUP($A114,INICIO!$A$5:$J$72,6,FALSE)</f>
        <v>#N/A</v>
      </c>
      <c r="Y114" s="11"/>
      <c r="Z114" s="242" t="str">
        <f>IFERROR(IF(Y114&gt;0,"",Y114*VLOOKUP($A114,'VALOR I.'!$B$6:$K$418,10,FALSE)),"")</f>
        <v/>
      </c>
      <c r="AA114" s="276" t="e">
        <f>VLOOKUP($A114,INICIO!$A$5:$J$72,6,FALSE)</f>
        <v>#N/A</v>
      </c>
      <c r="AB114" s="232" t="e">
        <f>VLOOKUP($A114,REPOSICIONES!$A$5:$J$72,6,FALSE)</f>
        <v>#N/A</v>
      </c>
      <c r="AC114" s="79" t="e">
        <f t="shared" si="42"/>
        <v>#N/A</v>
      </c>
      <c r="AD114" s="230" t="str">
        <f>IFERROR(VLOOKUP($A114,VENTAS!$H$2:$O$201,5,FALSE),"")</f>
        <v/>
      </c>
      <c r="AE114" s="11" t="str">
        <f t="shared" si="43"/>
        <v/>
      </c>
      <c r="AF114" s="270" t="e">
        <f>VLOOKUP($A114,INICIO!$A$5:$J$72,7,FALSE)</f>
        <v>#N/A</v>
      </c>
      <c r="AG114" s="11"/>
      <c r="AH114" s="242" t="str">
        <f>IFERROR(IF(AG114&gt;0,"",AG114*VLOOKUP($A114,'VALOR I.'!$B$6:$K$418,10,FALSE)),"")</f>
        <v/>
      </c>
      <c r="AI114" s="269" t="e">
        <f>VLOOKUP($A114,INICIO!$A$5:$J$72,7,FALSE)</f>
        <v>#N/A</v>
      </c>
      <c r="AJ114" s="232" t="e">
        <f>VLOOKUP($A114,REPOSICIONES!$A$5:$J$72,7,FALSE)</f>
        <v>#N/A</v>
      </c>
      <c r="AK114" s="79" t="e">
        <f t="shared" si="44"/>
        <v>#N/A</v>
      </c>
      <c r="AL114" s="230" t="str">
        <f>IFERROR(VLOOKUP($A114,VENTAS!$H$2:$O$201,6,FALSE),"")</f>
        <v/>
      </c>
      <c r="AM114" s="11" t="str">
        <f t="shared" si="45"/>
        <v/>
      </c>
      <c r="AN114" s="270" t="e">
        <f>VLOOKUP($A114,INICIO!$A$5:$J$72,8,FALSE)</f>
        <v>#N/A</v>
      </c>
      <c r="AO114" s="11"/>
      <c r="AP114" s="204" t="str">
        <f>IFERROR(IF(AO114&gt;0,"",AO114*VLOOKUP($A114,'VALOR I.'!$B$6:$K$418,10,FALSE)),"")</f>
        <v/>
      </c>
      <c r="AQ114" s="269" t="e">
        <f>VLOOKUP($A114,INICIO!$A$5:$J$72,8,FALSE)</f>
        <v>#N/A</v>
      </c>
      <c r="AR114" s="232" t="e">
        <f>VLOOKUP($A114,REPOSICIONES!$A$5:$J$72,8,FALSE)</f>
        <v>#N/A</v>
      </c>
      <c r="AS114" s="79" t="e">
        <f t="shared" si="46"/>
        <v>#N/A</v>
      </c>
      <c r="AT114" s="230" t="str">
        <f>IFERROR(VLOOKUP($A114,VENTAS!$H$2:$O$201,7,FALSE),"")</f>
        <v/>
      </c>
      <c r="AU114" s="11" t="str">
        <f t="shared" si="47"/>
        <v/>
      </c>
      <c r="AV114" s="270" t="e">
        <f>VLOOKUP($A114,INICIO!$A$5:$J$72,9,FALSE)</f>
        <v>#N/A</v>
      </c>
      <c r="AW114" s="11"/>
      <c r="AX114" s="204" t="str">
        <f>IFERROR(IF(AW114&gt;0,"",AW114*VLOOKUP($A114,'VALOR I.'!$B$6:$K$418,10,FALSE)),"")</f>
        <v/>
      </c>
      <c r="AY114" s="269" t="e">
        <f>VLOOKUP($A114,INICIO!$A$5:$J$72,9,FALSE)</f>
        <v>#N/A</v>
      </c>
      <c r="AZ114" s="232" t="e">
        <f>VLOOKUP($A114,REPOSICIONES!$A$5:$J$72,9,FALSE)</f>
        <v>#N/A</v>
      </c>
      <c r="BA114" s="79" t="e">
        <f t="shared" si="48"/>
        <v>#N/A</v>
      </c>
      <c r="BB114" s="230" t="str">
        <f>IFERROR(VLOOKUP($A114,VENTAS!$H$2:$O$201,8,FALSE),"")</f>
        <v/>
      </c>
      <c r="BC114" s="11" t="str">
        <f t="shared" si="49"/>
        <v/>
      </c>
      <c r="BD114" s="270" t="e">
        <f>VLOOKUP($A114,INICIO!$A$5:$J$72,10,FALSE)</f>
        <v>#N/A</v>
      </c>
      <c r="BE114" s="11"/>
      <c r="BF114" s="204" t="str">
        <f>IFERROR(IF(BE114&gt;0,"",BE114*VLOOKUP($A114,'VALOR I.'!$B$6:$K$418,10,FALSE)),"")</f>
        <v/>
      </c>
    </row>
    <row r="115" spans="1:58" ht="15.75" hidden="1" customHeight="1" x14ac:dyDescent="0.25">
      <c r="B115" s="214"/>
      <c r="C115" s="239" t="e">
        <f>VLOOKUP($A115,INICIO!$A$5:$J$72,3,FALSE)</f>
        <v>#N/A</v>
      </c>
      <c r="D115" s="9" t="e">
        <f>VLOOKUP($A115,REPOSICIONES!$A$5:$J$72,3,FALSE)</f>
        <v>#N/A</v>
      </c>
      <c r="E115" s="79" t="e">
        <f t="shared" si="36"/>
        <v>#N/A</v>
      </c>
      <c r="F115" s="80" t="str">
        <f>IFERROR(VLOOKUP($A115,VENTAS!$H$2:$O$201,2,FALSE),"")</f>
        <v/>
      </c>
      <c r="G115" s="9" t="str">
        <f t="shared" si="37"/>
        <v/>
      </c>
      <c r="H115" s="9" t="e">
        <f>VLOOKUP($A115,INICIO!$A$5:$J$72,4,FALSE)</f>
        <v>#N/A</v>
      </c>
      <c r="I115" s="11"/>
      <c r="J115" s="242" t="str">
        <f>IFERROR(IF(I115&gt;0,"",I115*VLOOKUP($A115,'VALOR I.'!$B$6:$K$418,10,FALSE)),"")</f>
        <v/>
      </c>
      <c r="K115" s="276" t="e">
        <f>VLOOKUP($A115,INICIO!$A$5:$J$72,4,FALSE)</f>
        <v>#N/A</v>
      </c>
      <c r="L115" s="232" t="e">
        <f>VLOOKUP($A115,REPOSICIONES!$A$5:$J$72,4,FALSE)</f>
        <v>#N/A</v>
      </c>
      <c r="M115" s="79" t="e">
        <f t="shared" si="38"/>
        <v>#N/A</v>
      </c>
      <c r="N115" s="230" t="str">
        <f>IFERROR(VLOOKUP($A115,VENTAS!$H$2:$O$201,3,FALSE),"")</f>
        <v/>
      </c>
      <c r="O115" s="267" t="str">
        <f t="shared" si="39"/>
        <v/>
      </c>
      <c r="P115" s="270" t="e">
        <f>VLOOKUP($A115,INICIO!$A$5:$J$72,5,FALSE)</f>
        <v>#N/A</v>
      </c>
      <c r="Q115" s="11"/>
      <c r="R115" s="242" t="str">
        <f>IFERROR(IF(Q115&gt;0,"",Q115*VLOOKUP($A115,'VALOR I.'!$B$6:$K$418,10,FALSE)),"")</f>
        <v/>
      </c>
      <c r="S115" s="276" t="e">
        <f>VLOOKUP($A115,INICIO!$A$5:$J$72,5,FALSE)</f>
        <v>#N/A</v>
      </c>
      <c r="T115" s="232" t="e">
        <f>VLOOKUP($A115,REPOSICIONES!$A$5:$J$72,5,FALSE)</f>
        <v>#N/A</v>
      </c>
      <c r="U115" s="79" t="e">
        <f t="shared" si="40"/>
        <v>#N/A</v>
      </c>
      <c r="V115" s="230" t="str">
        <f>IFERROR(VLOOKUP($A115,VENTAS!$H$2:$O$201,4,FALSE),"")</f>
        <v/>
      </c>
      <c r="W115" s="11" t="str">
        <f t="shared" si="41"/>
        <v/>
      </c>
      <c r="X115" s="270" t="e">
        <f>VLOOKUP($A115,INICIO!$A$5:$J$72,6,FALSE)</f>
        <v>#N/A</v>
      </c>
      <c r="Y115" s="11"/>
      <c r="Z115" s="242" t="str">
        <f>IFERROR(IF(Y115&gt;0,"",Y115*VLOOKUP($A115,'VALOR I.'!$B$6:$K$418,10,FALSE)),"")</f>
        <v/>
      </c>
      <c r="AA115" s="276" t="e">
        <f>VLOOKUP($A115,INICIO!$A$5:$J$72,6,FALSE)</f>
        <v>#N/A</v>
      </c>
      <c r="AB115" s="232" t="e">
        <f>VLOOKUP($A115,REPOSICIONES!$A$5:$J$72,6,FALSE)</f>
        <v>#N/A</v>
      </c>
      <c r="AC115" s="79" t="e">
        <f t="shared" si="42"/>
        <v>#N/A</v>
      </c>
      <c r="AD115" s="230" t="str">
        <f>IFERROR(VLOOKUP($A115,VENTAS!$H$2:$O$201,5,FALSE),"")</f>
        <v/>
      </c>
      <c r="AE115" s="11" t="str">
        <f t="shared" si="43"/>
        <v/>
      </c>
      <c r="AF115" s="270" t="e">
        <f>VLOOKUP($A115,INICIO!$A$5:$J$72,7,FALSE)</f>
        <v>#N/A</v>
      </c>
      <c r="AG115" s="11"/>
      <c r="AH115" s="242" t="str">
        <f>IFERROR(IF(AG115&gt;0,"",AG115*VLOOKUP($A115,'VALOR I.'!$B$6:$K$418,10,FALSE)),"")</f>
        <v/>
      </c>
      <c r="AI115" s="269" t="e">
        <f>VLOOKUP($A115,INICIO!$A$5:$J$72,7,FALSE)</f>
        <v>#N/A</v>
      </c>
      <c r="AJ115" s="232" t="e">
        <f>VLOOKUP($A115,REPOSICIONES!$A$5:$J$72,7,FALSE)</f>
        <v>#N/A</v>
      </c>
      <c r="AK115" s="79" t="e">
        <f t="shared" si="44"/>
        <v>#N/A</v>
      </c>
      <c r="AL115" s="230" t="str">
        <f>IFERROR(VLOOKUP($A115,VENTAS!$H$2:$O$201,6,FALSE),"")</f>
        <v/>
      </c>
      <c r="AM115" s="11" t="str">
        <f t="shared" si="45"/>
        <v/>
      </c>
      <c r="AN115" s="270" t="e">
        <f>VLOOKUP($A115,INICIO!$A$5:$J$72,8,FALSE)</f>
        <v>#N/A</v>
      </c>
      <c r="AO115" s="11"/>
      <c r="AP115" s="204" t="str">
        <f>IFERROR(IF(AO115&gt;0,"",AO115*VLOOKUP($A115,'VALOR I.'!$B$6:$K$418,10,FALSE)),"")</f>
        <v/>
      </c>
      <c r="AQ115" s="269" t="e">
        <f>VLOOKUP($A115,INICIO!$A$5:$J$72,8,FALSE)</f>
        <v>#N/A</v>
      </c>
      <c r="AR115" s="232" t="e">
        <f>VLOOKUP($A115,REPOSICIONES!$A$5:$J$72,8,FALSE)</f>
        <v>#N/A</v>
      </c>
      <c r="AS115" s="79" t="e">
        <f t="shared" si="46"/>
        <v>#N/A</v>
      </c>
      <c r="AT115" s="230" t="str">
        <f>IFERROR(VLOOKUP($A115,VENTAS!$H$2:$O$201,7,FALSE),"")</f>
        <v/>
      </c>
      <c r="AU115" s="11" t="str">
        <f t="shared" si="47"/>
        <v/>
      </c>
      <c r="AV115" s="270" t="e">
        <f>VLOOKUP($A115,INICIO!$A$5:$J$72,9,FALSE)</f>
        <v>#N/A</v>
      </c>
      <c r="AW115" s="11"/>
      <c r="AX115" s="204" t="str">
        <f>IFERROR(IF(AW115&gt;0,"",AW115*VLOOKUP($A115,'VALOR I.'!$B$6:$K$418,10,FALSE)),"")</f>
        <v/>
      </c>
      <c r="AY115" s="269" t="e">
        <f>VLOOKUP($A115,INICIO!$A$5:$J$72,9,FALSE)</f>
        <v>#N/A</v>
      </c>
      <c r="AZ115" s="232" t="e">
        <f>VLOOKUP($A115,REPOSICIONES!$A$5:$J$72,9,FALSE)</f>
        <v>#N/A</v>
      </c>
      <c r="BA115" s="79" t="e">
        <f t="shared" si="48"/>
        <v>#N/A</v>
      </c>
      <c r="BB115" s="230" t="str">
        <f>IFERROR(VLOOKUP($A115,VENTAS!$H$2:$O$201,8,FALSE),"")</f>
        <v/>
      </c>
      <c r="BC115" s="11" t="str">
        <f t="shared" si="49"/>
        <v/>
      </c>
      <c r="BD115" s="270" t="e">
        <f>VLOOKUP($A115,INICIO!$A$5:$J$72,10,FALSE)</f>
        <v>#N/A</v>
      </c>
      <c r="BE115" s="11"/>
      <c r="BF115" s="204" t="str">
        <f>IFERROR(IF(BE115&gt;0,"",BE115*VLOOKUP($A115,'VALOR I.'!$B$6:$K$418,10,FALSE)),"")</f>
        <v/>
      </c>
    </row>
    <row r="116" spans="1:58" ht="15.75" hidden="1" customHeight="1" x14ac:dyDescent="0.25">
      <c r="B116" s="214"/>
      <c r="C116" s="239" t="e">
        <f>VLOOKUP($A116,INICIO!$A$5:$J$72,3,FALSE)</f>
        <v>#N/A</v>
      </c>
      <c r="D116" s="9" t="e">
        <f>VLOOKUP($A116,REPOSICIONES!$A$5:$J$72,3,FALSE)</f>
        <v>#N/A</v>
      </c>
      <c r="E116" s="79" t="e">
        <f t="shared" si="36"/>
        <v>#N/A</v>
      </c>
      <c r="F116" s="80" t="str">
        <f>IFERROR(VLOOKUP($A116,VENTAS!$H$2:$O$201,2,FALSE),"")</f>
        <v/>
      </c>
      <c r="G116" s="9" t="str">
        <f t="shared" si="37"/>
        <v/>
      </c>
      <c r="H116" s="9" t="e">
        <f>VLOOKUP($A116,INICIO!$A$5:$J$72,4,FALSE)</f>
        <v>#N/A</v>
      </c>
      <c r="I116" s="11"/>
      <c r="J116" s="242" t="str">
        <f>IFERROR(IF(I116&gt;0,"",I116*VLOOKUP($A116,'VALOR I.'!$B$6:$K$418,10,FALSE)),"")</f>
        <v/>
      </c>
      <c r="K116" s="276" t="e">
        <f>VLOOKUP($A116,INICIO!$A$5:$J$72,4,FALSE)</f>
        <v>#N/A</v>
      </c>
      <c r="L116" s="232" t="e">
        <f>VLOOKUP($A116,REPOSICIONES!$A$5:$J$72,4,FALSE)</f>
        <v>#N/A</v>
      </c>
      <c r="M116" s="79" t="e">
        <f t="shared" si="38"/>
        <v>#N/A</v>
      </c>
      <c r="N116" s="230" t="str">
        <f>IFERROR(VLOOKUP($A116,VENTAS!$H$2:$O$201,3,FALSE),"")</f>
        <v/>
      </c>
      <c r="O116" s="267" t="str">
        <f t="shared" si="39"/>
        <v/>
      </c>
      <c r="P116" s="270" t="e">
        <f>VLOOKUP($A116,INICIO!$A$5:$J$72,5,FALSE)</f>
        <v>#N/A</v>
      </c>
      <c r="Q116" s="11"/>
      <c r="R116" s="242" t="str">
        <f>IFERROR(IF(Q116&gt;0,"",Q116*VLOOKUP($A116,'VALOR I.'!$B$6:$K$418,10,FALSE)),"")</f>
        <v/>
      </c>
      <c r="S116" s="276" t="e">
        <f>VLOOKUP($A116,INICIO!$A$5:$J$72,5,FALSE)</f>
        <v>#N/A</v>
      </c>
      <c r="T116" s="232" t="e">
        <f>VLOOKUP($A116,REPOSICIONES!$A$5:$J$72,5,FALSE)</f>
        <v>#N/A</v>
      </c>
      <c r="U116" s="79" t="e">
        <f t="shared" si="40"/>
        <v>#N/A</v>
      </c>
      <c r="V116" s="230" t="str">
        <f>IFERROR(VLOOKUP($A116,VENTAS!$H$2:$O$201,4,FALSE),"")</f>
        <v/>
      </c>
      <c r="W116" s="11" t="str">
        <f t="shared" si="41"/>
        <v/>
      </c>
      <c r="X116" s="270" t="e">
        <f>VLOOKUP($A116,INICIO!$A$5:$J$72,6,FALSE)</f>
        <v>#N/A</v>
      </c>
      <c r="Y116" s="11"/>
      <c r="Z116" s="242" t="str">
        <f>IFERROR(IF(Y116&gt;0,"",Y116*VLOOKUP($A116,'VALOR I.'!$B$6:$K$418,10,FALSE)),"")</f>
        <v/>
      </c>
      <c r="AA116" s="276" t="e">
        <f>VLOOKUP($A116,INICIO!$A$5:$J$72,6,FALSE)</f>
        <v>#N/A</v>
      </c>
      <c r="AB116" s="232" t="e">
        <f>VLOOKUP($A116,REPOSICIONES!$A$5:$J$72,6,FALSE)</f>
        <v>#N/A</v>
      </c>
      <c r="AC116" s="79" t="e">
        <f t="shared" si="42"/>
        <v>#N/A</v>
      </c>
      <c r="AD116" s="230" t="str">
        <f>IFERROR(VLOOKUP($A116,VENTAS!$H$2:$O$201,5,FALSE),"")</f>
        <v/>
      </c>
      <c r="AE116" s="11" t="str">
        <f t="shared" si="43"/>
        <v/>
      </c>
      <c r="AF116" s="270" t="e">
        <f>VLOOKUP($A116,INICIO!$A$5:$J$72,7,FALSE)</f>
        <v>#N/A</v>
      </c>
      <c r="AG116" s="11"/>
      <c r="AH116" s="242" t="str">
        <f>IFERROR(IF(AG116&gt;0,"",AG116*VLOOKUP($A116,'VALOR I.'!$B$6:$K$418,10,FALSE)),"")</f>
        <v/>
      </c>
      <c r="AI116" s="269" t="e">
        <f>VLOOKUP($A116,INICIO!$A$5:$J$72,7,FALSE)</f>
        <v>#N/A</v>
      </c>
      <c r="AJ116" s="232" t="e">
        <f>VLOOKUP($A116,REPOSICIONES!$A$5:$J$72,7,FALSE)</f>
        <v>#N/A</v>
      </c>
      <c r="AK116" s="79" t="e">
        <f t="shared" si="44"/>
        <v>#N/A</v>
      </c>
      <c r="AL116" s="230" t="str">
        <f>IFERROR(VLOOKUP($A116,VENTAS!$H$2:$O$201,6,FALSE),"")</f>
        <v/>
      </c>
      <c r="AM116" s="11" t="str">
        <f t="shared" si="45"/>
        <v/>
      </c>
      <c r="AN116" s="270" t="e">
        <f>VLOOKUP($A116,INICIO!$A$5:$J$72,8,FALSE)</f>
        <v>#N/A</v>
      </c>
      <c r="AO116" s="11"/>
      <c r="AP116" s="204" t="str">
        <f>IFERROR(IF(AO116&gt;0,"",AO116*VLOOKUP($A116,'VALOR I.'!$B$6:$K$418,10,FALSE)),"")</f>
        <v/>
      </c>
      <c r="AQ116" s="269" t="e">
        <f>VLOOKUP($A116,INICIO!$A$5:$J$72,8,FALSE)</f>
        <v>#N/A</v>
      </c>
      <c r="AR116" s="232" t="e">
        <f>VLOOKUP($A116,REPOSICIONES!$A$5:$J$72,8,FALSE)</f>
        <v>#N/A</v>
      </c>
      <c r="AS116" s="79" t="e">
        <f t="shared" si="46"/>
        <v>#N/A</v>
      </c>
      <c r="AT116" s="230" t="str">
        <f>IFERROR(VLOOKUP($A116,VENTAS!$H$2:$O$201,7,FALSE),"")</f>
        <v/>
      </c>
      <c r="AU116" s="11" t="str">
        <f t="shared" si="47"/>
        <v/>
      </c>
      <c r="AV116" s="270" t="e">
        <f>VLOOKUP($A116,INICIO!$A$5:$J$72,9,FALSE)</f>
        <v>#N/A</v>
      </c>
      <c r="AW116" s="11"/>
      <c r="AX116" s="204" t="str">
        <f>IFERROR(IF(AW116&gt;0,"",AW116*VLOOKUP($A116,'VALOR I.'!$B$6:$K$418,10,FALSE)),"")</f>
        <v/>
      </c>
      <c r="AY116" s="269" t="e">
        <f>VLOOKUP($A116,INICIO!$A$5:$J$72,9,FALSE)</f>
        <v>#N/A</v>
      </c>
      <c r="AZ116" s="232" t="e">
        <f>VLOOKUP($A116,REPOSICIONES!$A$5:$J$72,9,FALSE)</f>
        <v>#N/A</v>
      </c>
      <c r="BA116" s="79" t="e">
        <f t="shared" si="48"/>
        <v>#N/A</v>
      </c>
      <c r="BB116" s="230" t="str">
        <f>IFERROR(VLOOKUP($A116,VENTAS!$H$2:$O$201,8,FALSE),"")</f>
        <v/>
      </c>
      <c r="BC116" s="11" t="str">
        <f t="shared" si="49"/>
        <v/>
      </c>
      <c r="BD116" s="270" t="e">
        <f>VLOOKUP($A116,INICIO!$A$5:$J$72,10,FALSE)</f>
        <v>#N/A</v>
      </c>
      <c r="BE116" s="11"/>
      <c r="BF116" s="204" t="str">
        <f>IFERROR(IF(BE116&gt;0,"",BE116*VLOOKUP($A116,'VALOR I.'!$B$6:$K$418,10,FALSE)),"")</f>
        <v/>
      </c>
    </row>
    <row r="117" spans="1:58" ht="15.75" hidden="1" customHeight="1" x14ac:dyDescent="0.25">
      <c r="B117" s="285"/>
      <c r="C117" s="239" t="e">
        <f>VLOOKUP($A117,INICIO!$A$5:$J$72,3,FALSE)</f>
        <v>#N/A</v>
      </c>
      <c r="D117" s="9" t="e">
        <f>VLOOKUP($A117,REPOSICIONES!$A$5:$J$72,3,FALSE)</f>
        <v>#N/A</v>
      </c>
      <c r="E117" s="79" t="e">
        <f t="shared" si="36"/>
        <v>#N/A</v>
      </c>
      <c r="F117" s="80" t="str">
        <f>IFERROR(VLOOKUP($A117,VENTAS!$H$2:$O$201,2,FALSE),"")</f>
        <v/>
      </c>
      <c r="G117" s="9" t="str">
        <f t="shared" si="37"/>
        <v/>
      </c>
      <c r="H117" s="9" t="e">
        <f>VLOOKUP($A117,INICIO!$A$5:$J$72,4,FALSE)</f>
        <v>#N/A</v>
      </c>
      <c r="I117" s="11"/>
      <c r="J117" s="242" t="str">
        <f>IFERROR(IF(I117&gt;0,"",I117*VLOOKUP($A117,'VALOR I.'!$B$6:$K$418,10,FALSE)),"")</f>
        <v/>
      </c>
      <c r="K117" s="276" t="e">
        <f>VLOOKUP($A117,INICIO!$A$5:$J$72,4,FALSE)</f>
        <v>#N/A</v>
      </c>
      <c r="L117" s="232" t="e">
        <f>VLOOKUP($A117,REPOSICIONES!$A$5:$J$72,4,FALSE)</f>
        <v>#N/A</v>
      </c>
      <c r="M117" s="79" t="e">
        <f t="shared" si="38"/>
        <v>#N/A</v>
      </c>
      <c r="N117" s="230" t="str">
        <f>IFERROR(VLOOKUP($A117,VENTAS!$H$2:$O$201,3,FALSE),"")</f>
        <v/>
      </c>
      <c r="O117" s="267" t="str">
        <f t="shared" si="39"/>
        <v/>
      </c>
      <c r="P117" s="270" t="e">
        <f>VLOOKUP($A117,INICIO!$A$5:$J$72,5,FALSE)</f>
        <v>#N/A</v>
      </c>
      <c r="Q117" s="11"/>
      <c r="R117" s="242" t="str">
        <f>IFERROR(IF(Q117&gt;0,"",Q117*VLOOKUP($A117,'VALOR I.'!$B$6:$K$418,10,FALSE)),"")</f>
        <v/>
      </c>
      <c r="S117" s="276" t="e">
        <f>VLOOKUP($A117,INICIO!$A$5:$J$72,5,FALSE)</f>
        <v>#N/A</v>
      </c>
      <c r="T117" s="232" t="e">
        <f>VLOOKUP($A117,REPOSICIONES!$A$5:$J$72,5,FALSE)</f>
        <v>#N/A</v>
      </c>
      <c r="U117" s="79" t="e">
        <f t="shared" si="40"/>
        <v>#N/A</v>
      </c>
      <c r="V117" s="230" t="str">
        <f>IFERROR(VLOOKUP($A117,VENTAS!$H$2:$O$201,4,FALSE),"")</f>
        <v/>
      </c>
      <c r="W117" s="11" t="str">
        <f t="shared" si="41"/>
        <v/>
      </c>
      <c r="X117" s="270" t="e">
        <f>VLOOKUP($A117,INICIO!$A$5:$J$72,6,FALSE)</f>
        <v>#N/A</v>
      </c>
      <c r="Y117" s="11"/>
      <c r="Z117" s="242" t="str">
        <f>IFERROR(IF(Y117&gt;0,"",Y117*VLOOKUP($A117,'VALOR I.'!$B$6:$K$418,10,FALSE)),"")</f>
        <v/>
      </c>
      <c r="AA117" s="276" t="e">
        <f>VLOOKUP($A117,INICIO!$A$5:$J$72,6,FALSE)</f>
        <v>#N/A</v>
      </c>
      <c r="AB117" s="232" t="e">
        <f>VLOOKUP($A117,REPOSICIONES!$A$5:$J$72,6,FALSE)</f>
        <v>#N/A</v>
      </c>
      <c r="AC117" s="79" t="e">
        <f t="shared" si="42"/>
        <v>#N/A</v>
      </c>
      <c r="AD117" s="230" t="str">
        <f>IFERROR(VLOOKUP($A117,VENTAS!$H$2:$O$201,5,FALSE),"")</f>
        <v/>
      </c>
      <c r="AE117" s="11" t="str">
        <f t="shared" si="43"/>
        <v/>
      </c>
      <c r="AF117" s="270" t="e">
        <f>VLOOKUP($A117,INICIO!$A$5:$J$72,7,FALSE)</f>
        <v>#N/A</v>
      </c>
      <c r="AG117" s="11"/>
      <c r="AH117" s="242" t="str">
        <f>IFERROR(IF(AG117&gt;0,"",AG117*VLOOKUP($A117,'VALOR I.'!$B$6:$K$418,10,FALSE)),"")</f>
        <v/>
      </c>
      <c r="AI117" s="269" t="e">
        <f>VLOOKUP($A117,INICIO!$A$5:$J$72,7,FALSE)</f>
        <v>#N/A</v>
      </c>
      <c r="AJ117" s="232" t="e">
        <f>VLOOKUP($A117,REPOSICIONES!$A$5:$J$72,7,FALSE)</f>
        <v>#N/A</v>
      </c>
      <c r="AK117" s="79" t="e">
        <f t="shared" si="44"/>
        <v>#N/A</v>
      </c>
      <c r="AL117" s="230" t="str">
        <f>IFERROR(VLOOKUP($A117,VENTAS!$H$2:$O$201,6,FALSE),"")</f>
        <v/>
      </c>
      <c r="AM117" s="11" t="str">
        <f t="shared" si="45"/>
        <v/>
      </c>
      <c r="AN117" s="270" t="e">
        <f>VLOOKUP($A117,INICIO!$A$5:$J$72,8,FALSE)</f>
        <v>#N/A</v>
      </c>
      <c r="AO117" s="11"/>
      <c r="AP117" s="204" t="str">
        <f>IFERROR(IF(AO117&gt;0,"",AO117*VLOOKUP($A117,'VALOR I.'!$B$6:$K$418,10,FALSE)),"")</f>
        <v/>
      </c>
      <c r="AQ117" s="269" t="e">
        <f>VLOOKUP($A117,INICIO!$A$5:$J$72,8,FALSE)</f>
        <v>#N/A</v>
      </c>
      <c r="AR117" s="232" t="e">
        <f>VLOOKUP($A117,REPOSICIONES!$A$5:$J$72,8,FALSE)</f>
        <v>#N/A</v>
      </c>
      <c r="AS117" s="79" t="e">
        <f t="shared" si="46"/>
        <v>#N/A</v>
      </c>
      <c r="AT117" s="230" t="str">
        <f>IFERROR(VLOOKUP($A117,VENTAS!$H$2:$O$201,7,FALSE),"")</f>
        <v/>
      </c>
      <c r="AU117" s="11" t="str">
        <f t="shared" si="47"/>
        <v/>
      </c>
      <c r="AV117" s="270" t="e">
        <f>VLOOKUP($A117,INICIO!$A$5:$J$72,9,FALSE)</f>
        <v>#N/A</v>
      </c>
      <c r="AW117" s="11"/>
      <c r="AX117" s="204" t="str">
        <f>IFERROR(IF(AW117&gt;0,"",AW117*VLOOKUP($A117,'VALOR I.'!$B$6:$K$418,10,FALSE)),"")</f>
        <v/>
      </c>
      <c r="AY117" s="269" t="e">
        <f>VLOOKUP($A117,INICIO!$A$5:$J$72,9,FALSE)</f>
        <v>#N/A</v>
      </c>
      <c r="AZ117" s="232" t="e">
        <f>VLOOKUP($A117,REPOSICIONES!$A$5:$J$72,9,FALSE)</f>
        <v>#N/A</v>
      </c>
      <c r="BA117" s="79" t="e">
        <f t="shared" si="48"/>
        <v>#N/A</v>
      </c>
      <c r="BB117" s="230" t="str">
        <f>IFERROR(VLOOKUP($A117,VENTAS!$H$2:$O$201,8,FALSE),"")</f>
        <v/>
      </c>
      <c r="BC117" s="11" t="str">
        <f t="shared" si="49"/>
        <v/>
      </c>
      <c r="BD117" s="270" t="e">
        <f>VLOOKUP($A117,INICIO!$A$5:$J$72,10,FALSE)</f>
        <v>#N/A</v>
      </c>
      <c r="BE117" s="11"/>
      <c r="BF117" s="204" t="str">
        <f>IFERROR(IF(BE117&gt;0,"",BE117*VLOOKUP($A117,'VALOR I.'!$B$6:$K$418,10,FALSE)),"")</f>
        <v/>
      </c>
    </row>
    <row r="118" spans="1:58" ht="15.75" hidden="1" customHeight="1" x14ac:dyDescent="0.25">
      <c r="B118" s="214"/>
      <c r="C118" s="239" t="e">
        <f>VLOOKUP($A118,INICIO!$A$5:$J$72,3,FALSE)</f>
        <v>#N/A</v>
      </c>
      <c r="D118" s="9" t="e">
        <f>VLOOKUP($A118,REPOSICIONES!$A$5:$J$72,3,FALSE)</f>
        <v>#N/A</v>
      </c>
      <c r="E118" s="79" t="e">
        <f t="shared" si="36"/>
        <v>#N/A</v>
      </c>
      <c r="F118" s="80" t="str">
        <f>IFERROR(VLOOKUP($A118,VENTAS!$H$2:$O$201,2,FALSE),"")</f>
        <v/>
      </c>
      <c r="G118" s="9" t="str">
        <f t="shared" si="37"/>
        <v/>
      </c>
      <c r="H118" s="9" t="e">
        <f>VLOOKUP($A118,INICIO!$A$5:$J$72,4,FALSE)</f>
        <v>#N/A</v>
      </c>
      <c r="I118" s="11"/>
      <c r="J118" s="242" t="str">
        <f>IFERROR(IF(I118&gt;0,"",I118*VLOOKUP($A118,'VALOR I.'!$B$6:$K$418,10,FALSE)),"")</f>
        <v/>
      </c>
      <c r="K118" s="276" t="e">
        <f>VLOOKUP($A118,INICIO!$A$5:$J$72,4,FALSE)</f>
        <v>#N/A</v>
      </c>
      <c r="L118" s="232" t="e">
        <f>VLOOKUP($A118,REPOSICIONES!$A$5:$J$72,4,FALSE)</f>
        <v>#N/A</v>
      </c>
      <c r="M118" s="79" t="e">
        <f t="shared" si="38"/>
        <v>#N/A</v>
      </c>
      <c r="N118" s="230" t="str">
        <f>IFERROR(VLOOKUP($A118,VENTAS!$H$2:$O$201,3,FALSE),"")</f>
        <v/>
      </c>
      <c r="O118" s="267" t="str">
        <f t="shared" si="39"/>
        <v/>
      </c>
      <c r="P118" s="270" t="e">
        <f>VLOOKUP($A118,INICIO!$A$5:$J$72,5,FALSE)</f>
        <v>#N/A</v>
      </c>
      <c r="Q118" s="11"/>
      <c r="R118" s="242" t="str">
        <f>IFERROR(IF(Q118&gt;0,"",Q118*VLOOKUP($A118,'VALOR I.'!$B$6:$K$418,10,FALSE)),"")</f>
        <v/>
      </c>
      <c r="S118" s="276" t="e">
        <f>VLOOKUP($A118,INICIO!$A$5:$J$72,5,FALSE)</f>
        <v>#N/A</v>
      </c>
      <c r="T118" s="232" t="e">
        <f>VLOOKUP($A118,REPOSICIONES!$A$5:$J$72,5,FALSE)</f>
        <v>#N/A</v>
      </c>
      <c r="U118" s="79" t="e">
        <f t="shared" si="40"/>
        <v>#N/A</v>
      </c>
      <c r="V118" s="230" t="str">
        <f>IFERROR(VLOOKUP($A118,VENTAS!$H$2:$O$201,4,FALSE),"")</f>
        <v/>
      </c>
      <c r="W118" s="11" t="str">
        <f t="shared" si="41"/>
        <v/>
      </c>
      <c r="X118" s="270" t="e">
        <f>VLOOKUP($A118,INICIO!$A$5:$J$72,6,FALSE)</f>
        <v>#N/A</v>
      </c>
      <c r="Y118" s="11"/>
      <c r="Z118" s="242" t="str">
        <f>IFERROR(IF(Y118&gt;0,"",Y118*VLOOKUP($A118,'VALOR I.'!$B$6:$K$418,10,FALSE)),"")</f>
        <v/>
      </c>
      <c r="AA118" s="276" t="e">
        <f>VLOOKUP($A118,INICIO!$A$5:$J$72,6,FALSE)</f>
        <v>#N/A</v>
      </c>
      <c r="AB118" s="232" t="e">
        <f>VLOOKUP($A118,REPOSICIONES!$A$5:$J$72,6,FALSE)</f>
        <v>#N/A</v>
      </c>
      <c r="AC118" s="79" t="e">
        <f t="shared" si="42"/>
        <v>#N/A</v>
      </c>
      <c r="AD118" s="230" t="str">
        <f>IFERROR(VLOOKUP($A118,VENTAS!$H$2:$O$201,5,FALSE),"")</f>
        <v/>
      </c>
      <c r="AE118" s="11" t="str">
        <f t="shared" si="43"/>
        <v/>
      </c>
      <c r="AF118" s="270" t="e">
        <f>VLOOKUP($A118,INICIO!$A$5:$J$72,7,FALSE)</f>
        <v>#N/A</v>
      </c>
      <c r="AG118" s="11"/>
      <c r="AH118" s="242" t="str">
        <f>IFERROR(IF(AG118&gt;0,"",AG118*VLOOKUP($A118,'VALOR I.'!$B$6:$K$418,10,FALSE)),"")</f>
        <v/>
      </c>
      <c r="AI118" s="269" t="e">
        <f>VLOOKUP($A118,INICIO!$A$5:$J$72,7,FALSE)</f>
        <v>#N/A</v>
      </c>
      <c r="AJ118" s="232" t="e">
        <f>VLOOKUP($A118,REPOSICIONES!$A$5:$J$72,7,FALSE)</f>
        <v>#N/A</v>
      </c>
      <c r="AK118" s="79" t="e">
        <f t="shared" si="44"/>
        <v>#N/A</v>
      </c>
      <c r="AL118" s="230" t="str">
        <f>IFERROR(VLOOKUP($A118,VENTAS!$H$2:$O$201,6,FALSE),"")</f>
        <v/>
      </c>
      <c r="AM118" s="11" t="str">
        <f t="shared" si="45"/>
        <v/>
      </c>
      <c r="AN118" s="270" t="e">
        <f>VLOOKUP($A118,INICIO!$A$5:$J$72,8,FALSE)</f>
        <v>#N/A</v>
      </c>
      <c r="AO118" s="11"/>
      <c r="AP118" s="204" t="str">
        <f>IFERROR(IF(AO118&gt;0,"",AO118*VLOOKUP($A118,'VALOR I.'!$B$6:$K$418,10,FALSE)),"")</f>
        <v/>
      </c>
      <c r="AQ118" s="269" t="e">
        <f>VLOOKUP($A118,INICIO!$A$5:$J$72,8,FALSE)</f>
        <v>#N/A</v>
      </c>
      <c r="AR118" s="232" t="e">
        <f>VLOOKUP($A118,REPOSICIONES!$A$5:$J$72,8,FALSE)</f>
        <v>#N/A</v>
      </c>
      <c r="AS118" s="79" t="e">
        <f t="shared" si="46"/>
        <v>#N/A</v>
      </c>
      <c r="AT118" s="230" t="str">
        <f>IFERROR(VLOOKUP($A118,VENTAS!$H$2:$O$201,7,FALSE),"")</f>
        <v/>
      </c>
      <c r="AU118" s="11" t="str">
        <f t="shared" si="47"/>
        <v/>
      </c>
      <c r="AV118" s="270" t="e">
        <f>VLOOKUP($A118,INICIO!$A$5:$J$72,9,FALSE)</f>
        <v>#N/A</v>
      </c>
      <c r="AW118" s="11"/>
      <c r="AX118" s="204" t="str">
        <f>IFERROR(IF(AW118&gt;0,"",AW118*VLOOKUP($A118,'VALOR I.'!$B$6:$K$418,10,FALSE)),"")</f>
        <v/>
      </c>
      <c r="AY118" s="269" t="e">
        <f>VLOOKUP($A118,INICIO!$A$5:$J$72,9,FALSE)</f>
        <v>#N/A</v>
      </c>
      <c r="AZ118" s="232" t="e">
        <f>VLOOKUP($A118,REPOSICIONES!$A$5:$J$72,9,FALSE)</f>
        <v>#N/A</v>
      </c>
      <c r="BA118" s="79" t="e">
        <f t="shared" si="48"/>
        <v>#N/A</v>
      </c>
      <c r="BB118" s="230" t="str">
        <f>IFERROR(VLOOKUP($A118,VENTAS!$H$2:$O$201,8,FALSE),"")</f>
        <v/>
      </c>
      <c r="BC118" s="11" t="str">
        <f t="shared" si="49"/>
        <v/>
      </c>
      <c r="BD118" s="270" t="e">
        <f>VLOOKUP($A118,INICIO!$A$5:$J$72,10,FALSE)</f>
        <v>#N/A</v>
      </c>
      <c r="BE118" s="11"/>
      <c r="BF118" s="204" t="str">
        <f>IFERROR(IF(BE118&gt;0,"",BE118*VLOOKUP($A118,'VALOR I.'!$B$6:$K$418,10,FALSE)),"")</f>
        <v/>
      </c>
    </row>
    <row r="119" spans="1:58" ht="15.75" hidden="1" customHeight="1" x14ac:dyDescent="0.25">
      <c r="B119" s="213"/>
      <c r="C119" s="239" t="e">
        <f>VLOOKUP($A119,INICIO!$A$5:$J$72,3,FALSE)</f>
        <v>#N/A</v>
      </c>
      <c r="D119" s="9" t="e">
        <f>VLOOKUP($A119,REPOSICIONES!$A$5:$J$72,3,FALSE)</f>
        <v>#N/A</v>
      </c>
      <c r="E119" s="79" t="e">
        <f t="shared" si="36"/>
        <v>#N/A</v>
      </c>
      <c r="F119" s="80" t="str">
        <f>IFERROR(VLOOKUP($A119,VENTAS!$H$2:$O$201,2,FALSE),"")</f>
        <v/>
      </c>
      <c r="G119" s="9" t="str">
        <f t="shared" si="37"/>
        <v/>
      </c>
      <c r="H119" s="9" t="e">
        <f>VLOOKUP($A119,INICIO!$A$5:$J$72,4,FALSE)</f>
        <v>#N/A</v>
      </c>
      <c r="I119" s="13"/>
      <c r="J119" s="242" t="str">
        <f>IFERROR(IF(I119&gt;0,"",I119*VLOOKUP($A119,'VALOR I.'!$B$6:$K$418,10,FALSE)),"")</f>
        <v/>
      </c>
      <c r="K119" s="276" t="e">
        <f>VLOOKUP($A119,INICIO!$A$5:$J$72,4,FALSE)</f>
        <v>#N/A</v>
      </c>
      <c r="L119" s="232" t="e">
        <f>VLOOKUP($A119,REPOSICIONES!$A$5:$J$72,4,FALSE)</f>
        <v>#N/A</v>
      </c>
      <c r="M119" s="13" t="e">
        <f t="shared" si="38"/>
        <v>#N/A</v>
      </c>
      <c r="N119" s="230" t="str">
        <f>IFERROR(VLOOKUP($A119,VENTAS!$H$2:$O$201,3,FALSE),"")</f>
        <v/>
      </c>
      <c r="O119" s="267" t="str">
        <f t="shared" si="39"/>
        <v/>
      </c>
      <c r="P119" s="270" t="e">
        <f>VLOOKUP($A119,INICIO!$A$5:$J$72,5,FALSE)</f>
        <v>#N/A</v>
      </c>
      <c r="Q119" s="13"/>
      <c r="R119" s="242" t="str">
        <f>IFERROR(IF(Q119&gt;0,"",Q119*VLOOKUP($A119,'VALOR I.'!$B$6:$K$418,10,FALSE)),"")</f>
        <v/>
      </c>
      <c r="S119" s="276" t="e">
        <f>VLOOKUP($A119,INICIO!$A$5:$J$72,5,FALSE)</f>
        <v>#N/A</v>
      </c>
      <c r="T119" s="232" t="e">
        <f>VLOOKUP($A119,REPOSICIONES!$A$5:$J$72,5,FALSE)</f>
        <v>#N/A</v>
      </c>
      <c r="U119" s="13" t="e">
        <f t="shared" si="40"/>
        <v>#N/A</v>
      </c>
      <c r="V119" s="230" t="str">
        <f>IFERROR(VLOOKUP($A119,VENTAS!$H$2:$O$201,4,FALSE),"")</f>
        <v/>
      </c>
      <c r="W119" s="13" t="str">
        <f t="shared" si="41"/>
        <v/>
      </c>
      <c r="X119" s="270" t="e">
        <f>VLOOKUP($A119,INICIO!$A$5:$J$72,6,FALSE)</f>
        <v>#N/A</v>
      </c>
      <c r="Y119" s="13"/>
      <c r="Z119" s="242" t="str">
        <f>IFERROR(IF(Y119&gt;0,"",Y119*VLOOKUP($A119,'VALOR I.'!$B$6:$K$418,10,FALSE)),"")</f>
        <v/>
      </c>
      <c r="AA119" s="276" t="e">
        <f>VLOOKUP($A119,INICIO!$A$5:$J$72,6,FALSE)</f>
        <v>#N/A</v>
      </c>
      <c r="AB119" s="232" t="e">
        <f>VLOOKUP($A119,REPOSICIONES!$A$5:$J$72,6,FALSE)</f>
        <v>#N/A</v>
      </c>
      <c r="AC119" s="13" t="e">
        <f t="shared" si="42"/>
        <v>#N/A</v>
      </c>
      <c r="AD119" s="230" t="str">
        <f>IFERROR(VLOOKUP($A119,VENTAS!$H$2:$O$201,5,FALSE),"")</f>
        <v/>
      </c>
      <c r="AE119" s="13" t="str">
        <f t="shared" si="43"/>
        <v/>
      </c>
      <c r="AF119" s="270" t="e">
        <f>VLOOKUP($A119,INICIO!$A$5:$J$72,7,FALSE)</f>
        <v>#N/A</v>
      </c>
      <c r="AG119" s="13"/>
      <c r="AH119" s="242" t="str">
        <f>IFERROR(IF(AG119&gt;0,"",AG119*VLOOKUP($A119,'VALOR I.'!$B$6:$K$418,10,FALSE)),"")</f>
        <v/>
      </c>
      <c r="AI119" s="269" t="e">
        <f>VLOOKUP($A119,INICIO!$A$5:$J$72,7,FALSE)</f>
        <v>#N/A</v>
      </c>
      <c r="AJ119" s="232" t="e">
        <f>VLOOKUP($A119,REPOSICIONES!$A$5:$J$72,7,FALSE)</f>
        <v>#N/A</v>
      </c>
      <c r="AK119" s="13" t="e">
        <f t="shared" si="44"/>
        <v>#N/A</v>
      </c>
      <c r="AL119" s="230" t="str">
        <f>IFERROR(VLOOKUP($A119,VENTAS!$H$2:$O$201,6,FALSE),"")</f>
        <v/>
      </c>
      <c r="AM119" s="13" t="str">
        <f t="shared" si="45"/>
        <v/>
      </c>
      <c r="AN119" s="270" t="e">
        <f>VLOOKUP($A119,INICIO!$A$5:$J$72,8,FALSE)</f>
        <v>#N/A</v>
      </c>
      <c r="AO119" s="13"/>
      <c r="AP119" s="204" t="str">
        <f>IFERROR(IF(AO119&gt;0,"",AO119*VLOOKUP($A119,'VALOR I.'!$B$6:$K$418,10,FALSE)),"")</f>
        <v/>
      </c>
      <c r="AQ119" s="269" t="e">
        <f>VLOOKUP($A119,INICIO!$A$5:$J$72,8,FALSE)</f>
        <v>#N/A</v>
      </c>
      <c r="AR119" s="232" t="e">
        <f>VLOOKUP($A119,REPOSICIONES!$A$5:$J$72,8,FALSE)</f>
        <v>#N/A</v>
      </c>
      <c r="AS119" s="13" t="e">
        <f t="shared" si="46"/>
        <v>#N/A</v>
      </c>
      <c r="AT119" s="230" t="str">
        <f>IFERROR(VLOOKUP($A119,VENTAS!$H$2:$O$201,7,FALSE),"")</f>
        <v/>
      </c>
      <c r="AU119" s="13" t="str">
        <f t="shared" si="47"/>
        <v/>
      </c>
      <c r="AV119" s="270" t="e">
        <f>VLOOKUP($A119,INICIO!$A$5:$J$72,9,FALSE)</f>
        <v>#N/A</v>
      </c>
      <c r="AW119" s="13"/>
      <c r="AX119" s="204" t="str">
        <f>IFERROR(IF(AW119&gt;0,"",AW119*VLOOKUP($A119,'VALOR I.'!$B$6:$K$418,10,FALSE)),"")</f>
        <v/>
      </c>
      <c r="AY119" s="269" t="e">
        <f>VLOOKUP($A119,INICIO!$A$5:$J$72,9,FALSE)</f>
        <v>#N/A</v>
      </c>
      <c r="AZ119" s="232" t="e">
        <f>VLOOKUP($A119,REPOSICIONES!$A$5:$J$72,9,FALSE)</f>
        <v>#N/A</v>
      </c>
      <c r="BA119" s="13" t="e">
        <f t="shared" si="48"/>
        <v>#N/A</v>
      </c>
      <c r="BB119" s="230" t="str">
        <f>IFERROR(VLOOKUP($A119,VENTAS!$H$2:$O$201,8,FALSE),"")</f>
        <v/>
      </c>
      <c r="BC119" s="13" t="str">
        <f t="shared" si="49"/>
        <v/>
      </c>
      <c r="BD119" s="270" t="e">
        <f>VLOOKUP($A119,INICIO!$A$5:$J$72,10,FALSE)</f>
        <v>#N/A</v>
      </c>
      <c r="BE119" s="13"/>
      <c r="BF119" s="204" t="str">
        <f>IFERROR(IF(BE119&gt;0,"",BE119*VLOOKUP($A119,'VALOR I.'!$B$6:$K$418,10,FALSE)),"")</f>
        <v/>
      </c>
    </row>
    <row r="120" spans="1:58" ht="15.75" hidden="1" customHeight="1" x14ac:dyDescent="0.25">
      <c r="B120" s="214"/>
      <c r="C120" s="239" t="e">
        <f>VLOOKUP($A120,INICIO!$A$5:$J$72,3,FALSE)</f>
        <v>#N/A</v>
      </c>
      <c r="D120" s="9" t="e">
        <f>VLOOKUP($A120,REPOSICIONES!$A$5:$J$72,3,FALSE)</f>
        <v>#N/A</v>
      </c>
      <c r="E120" s="79" t="e">
        <f t="shared" si="36"/>
        <v>#N/A</v>
      </c>
      <c r="F120" s="80" t="str">
        <f>IFERROR(VLOOKUP($A120,VENTAS!$H$2:$O$201,2,FALSE),"")</f>
        <v/>
      </c>
      <c r="G120" s="9" t="str">
        <f t="shared" si="37"/>
        <v/>
      </c>
      <c r="H120" s="9" t="e">
        <f>VLOOKUP($A120,INICIO!$A$5:$J$72,4,FALSE)</f>
        <v>#N/A</v>
      </c>
      <c r="I120" s="11"/>
      <c r="J120" s="242" t="str">
        <f>IFERROR(IF(I120&gt;0,"",I120*VLOOKUP($A120,'VALOR I.'!$B$6:$K$418,10,FALSE)),"")</f>
        <v/>
      </c>
      <c r="K120" s="276" t="e">
        <f>VLOOKUP($A120,INICIO!$A$5:$J$72,4,FALSE)</f>
        <v>#N/A</v>
      </c>
      <c r="L120" s="232" t="e">
        <f>VLOOKUP($A120,REPOSICIONES!$A$5:$J$72,4,FALSE)</f>
        <v>#N/A</v>
      </c>
      <c r="M120" s="79" t="e">
        <f t="shared" si="38"/>
        <v>#N/A</v>
      </c>
      <c r="N120" s="230" t="str">
        <f>IFERROR(VLOOKUP($A120,VENTAS!$H$2:$O$201,3,FALSE),"")</f>
        <v/>
      </c>
      <c r="O120" s="267" t="str">
        <f t="shared" si="39"/>
        <v/>
      </c>
      <c r="P120" s="270" t="e">
        <f>VLOOKUP($A120,INICIO!$A$5:$J$72,5,FALSE)</f>
        <v>#N/A</v>
      </c>
      <c r="Q120" s="11"/>
      <c r="R120" s="242" t="str">
        <f>IFERROR(IF(Q120&gt;0,"",Q120*VLOOKUP($A120,'VALOR I.'!$B$6:$K$418,10,FALSE)),"")</f>
        <v/>
      </c>
      <c r="S120" s="276" t="e">
        <f>VLOOKUP($A120,INICIO!$A$5:$J$72,5,FALSE)</f>
        <v>#N/A</v>
      </c>
      <c r="T120" s="232" t="e">
        <f>VLOOKUP($A120,REPOSICIONES!$A$5:$J$72,5,FALSE)</f>
        <v>#N/A</v>
      </c>
      <c r="U120" s="79" t="e">
        <f t="shared" si="40"/>
        <v>#N/A</v>
      </c>
      <c r="V120" s="230" t="str">
        <f>IFERROR(VLOOKUP($A120,VENTAS!$H$2:$O$201,4,FALSE),"")</f>
        <v/>
      </c>
      <c r="W120" s="17" t="str">
        <f t="shared" si="41"/>
        <v/>
      </c>
      <c r="X120" s="270" t="e">
        <f>VLOOKUP($A120,INICIO!$A$5:$J$72,6,FALSE)</f>
        <v>#N/A</v>
      </c>
      <c r="Y120" s="11"/>
      <c r="Z120" s="242" t="str">
        <f>IFERROR(IF(Y120&gt;0,"",Y120*VLOOKUP($A120,'VALOR I.'!$B$6:$K$418,10,FALSE)),"")</f>
        <v/>
      </c>
      <c r="AA120" s="276" t="e">
        <f>VLOOKUP($A120,INICIO!$A$5:$J$72,6,FALSE)</f>
        <v>#N/A</v>
      </c>
      <c r="AB120" s="232" t="e">
        <f>VLOOKUP($A120,REPOSICIONES!$A$5:$J$72,6,FALSE)</f>
        <v>#N/A</v>
      </c>
      <c r="AC120" s="79" t="e">
        <f t="shared" si="42"/>
        <v>#N/A</v>
      </c>
      <c r="AD120" s="230" t="str">
        <f>IFERROR(VLOOKUP($A120,VENTAS!$H$2:$O$201,5,FALSE),"")</f>
        <v/>
      </c>
      <c r="AE120" s="17" t="str">
        <f t="shared" si="43"/>
        <v/>
      </c>
      <c r="AF120" s="270" t="e">
        <f>VLOOKUP($A120,INICIO!$A$5:$J$72,7,FALSE)</f>
        <v>#N/A</v>
      </c>
      <c r="AG120" s="11"/>
      <c r="AH120" s="242" t="str">
        <f>IFERROR(IF(AG120&gt;0,"",AG120*VLOOKUP($A120,'VALOR I.'!$B$6:$K$418,10,FALSE)),"")</f>
        <v/>
      </c>
      <c r="AI120" s="269" t="e">
        <f>VLOOKUP($A120,INICIO!$A$5:$J$72,7,FALSE)</f>
        <v>#N/A</v>
      </c>
      <c r="AJ120" s="232" t="e">
        <f>VLOOKUP($A120,REPOSICIONES!$A$5:$J$72,7,FALSE)</f>
        <v>#N/A</v>
      </c>
      <c r="AK120" s="79" t="e">
        <f t="shared" si="44"/>
        <v>#N/A</v>
      </c>
      <c r="AL120" s="230" t="str">
        <f>IFERROR(VLOOKUP($A120,VENTAS!$H$2:$O$201,6,FALSE),"")</f>
        <v/>
      </c>
      <c r="AM120" s="17" t="str">
        <f t="shared" si="45"/>
        <v/>
      </c>
      <c r="AN120" s="270" t="e">
        <f>VLOOKUP($A120,INICIO!$A$5:$J$72,8,FALSE)</f>
        <v>#N/A</v>
      </c>
      <c r="AO120" s="11"/>
      <c r="AP120" s="204" t="str">
        <f>IFERROR(IF(AO120&gt;0,"",AO120*VLOOKUP($A120,'VALOR I.'!$B$6:$K$418,10,FALSE)),"")</f>
        <v/>
      </c>
      <c r="AQ120" s="269" t="e">
        <f>VLOOKUP($A120,INICIO!$A$5:$J$72,8,FALSE)</f>
        <v>#N/A</v>
      </c>
      <c r="AR120" s="232" t="e">
        <f>VLOOKUP($A120,REPOSICIONES!$A$5:$J$72,8,FALSE)</f>
        <v>#N/A</v>
      </c>
      <c r="AS120" s="79" t="e">
        <f t="shared" si="46"/>
        <v>#N/A</v>
      </c>
      <c r="AT120" s="230" t="str">
        <f>IFERROR(VLOOKUP($A120,VENTAS!$H$2:$O$201,7,FALSE),"")</f>
        <v/>
      </c>
      <c r="AU120" s="17" t="str">
        <f t="shared" si="47"/>
        <v/>
      </c>
      <c r="AV120" s="270" t="e">
        <f>VLOOKUP($A120,INICIO!$A$5:$J$72,9,FALSE)</f>
        <v>#N/A</v>
      </c>
      <c r="AW120" s="11"/>
      <c r="AX120" s="204" t="str">
        <f>IFERROR(IF(AW120&gt;0,"",AW120*VLOOKUP($A120,'VALOR I.'!$B$6:$K$418,10,FALSE)),"")</f>
        <v/>
      </c>
      <c r="AY120" s="269" t="e">
        <f>VLOOKUP($A120,INICIO!$A$5:$J$72,9,FALSE)</f>
        <v>#N/A</v>
      </c>
      <c r="AZ120" s="232" t="e">
        <f>VLOOKUP($A120,REPOSICIONES!$A$5:$J$72,9,FALSE)</f>
        <v>#N/A</v>
      </c>
      <c r="BA120" s="79" t="e">
        <f t="shared" si="48"/>
        <v>#N/A</v>
      </c>
      <c r="BB120" s="230" t="str">
        <f>IFERROR(VLOOKUP($A120,VENTAS!$H$2:$O$201,8,FALSE),"")</f>
        <v/>
      </c>
      <c r="BC120" s="17" t="str">
        <f t="shared" si="49"/>
        <v/>
      </c>
      <c r="BD120" s="270" t="e">
        <f>VLOOKUP($A120,INICIO!$A$5:$J$72,10,FALSE)</f>
        <v>#N/A</v>
      </c>
      <c r="BE120" s="11"/>
      <c r="BF120" s="204" t="str">
        <f>IFERROR(IF(BE120&gt;0,"",BE120*VLOOKUP($A120,'VALOR I.'!$B$6:$K$418,10,FALSE)),"")</f>
        <v/>
      </c>
    </row>
    <row r="121" spans="1:58" ht="15.75" hidden="1" customHeight="1" x14ac:dyDescent="0.25">
      <c r="B121" s="214"/>
      <c r="C121" s="239" t="e">
        <f>VLOOKUP($A121,INICIO!$A$5:$J$72,3,FALSE)</f>
        <v>#N/A</v>
      </c>
      <c r="D121" s="9" t="e">
        <f>VLOOKUP($A121,REPOSICIONES!$A$5:$J$72,3,FALSE)</f>
        <v>#N/A</v>
      </c>
      <c r="E121" s="79" t="e">
        <f t="shared" si="36"/>
        <v>#N/A</v>
      </c>
      <c r="F121" s="80" t="str">
        <f>IFERROR(VLOOKUP($A121,VENTAS!$H$2:$O$201,2,FALSE),"")</f>
        <v/>
      </c>
      <c r="G121" s="9" t="str">
        <f t="shared" si="37"/>
        <v/>
      </c>
      <c r="H121" s="9" t="e">
        <f>VLOOKUP($A121,INICIO!$A$5:$J$72,4,FALSE)</f>
        <v>#N/A</v>
      </c>
      <c r="I121" s="11"/>
      <c r="J121" s="242" t="str">
        <f>IFERROR(IF(I121&gt;0,"",I121*VLOOKUP($A121,'VALOR I.'!$B$6:$K$418,10,FALSE)),"")</f>
        <v/>
      </c>
      <c r="K121" s="276" t="e">
        <f>VLOOKUP($A121,INICIO!$A$5:$J$72,4,FALSE)</f>
        <v>#N/A</v>
      </c>
      <c r="L121" s="232" t="e">
        <f>VLOOKUP($A121,REPOSICIONES!$A$5:$J$72,4,FALSE)</f>
        <v>#N/A</v>
      </c>
      <c r="M121" s="79" t="e">
        <f t="shared" si="38"/>
        <v>#N/A</v>
      </c>
      <c r="N121" s="230" t="str">
        <f>IFERROR(VLOOKUP($A121,VENTAS!$H$2:$O$201,3,FALSE),"")</f>
        <v/>
      </c>
      <c r="O121" s="267" t="str">
        <f t="shared" si="39"/>
        <v/>
      </c>
      <c r="P121" s="270" t="e">
        <f>VLOOKUP($A121,INICIO!$A$5:$J$72,5,FALSE)</f>
        <v>#N/A</v>
      </c>
      <c r="Q121" s="11"/>
      <c r="R121" s="242" t="str">
        <f>IFERROR(IF(Q121&gt;0,"",Q121*VLOOKUP($A121,'VALOR I.'!$B$6:$K$418,10,FALSE)),"")</f>
        <v/>
      </c>
      <c r="S121" s="276" t="e">
        <f>VLOOKUP($A121,INICIO!$A$5:$J$72,5,FALSE)</f>
        <v>#N/A</v>
      </c>
      <c r="T121" s="232" t="e">
        <f>VLOOKUP($A121,REPOSICIONES!$A$5:$J$72,5,FALSE)</f>
        <v>#N/A</v>
      </c>
      <c r="U121" s="79" t="e">
        <f t="shared" si="40"/>
        <v>#N/A</v>
      </c>
      <c r="V121" s="230" t="str">
        <f>IFERROR(VLOOKUP($A121,VENTAS!$H$2:$O$201,4,FALSE),"")</f>
        <v/>
      </c>
      <c r="W121" s="11" t="str">
        <f t="shared" si="41"/>
        <v/>
      </c>
      <c r="X121" s="270" t="e">
        <f>VLOOKUP($A121,INICIO!$A$5:$J$72,6,FALSE)</f>
        <v>#N/A</v>
      </c>
      <c r="Y121" s="11"/>
      <c r="Z121" s="242" t="str">
        <f>IFERROR(IF(Y121&gt;0,"",Y121*VLOOKUP($A121,'VALOR I.'!$B$6:$K$418,10,FALSE)),"")</f>
        <v/>
      </c>
      <c r="AA121" s="276" t="e">
        <f>VLOOKUP($A121,INICIO!$A$5:$J$72,6,FALSE)</f>
        <v>#N/A</v>
      </c>
      <c r="AB121" s="232" t="e">
        <f>VLOOKUP($A121,REPOSICIONES!$A$5:$J$72,6,FALSE)</f>
        <v>#N/A</v>
      </c>
      <c r="AC121" s="79" t="e">
        <f t="shared" si="42"/>
        <v>#N/A</v>
      </c>
      <c r="AD121" s="230" t="str">
        <f>IFERROR(VLOOKUP($A121,VENTAS!$H$2:$O$201,5,FALSE),"")</f>
        <v/>
      </c>
      <c r="AE121" s="11" t="str">
        <f t="shared" si="43"/>
        <v/>
      </c>
      <c r="AF121" s="270" t="e">
        <f>VLOOKUP($A121,INICIO!$A$5:$J$72,7,FALSE)</f>
        <v>#N/A</v>
      </c>
      <c r="AG121" s="11"/>
      <c r="AH121" s="242" t="str">
        <f>IFERROR(IF(AG121&gt;0,"",AG121*VLOOKUP($A121,'VALOR I.'!$B$6:$K$418,10,FALSE)),"")</f>
        <v/>
      </c>
      <c r="AI121" s="269" t="e">
        <f>VLOOKUP($A121,INICIO!$A$5:$J$72,7,FALSE)</f>
        <v>#N/A</v>
      </c>
      <c r="AJ121" s="232" t="e">
        <f>VLOOKUP($A121,REPOSICIONES!$A$5:$J$72,7,FALSE)</f>
        <v>#N/A</v>
      </c>
      <c r="AK121" s="79" t="e">
        <f t="shared" si="44"/>
        <v>#N/A</v>
      </c>
      <c r="AL121" s="230" t="str">
        <f>IFERROR(VLOOKUP($A121,VENTAS!$H$2:$O$201,6,FALSE),"")</f>
        <v/>
      </c>
      <c r="AM121" s="11" t="str">
        <f t="shared" si="45"/>
        <v/>
      </c>
      <c r="AN121" s="270" t="e">
        <f>VLOOKUP($A121,INICIO!$A$5:$J$72,8,FALSE)</f>
        <v>#N/A</v>
      </c>
      <c r="AO121" s="11"/>
      <c r="AP121" s="204" t="str">
        <f>IFERROR(IF(AO121&gt;0,"",AO121*VLOOKUP($A121,'VALOR I.'!$B$6:$K$418,10,FALSE)),"")</f>
        <v/>
      </c>
      <c r="AQ121" s="269" t="e">
        <f>VLOOKUP($A121,INICIO!$A$5:$J$72,8,FALSE)</f>
        <v>#N/A</v>
      </c>
      <c r="AR121" s="232" t="e">
        <f>VLOOKUP($A121,REPOSICIONES!$A$5:$J$72,8,FALSE)</f>
        <v>#N/A</v>
      </c>
      <c r="AS121" s="79" t="e">
        <f t="shared" si="46"/>
        <v>#N/A</v>
      </c>
      <c r="AT121" s="230" t="str">
        <f>IFERROR(VLOOKUP($A121,VENTAS!$H$2:$O$201,7,FALSE),"")</f>
        <v/>
      </c>
      <c r="AU121" s="11" t="str">
        <f t="shared" si="47"/>
        <v/>
      </c>
      <c r="AV121" s="270" t="e">
        <f>VLOOKUP($A121,INICIO!$A$5:$J$72,9,FALSE)</f>
        <v>#N/A</v>
      </c>
      <c r="AW121" s="11"/>
      <c r="AX121" s="204" t="str">
        <f>IFERROR(IF(AW121&gt;0,"",AW121*VLOOKUP($A121,'VALOR I.'!$B$6:$K$418,10,FALSE)),"")</f>
        <v/>
      </c>
      <c r="AY121" s="269" t="e">
        <f>VLOOKUP($A121,INICIO!$A$5:$J$72,9,FALSE)</f>
        <v>#N/A</v>
      </c>
      <c r="AZ121" s="232" t="e">
        <f>VLOOKUP($A121,REPOSICIONES!$A$5:$J$72,9,FALSE)</f>
        <v>#N/A</v>
      </c>
      <c r="BA121" s="79" t="e">
        <f t="shared" si="48"/>
        <v>#N/A</v>
      </c>
      <c r="BB121" s="230" t="str">
        <f>IFERROR(VLOOKUP($A121,VENTAS!$H$2:$O$201,8,FALSE),"")</f>
        <v/>
      </c>
      <c r="BC121" s="11" t="str">
        <f t="shared" si="49"/>
        <v/>
      </c>
      <c r="BD121" s="270" t="e">
        <f>VLOOKUP($A121,INICIO!$A$5:$J$72,10,FALSE)</f>
        <v>#N/A</v>
      </c>
      <c r="BE121" s="11"/>
      <c r="BF121" s="204" t="str">
        <f>IFERROR(IF(BE121&gt;0,"",BE121*VLOOKUP($A121,'VALOR I.'!$B$6:$K$418,10,FALSE)),"")</f>
        <v/>
      </c>
    </row>
    <row r="122" spans="1:58" ht="15.75" hidden="1" customHeight="1" x14ac:dyDescent="0.25">
      <c r="B122" s="214"/>
      <c r="C122" s="239" t="e">
        <f>VLOOKUP($A122,INICIO!$A$5:$J$72,3,FALSE)</f>
        <v>#N/A</v>
      </c>
      <c r="D122" s="9" t="e">
        <f>VLOOKUP($A122,REPOSICIONES!$A$5:$J$72,3,FALSE)</f>
        <v>#N/A</v>
      </c>
      <c r="E122" s="79" t="e">
        <f t="shared" si="36"/>
        <v>#N/A</v>
      </c>
      <c r="F122" s="80" t="str">
        <f>IFERROR(VLOOKUP($A122,VENTAS!$H$2:$O$201,2,FALSE),"")</f>
        <v/>
      </c>
      <c r="G122" s="9" t="str">
        <f t="shared" si="37"/>
        <v/>
      </c>
      <c r="H122" s="9" t="e">
        <f>VLOOKUP($A122,INICIO!$A$5:$J$72,4,FALSE)</f>
        <v>#N/A</v>
      </c>
      <c r="I122" s="11"/>
      <c r="J122" s="242" t="str">
        <f>IFERROR(IF(I122&gt;0,"",I122*VLOOKUP($A122,'VALOR I.'!$B$6:$K$418,10,FALSE)),"")</f>
        <v/>
      </c>
      <c r="K122" s="276" t="e">
        <f>VLOOKUP($A122,INICIO!$A$5:$J$72,4,FALSE)</f>
        <v>#N/A</v>
      </c>
      <c r="L122" s="232" t="e">
        <f>VLOOKUP($A122,REPOSICIONES!$A$5:$J$72,4,FALSE)</f>
        <v>#N/A</v>
      </c>
      <c r="M122" s="79" t="e">
        <f t="shared" si="38"/>
        <v>#N/A</v>
      </c>
      <c r="N122" s="230" t="str">
        <f>IFERROR(VLOOKUP($A122,VENTAS!$H$2:$O$201,3,FALSE),"")</f>
        <v/>
      </c>
      <c r="O122" s="267" t="str">
        <f t="shared" si="39"/>
        <v/>
      </c>
      <c r="P122" s="270" t="e">
        <f>VLOOKUP($A122,INICIO!$A$5:$J$72,5,FALSE)</f>
        <v>#N/A</v>
      </c>
      <c r="Q122" s="11"/>
      <c r="R122" s="242" t="str">
        <f>IFERROR(IF(Q122&gt;0,"",Q122*VLOOKUP($A122,'VALOR I.'!$B$6:$K$418,10,FALSE)),"")</f>
        <v/>
      </c>
      <c r="S122" s="276" t="e">
        <f>VLOOKUP($A122,INICIO!$A$5:$J$72,5,FALSE)</f>
        <v>#N/A</v>
      </c>
      <c r="T122" s="232" t="e">
        <f>VLOOKUP($A122,REPOSICIONES!$A$5:$J$72,5,FALSE)</f>
        <v>#N/A</v>
      </c>
      <c r="U122" s="79" t="e">
        <f t="shared" si="40"/>
        <v>#N/A</v>
      </c>
      <c r="V122" s="230" t="str">
        <f>IFERROR(VLOOKUP($A122,VENTAS!$H$2:$O$201,4,FALSE),"")</f>
        <v/>
      </c>
      <c r="W122" s="11" t="str">
        <f t="shared" si="41"/>
        <v/>
      </c>
      <c r="X122" s="270" t="e">
        <f>VLOOKUP($A122,INICIO!$A$5:$J$72,6,FALSE)</f>
        <v>#N/A</v>
      </c>
      <c r="Y122" s="11"/>
      <c r="Z122" s="242" t="str">
        <f>IFERROR(IF(Y122&gt;0,"",Y122*VLOOKUP($A122,'VALOR I.'!$B$6:$K$418,10,FALSE)),"")</f>
        <v/>
      </c>
      <c r="AA122" s="276" t="e">
        <f>VLOOKUP($A122,INICIO!$A$5:$J$72,6,FALSE)</f>
        <v>#N/A</v>
      </c>
      <c r="AB122" s="232" t="e">
        <f>VLOOKUP($A122,REPOSICIONES!$A$5:$J$72,6,FALSE)</f>
        <v>#N/A</v>
      </c>
      <c r="AC122" s="79" t="e">
        <f t="shared" si="42"/>
        <v>#N/A</v>
      </c>
      <c r="AD122" s="230" t="str">
        <f>IFERROR(VLOOKUP($A122,VENTAS!$H$2:$O$201,5,FALSE),"")</f>
        <v/>
      </c>
      <c r="AE122" s="11" t="str">
        <f t="shared" si="43"/>
        <v/>
      </c>
      <c r="AF122" s="270" t="e">
        <f>VLOOKUP($A122,INICIO!$A$5:$J$72,7,FALSE)</f>
        <v>#N/A</v>
      </c>
      <c r="AG122" s="11"/>
      <c r="AH122" s="242" t="str">
        <f>IFERROR(IF(AG122&gt;0,"",AG122*VLOOKUP($A122,'VALOR I.'!$B$6:$K$418,10,FALSE)),"")</f>
        <v/>
      </c>
      <c r="AI122" s="269" t="e">
        <f>VLOOKUP($A122,INICIO!$A$5:$J$72,7,FALSE)</f>
        <v>#N/A</v>
      </c>
      <c r="AJ122" s="232" t="e">
        <f>VLOOKUP($A122,REPOSICIONES!$A$5:$J$72,7,FALSE)</f>
        <v>#N/A</v>
      </c>
      <c r="AK122" s="79" t="e">
        <f t="shared" si="44"/>
        <v>#N/A</v>
      </c>
      <c r="AL122" s="230" t="str">
        <f>IFERROR(VLOOKUP($A122,VENTAS!$H$2:$O$201,6,FALSE),"")</f>
        <v/>
      </c>
      <c r="AM122" s="11" t="str">
        <f t="shared" si="45"/>
        <v/>
      </c>
      <c r="AN122" s="270" t="e">
        <f>VLOOKUP($A122,INICIO!$A$5:$J$72,8,FALSE)</f>
        <v>#N/A</v>
      </c>
      <c r="AO122" s="11"/>
      <c r="AP122" s="204" t="str">
        <f>IFERROR(IF(AO122&gt;0,"",AO122*VLOOKUP($A122,'VALOR I.'!$B$6:$K$418,10,FALSE)),"")</f>
        <v/>
      </c>
      <c r="AQ122" s="269" t="e">
        <f>VLOOKUP($A122,INICIO!$A$5:$J$72,8,FALSE)</f>
        <v>#N/A</v>
      </c>
      <c r="AR122" s="232" t="e">
        <f>VLOOKUP($A122,REPOSICIONES!$A$5:$J$72,8,FALSE)</f>
        <v>#N/A</v>
      </c>
      <c r="AS122" s="79" t="e">
        <f t="shared" si="46"/>
        <v>#N/A</v>
      </c>
      <c r="AT122" s="230" t="str">
        <f>IFERROR(VLOOKUP($A122,VENTAS!$H$2:$O$201,7,FALSE),"")</f>
        <v/>
      </c>
      <c r="AU122" s="11" t="str">
        <f t="shared" si="47"/>
        <v/>
      </c>
      <c r="AV122" s="270" t="e">
        <f>VLOOKUP($A122,INICIO!$A$5:$J$72,9,FALSE)</f>
        <v>#N/A</v>
      </c>
      <c r="AW122" s="11"/>
      <c r="AX122" s="204" t="str">
        <f>IFERROR(IF(AW122&gt;0,"",AW122*VLOOKUP($A122,'VALOR I.'!$B$6:$K$418,10,FALSE)),"")</f>
        <v/>
      </c>
      <c r="AY122" s="269" t="e">
        <f>VLOOKUP($A122,INICIO!$A$5:$J$72,9,FALSE)</f>
        <v>#N/A</v>
      </c>
      <c r="AZ122" s="232" t="e">
        <f>VLOOKUP($A122,REPOSICIONES!$A$5:$J$72,9,FALSE)</f>
        <v>#N/A</v>
      </c>
      <c r="BA122" s="79" t="e">
        <f t="shared" si="48"/>
        <v>#N/A</v>
      </c>
      <c r="BB122" s="230" t="str">
        <f>IFERROR(VLOOKUP($A122,VENTAS!$H$2:$O$201,8,FALSE),"")</f>
        <v/>
      </c>
      <c r="BC122" s="11" t="str">
        <f t="shared" si="49"/>
        <v/>
      </c>
      <c r="BD122" s="270" t="e">
        <f>VLOOKUP($A122,INICIO!$A$5:$J$72,10,FALSE)</f>
        <v>#N/A</v>
      </c>
      <c r="BE122" s="11"/>
      <c r="BF122" s="204" t="str">
        <f>IFERROR(IF(BE122&gt;0,"",BE122*VLOOKUP($A122,'VALOR I.'!$B$6:$K$418,10,FALSE)),"")</f>
        <v/>
      </c>
    </row>
    <row r="123" spans="1:58" ht="15.75" hidden="1" customHeight="1" x14ac:dyDescent="0.25">
      <c r="B123" s="214"/>
      <c r="C123" s="239" t="e">
        <f>VLOOKUP($A123,INICIO!$A$5:$J$72,3,FALSE)</f>
        <v>#N/A</v>
      </c>
      <c r="D123" s="9" t="e">
        <f>VLOOKUP($A123,REPOSICIONES!$A$5:$J$72,3,FALSE)</f>
        <v>#N/A</v>
      </c>
      <c r="E123" s="79" t="e">
        <f t="shared" si="36"/>
        <v>#N/A</v>
      </c>
      <c r="F123" s="80" t="str">
        <f>IFERROR(VLOOKUP($A123,VENTAS!$H$2:$O$201,2,FALSE),"")</f>
        <v/>
      </c>
      <c r="G123" s="9" t="str">
        <f t="shared" si="37"/>
        <v/>
      </c>
      <c r="H123" s="9" t="e">
        <f>VLOOKUP($A123,INICIO!$A$5:$J$72,4,FALSE)</f>
        <v>#N/A</v>
      </c>
      <c r="I123" s="11"/>
      <c r="J123" s="242" t="str">
        <f>IFERROR(IF(I123&gt;0,"",I123*VLOOKUP($A123,'VALOR I.'!$B$6:$K$418,10,FALSE)),"")</f>
        <v/>
      </c>
      <c r="K123" s="276" t="e">
        <f>VLOOKUP($A123,INICIO!$A$5:$J$72,4,FALSE)</f>
        <v>#N/A</v>
      </c>
      <c r="L123" s="232" t="e">
        <f>VLOOKUP($A123,REPOSICIONES!$A$5:$J$72,4,FALSE)</f>
        <v>#N/A</v>
      </c>
      <c r="M123" s="79" t="e">
        <f t="shared" si="38"/>
        <v>#N/A</v>
      </c>
      <c r="N123" s="230" t="str">
        <f>IFERROR(VLOOKUP($A123,VENTAS!$H$2:$O$201,3,FALSE),"")</f>
        <v/>
      </c>
      <c r="O123" s="267" t="str">
        <f t="shared" si="39"/>
        <v/>
      </c>
      <c r="P123" s="270" t="e">
        <f>VLOOKUP($A123,INICIO!$A$5:$J$72,5,FALSE)</f>
        <v>#N/A</v>
      </c>
      <c r="Q123" s="11"/>
      <c r="R123" s="242" t="str">
        <f>IFERROR(IF(Q123&gt;0,"",Q123*VLOOKUP($A123,'VALOR I.'!$B$6:$K$418,10,FALSE)),"")</f>
        <v/>
      </c>
      <c r="S123" s="276" t="e">
        <f>VLOOKUP($A123,INICIO!$A$5:$J$72,5,FALSE)</f>
        <v>#N/A</v>
      </c>
      <c r="T123" s="232" t="e">
        <f>VLOOKUP($A123,REPOSICIONES!$A$5:$J$72,5,FALSE)</f>
        <v>#N/A</v>
      </c>
      <c r="U123" s="79" t="e">
        <f t="shared" si="40"/>
        <v>#N/A</v>
      </c>
      <c r="V123" s="230" t="str">
        <f>IFERROR(VLOOKUP($A123,VENTAS!$H$2:$O$201,4,FALSE),"")</f>
        <v/>
      </c>
      <c r="W123" s="11" t="str">
        <f t="shared" si="41"/>
        <v/>
      </c>
      <c r="X123" s="270" t="e">
        <f>VLOOKUP($A123,INICIO!$A$5:$J$72,6,FALSE)</f>
        <v>#N/A</v>
      </c>
      <c r="Y123" s="11"/>
      <c r="Z123" s="242" t="str">
        <f>IFERROR(IF(Y123&gt;0,"",Y123*VLOOKUP($A123,'VALOR I.'!$B$6:$K$418,10,FALSE)),"")</f>
        <v/>
      </c>
      <c r="AA123" s="276" t="e">
        <f>VLOOKUP($A123,INICIO!$A$5:$J$72,6,FALSE)</f>
        <v>#N/A</v>
      </c>
      <c r="AB123" s="232" t="e">
        <f>VLOOKUP($A123,REPOSICIONES!$A$5:$J$72,6,FALSE)</f>
        <v>#N/A</v>
      </c>
      <c r="AC123" s="79" t="e">
        <f t="shared" si="42"/>
        <v>#N/A</v>
      </c>
      <c r="AD123" s="230" t="str">
        <f>IFERROR(VLOOKUP($A123,VENTAS!$H$2:$O$201,5,FALSE),"")</f>
        <v/>
      </c>
      <c r="AE123" s="11" t="str">
        <f t="shared" si="43"/>
        <v/>
      </c>
      <c r="AF123" s="270" t="e">
        <f>VLOOKUP($A123,INICIO!$A$5:$J$72,7,FALSE)</f>
        <v>#N/A</v>
      </c>
      <c r="AG123" s="11"/>
      <c r="AH123" s="242" t="str">
        <f>IFERROR(IF(AG123&gt;0,"",AG123*VLOOKUP($A123,'VALOR I.'!$B$6:$K$418,10,FALSE)),"")</f>
        <v/>
      </c>
      <c r="AI123" s="269" t="e">
        <f>VLOOKUP($A123,INICIO!$A$5:$J$72,7,FALSE)</f>
        <v>#N/A</v>
      </c>
      <c r="AJ123" s="232" t="e">
        <f>VLOOKUP($A123,REPOSICIONES!$A$5:$J$72,7,FALSE)</f>
        <v>#N/A</v>
      </c>
      <c r="AK123" s="79" t="e">
        <f t="shared" si="44"/>
        <v>#N/A</v>
      </c>
      <c r="AL123" s="230" t="str">
        <f>IFERROR(VLOOKUP($A123,VENTAS!$H$2:$O$201,6,FALSE),"")</f>
        <v/>
      </c>
      <c r="AM123" s="11" t="str">
        <f t="shared" si="45"/>
        <v/>
      </c>
      <c r="AN123" s="270" t="e">
        <f>VLOOKUP($A123,INICIO!$A$5:$J$72,8,FALSE)</f>
        <v>#N/A</v>
      </c>
      <c r="AO123" s="11"/>
      <c r="AP123" s="204" t="str">
        <f>IFERROR(IF(AO123&gt;0,"",AO123*VLOOKUP($A123,'VALOR I.'!$B$6:$K$418,10,FALSE)),"")</f>
        <v/>
      </c>
      <c r="AQ123" s="269" t="e">
        <f>VLOOKUP($A123,INICIO!$A$5:$J$72,8,FALSE)</f>
        <v>#N/A</v>
      </c>
      <c r="AR123" s="232" t="e">
        <f>VLOOKUP($A123,REPOSICIONES!$A$5:$J$72,8,FALSE)</f>
        <v>#N/A</v>
      </c>
      <c r="AS123" s="79" t="e">
        <f t="shared" si="46"/>
        <v>#N/A</v>
      </c>
      <c r="AT123" s="230" t="str">
        <f>IFERROR(VLOOKUP($A123,VENTAS!$H$2:$O$201,7,FALSE),"")</f>
        <v/>
      </c>
      <c r="AU123" s="11" t="str">
        <f t="shared" si="47"/>
        <v/>
      </c>
      <c r="AV123" s="270" t="e">
        <f>VLOOKUP($A123,INICIO!$A$5:$J$72,9,FALSE)</f>
        <v>#N/A</v>
      </c>
      <c r="AW123" s="11"/>
      <c r="AX123" s="204" t="str">
        <f>IFERROR(IF(AW123&gt;0,"",AW123*VLOOKUP($A123,'VALOR I.'!$B$6:$K$418,10,FALSE)),"")</f>
        <v/>
      </c>
      <c r="AY123" s="269" t="e">
        <f>VLOOKUP($A123,INICIO!$A$5:$J$72,9,FALSE)</f>
        <v>#N/A</v>
      </c>
      <c r="AZ123" s="232" t="e">
        <f>VLOOKUP($A123,REPOSICIONES!$A$5:$J$72,9,FALSE)</f>
        <v>#N/A</v>
      </c>
      <c r="BA123" s="79" t="e">
        <f t="shared" si="48"/>
        <v>#N/A</v>
      </c>
      <c r="BB123" s="230" t="str">
        <f>IFERROR(VLOOKUP($A123,VENTAS!$H$2:$O$201,8,FALSE),"")</f>
        <v/>
      </c>
      <c r="BC123" s="11" t="str">
        <f t="shared" si="49"/>
        <v/>
      </c>
      <c r="BD123" s="270" t="e">
        <f>VLOOKUP($A123,INICIO!$A$5:$J$72,10,FALSE)</f>
        <v>#N/A</v>
      </c>
      <c r="BE123" s="11"/>
      <c r="BF123" s="204" t="str">
        <f>IFERROR(IF(BE123&gt;0,"",BE123*VLOOKUP($A123,'VALOR I.'!$B$6:$K$418,10,FALSE)),"")</f>
        <v/>
      </c>
    </row>
    <row r="124" spans="1:58" ht="15.75" hidden="1" customHeight="1" x14ac:dyDescent="0.25">
      <c r="A124" s="66"/>
      <c r="B124" s="286"/>
      <c r="C124" s="239" t="e">
        <f>VLOOKUP($A124,INICIO!$A$5:$J$72,3,FALSE)</f>
        <v>#N/A</v>
      </c>
      <c r="D124" s="9" t="e">
        <f>VLOOKUP($A124,REPOSICIONES!$A$5:$J$72,3,FALSE)</f>
        <v>#N/A</v>
      </c>
      <c r="E124" s="79" t="e">
        <f t="shared" si="36"/>
        <v>#N/A</v>
      </c>
      <c r="F124" s="80" t="str">
        <f>IFERROR(VLOOKUP($A124,VENTAS!$H$2:$O$201,2,FALSE),"")</f>
        <v/>
      </c>
      <c r="G124" s="9" t="str">
        <f t="shared" si="37"/>
        <v/>
      </c>
      <c r="H124" s="9" t="e">
        <f>VLOOKUP($A124,INICIO!$A$5:$J$72,4,FALSE)</f>
        <v>#N/A</v>
      </c>
      <c r="I124" s="11"/>
      <c r="J124" s="242" t="str">
        <f>IFERROR(IF(I124&gt;0,"",I124*VLOOKUP($A124,'VALOR I.'!$B$6:$K$418,10,FALSE)),"")</f>
        <v/>
      </c>
      <c r="K124" s="276" t="e">
        <f>VLOOKUP($A124,INICIO!$A$5:$J$72,4,FALSE)</f>
        <v>#N/A</v>
      </c>
      <c r="L124" s="232" t="e">
        <f>VLOOKUP($A124,REPOSICIONES!$A$5:$J$72,4,FALSE)</f>
        <v>#N/A</v>
      </c>
      <c r="M124" s="79" t="e">
        <f t="shared" si="38"/>
        <v>#N/A</v>
      </c>
      <c r="N124" s="230" t="str">
        <f>IFERROR(VLOOKUP($A124,VENTAS!$H$2:$O$201,3,FALSE),"")</f>
        <v/>
      </c>
      <c r="O124" s="267" t="str">
        <f t="shared" si="39"/>
        <v/>
      </c>
      <c r="P124" s="270" t="e">
        <f>VLOOKUP($A124,INICIO!$A$5:$J$72,5,FALSE)</f>
        <v>#N/A</v>
      </c>
      <c r="Q124" s="11"/>
      <c r="R124" s="242" t="str">
        <f>IFERROR(IF(Q124&gt;0,"",Q124*VLOOKUP($A124,'VALOR I.'!$B$6:$K$418,10,FALSE)),"")</f>
        <v/>
      </c>
      <c r="S124" s="276" t="e">
        <f>VLOOKUP($A124,INICIO!$A$5:$J$72,5,FALSE)</f>
        <v>#N/A</v>
      </c>
      <c r="T124" s="232" t="e">
        <f>VLOOKUP($A124,REPOSICIONES!$A$5:$J$72,5,FALSE)</f>
        <v>#N/A</v>
      </c>
      <c r="U124" s="79" t="e">
        <f t="shared" si="40"/>
        <v>#N/A</v>
      </c>
      <c r="V124" s="230" t="str">
        <f>IFERROR(VLOOKUP($A124,VENTAS!$H$2:$O$201,4,FALSE),"")</f>
        <v/>
      </c>
      <c r="W124" s="11" t="str">
        <f t="shared" si="41"/>
        <v/>
      </c>
      <c r="X124" s="270" t="e">
        <f>VLOOKUP($A124,INICIO!$A$5:$J$72,6,FALSE)</f>
        <v>#N/A</v>
      </c>
      <c r="Y124" s="11"/>
      <c r="Z124" s="242" t="str">
        <f>IFERROR(IF(Y124&gt;0,"",Y124*VLOOKUP($A124,'VALOR I.'!$B$6:$K$418,10,FALSE)),"")</f>
        <v/>
      </c>
      <c r="AA124" s="276" t="e">
        <f>VLOOKUP($A124,INICIO!$A$5:$J$72,6,FALSE)</f>
        <v>#N/A</v>
      </c>
      <c r="AB124" s="232" t="e">
        <f>VLOOKUP($A124,REPOSICIONES!$A$5:$J$72,6,FALSE)</f>
        <v>#N/A</v>
      </c>
      <c r="AC124" s="79" t="e">
        <f t="shared" si="42"/>
        <v>#N/A</v>
      </c>
      <c r="AD124" s="230" t="str">
        <f>IFERROR(VLOOKUP($A124,VENTAS!$H$2:$O$201,5,FALSE),"")</f>
        <v/>
      </c>
      <c r="AE124" s="11" t="str">
        <f t="shared" si="43"/>
        <v/>
      </c>
      <c r="AF124" s="270" t="e">
        <f>VLOOKUP($A124,INICIO!$A$5:$J$72,7,FALSE)</f>
        <v>#N/A</v>
      </c>
      <c r="AG124" s="11"/>
      <c r="AH124" s="242" t="str">
        <f>IFERROR(IF(AG124&gt;0,"",AG124*VLOOKUP($A124,'VALOR I.'!$B$6:$K$418,10,FALSE)),"")</f>
        <v/>
      </c>
      <c r="AI124" s="269" t="e">
        <f>VLOOKUP($A124,INICIO!$A$5:$J$72,7,FALSE)</f>
        <v>#N/A</v>
      </c>
      <c r="AJ124" s="232" t="e">
        <f>VLOOKUP($A124,REPOSICIONES!$A$5:$J$72,7,FALSE)</f>
        <v>#N/A</v>
      </c>
      <c r="AK124" s="79" t="e">
        <f t="shared" si="44"/>
        <v>#N/A</v>
      </c>
      <c r="AL124" s="230" t="str">
        <f>IFERROR(VLOOKUP($A124,VENTAS!$H$2:$O$201,6,FALSE),"")</f>
        <v/>
      </c>
      <c r="AM124" s="11" t="str">
        <f t="shared" si="45"/>
        <v/>
      </c>
      <c r="AN124" s="270" t="e">
        <f>VLOOKUP($A124,INICIO!$A$5:$J$72,8,FALSE)</f>
        <v>#N/A</v>
      </c>
      <c r="AO124" s="11"/>
      <c r="AP124" s="204" t="str">
        <f>IFERROR(IF(AO124&gt;0,"",AO124*VLOOKUP($A124,'VALOR I.'!$B$6:$K$418,10,FALSE)),"")</f>
        <v/>
      </c>
      <c r="AQ124" s="269" t="e">
        <f>VLOOKUP($A124,INICIO!$A$5:$J$72,8,FALSE)</f>
        <v>#N/A</v>
      </c>
      <c r="AR124" s="232" t="e">
        <f>VLOOKUP($A124,REPOSICIONES!$A$5:$J$72,8,FALSE)</f>
        <v>#N/A</v>
      </c>
      <c r="AS124" s="79" t="e">
        <f t="shared" si="46"/>
        <v>#N/A</v>
      </c>
      <c r="AT124" s="230" t="str">
        <f>IFERROR(VLOOKUP($A124,VENTAS!$H$2:$O$201,7,FALSE),"")</f>
        <v/>
      </c>
      <c r="AU124" s="11" t="str">
        <f t="shared" si="47"/>
        <v/>
      </c>
      <c r="AV124" s="270" t="e">
        <f>VLOOKUP($A124,INICIO!$A$5:$J$72,9,FALSE)</f>
        <v>#N/A</v>
      </c>
      <c r="AW124" s="11"/>
      <c r="AX124" s="204" t="str">
        <f>IFERROR(IF(AW124&gt;0,"",AW124*VLOOKUP($A124,'VALOR I.'!$B$6:$K$418,10,FALSE)),"")</f>
        <v/>
      </c>
      <c r="AY124" s="269" t="e">
        <f>VLOOKUP($A124,INICIO!$A$5:$J$72,9,FALSE)</f>
        <v>#N/A</v>
      </c>
      <c r="AZ124" s="232" t="e">
        <f>VLOOKUP($A124,REPOSICIONES!$A$5:$J$72,9,FALSE)</f>
        <v>#N/A</v>
      </c>
      <c r="BA124" s="79" t="e">
        <f t="shared" si="48"/>
        <v>#N/A</v>
      </c>
      <c r="BB124" s="230" t="str">
        <f>IFERROR(VLOOKUP($A124,VENTAS!$H$2:$O$201,8,FALSE),"")</f>
        <v/>
      </c>
      <c r="BC124" s="11" t="str">
        <f t="shared" si="49"/>
        <v/>
      </c>
      <c r="BD124" s="270" t="e">
        <f>VLOOKUP($A124,INICIO!$A$5:$J$72,10,FALSE)</f>
        <v>#N/A</v>
      </c>
      <c r="BE124" s="11"/>
      <c r="BF124" s="204" t="str">
        <f>IFERROR(IF(BE124&gt;0,"",BE124*VLOOKUP($A124,'VALOR I.'!$B$6:$K$418,10,FALSE)),"")</f>
        <v/>
      </c>
    </row>
    <row r="125" spans="1:58" ht="15.75" hidden="1" customHeight="1" x14ac:dyDescent="0.25">
      <c r="B125" s="214"/>
      <c r="C125" s="239" t="e">
        <f>VLOOKUP($A125,INICIO!$A$5:$J$72,3,FALSE)</f>
        <v>#N/A</v>
      </c>
      <c r="D125" s="9" t="e">
        <f>VLOOKUP($A125,REPOSICIONES!$A$5:$J$72,3,FALSE)</f>
        <v>#N/A</v>
      </c>
      <c r="E125" s="79" t="e">
        <f t="shared" si="36"/>
        <v>#N/A</v>
      </c>
      <c r="F125" s="80" t="str">
        <f>IFERROR(VLOOKUP($A125,VENTAS!$H$2:$O$201,2,FALSE),"")</f>
        <v/>
      </c>
      <c r="G125" s="9" t="str">
        <f t="shared" si="37"/>
        <v/>
      </c>
      <c r="H125" s="9" t="e">
        <f>VLOOKUP($A125,INICIO!$A$5:$J$72,4,FALSE)</f>
        <v>#N/A</v>
      </c>
      <c r="I125" s="11"/>
      <c r="J125" s="242" t="str">
        <f>IFERROR(IF(I125&gt;0,"",I125*VLOOKUP($A125,'VALOR I.'!$B$6:$K$418,10,FALSE)),"")</f>
        <v/>
      </c>
      <c r="K125" s="276" t="e">
        <f>VLOOKUP($A125,INICIO!$A$5:$J$72,4,FALSE)</f>
        <v>#N/A</v>
      </c>
      <c r="L125" s="232" t="e">
        <f>VLOOKUP($A125,REPOSICIONES!$A$5:$J$72,4,FALSE)</f>
        <v>#N/A</v>
      </c>
      <c r="M125" s="79" t="e">
        <f t="shared" si="38"/>
        <v>#N/A</v>
      </c>
      <c r="N125" s="230" t="str">
        <f>IFERROR(VLOOKUP($A125,VENTAS!$H$2:$O$201,3,FALSE),"")</f>
        <v/>
      </c>
      <c r="O125" s="267" t="str">
        <f t="shared" si="39"/>
        <v/>
      </c>
      <c r="P125" s="270" t="e">
        <f>VLOOKUP($A125,INICIO!$A$5:$J$72,5,FALSE)</f>
        <v>#N/A</v>
      </c>
      <c r="Q125" s="11"/>
      <c r="R125" s="242" t="str">
        <f>IFERROR(IF(Q125&gt;0,"",Q125*VLOOKUP($A125,'VALOR I.'!$B$6:$K$418,10,FALSE)),"")</f>
        <v/>
      </c>
      <c r="S125" s="276" t="e">
        <f>VLOOKUP($A125,INICIO!$A$5:$J$72,5,FALSE)</f>
        <v>#N/A</v>
      </c>
      <c r="T125" s="232" t="e">
        <f>VLOOKUP($A125,REPOSICIONES!$A$5:$J$72,5,FALSE)</f>
        <v>#N/A</v>
      </c>
      <c r="U125" s="79" t="e">
        <f t="shared" si="40"/>
        <v>#N/A</v>
      </c>
      <c r="V125" s="230" t="str">
        <f>IFERROR(VLOOKUP($A125,VENTAS!$H$2:$O$201,4,FALSE),"")</f>
        <v/>
      </c>
      <c r="W125" s="17" t="str">
        <f t="shared" si="41"/>
        <v/>
      </c>
      <c r="X125" s="270" t="e">
        <f>VLOOKUP($A125,INICIO!$A$5:$J$72,6,FALSE)</f>
        <v>#N/A</v>
      </c>
      <c r="Y125" s="11"/>
      <c r="Z125" s="242" t="str">
        <f>IFERROR(IF(Y125&gt;0,"",Y125*VLOOKUP($A125,'VALOR I.'!$B$6:$K$418,10,FALSE)),"")</f>
        <v/>
      </c>
      <c r="AA125" s="276" t="e">
        <f>VLOOKUP($A125,INICIO!$A$5:$J$72,6,FALSE)</f>
        <v>#N/A</v>
      </c>
      <c r="AB125" s="232" t="e">
        <f>VLOOKUP($A125,REPOSICIONES!$A$5:$J$72,6,FALSE)</f>
        <v>#N/A</v>
      </c>
      <c r="AC125" s="79" t="e">
        <f t="shared" si="42"/>
        <v>#N/A</v>
      </c>
      <c r="AD125" s="230" t="str">
        <f>IFERROR(VLOOKUP($A125,VENTAS!$H$2:$O$201,5,FALSE),"")</f>
        <v/>
      </c>
      <c r="AE125" s="17" t="str">
        <f t="shared" si="43"/>
        <v/>
      </c>
      <c r="AF125" s="270" t="e">
        <f>VLOOKUP($A125,INICIO!$A$5:$J$72,7,FALSE)</f>
        <v>#N/A</v>
      </c>
      <c r="AG125" s="11"/>
      <c r="AH125" s="242" t="str">
        <f>IFERROR(IF(AG125&gt;0,"",AG125*VLOOKUP($A125,'VALOR I.'!$B$6:$K$418,10,FALSE)),"")</f>
        <v/>
      </c>
      <c r="AI125" s="269" t="e">
        <f>VLOOKUP($A125,INICIO!$A$5:$J$72,7,FALSE)</f>
        <v>#N/A</v>
      </c>
      <c r="AJ125" s="232" t="e">
        <f>VLOOKUP($A125,REPOSICIONES!$A$5:$J$72,7,FALSE)</f>
        <v>#N/A</v>
      </c>
      <c r="AK125" s="79" t="e">
        <f t="shared" si="44"/>
        <v>#N/A</v>
      </c>
      <c r="AL125" s="230" t="str">
        <f>IFERROR(VLOOKUP($A125,VENTAS!$H$2:$O$201,6,FALSE),"")</f>
        <v/>
      </c>
      <c r="AM125" s="17" t="str">
        <f t="shared" si="45"/>
        <v/>
      </c>
      <c r="AN125" s="270" t="e">
        <f>VLOOKUP($A125,INICIO!$A$5:$J$72,8,FALSE)</f>
        <v>#N/A</v>
      </c>
      <c r="AO125" s="11"/>
      <c r="AP125" s="204" t="str">
        <f>IFERROR(IF(AO125&gt;0,"",AO125*VLOOKUP($A125,'VALOR I.'!$B$6:$K$418,10,FALSE)),"")</f>
        <v/>
      </c>
      <c r="AQ125" s="269" t="e">
        <f>VLOOKUP($A125,INICIO!$A$5:$J$72,8,FALSE)</f>
        <v>#N/A</v>
      </c>
      <c r="AR125" s="232" t="e">
        <f>VLOOKUP($A125,REPOSICIONES!$A$5:$J$72,8,FALSE)</f>
        <v>#N/A</v>
      </c>
      <c r="AS125" s="79" t="e">
        <f t="shared" si="46"/>
        <v>#N/A</v>
      </c>
      <c r="AT125" s="230" t="str">
        <f>IFERROR(VLOOKUP($A125,VENTAS!$H$2:$O$201,7,FALSE),"")</f>
        <v/>
      </c>
      <c r="AU125" s="17" t="str">
        <f t="shared" si="47"/>
        <v/>
      </c>
      <c r="AV125" s="270" t="e">
        <f>VLOOKUP($A125,INICIO!$A$5:$J$72,9,FALSE)</f>
        <v>#N/A</v>
      </c>
      <c r="AW125" s="11"/>
      <c r="AX125" s="204" t="str">
        <f>IFERROR(IF(AW125&gt;0,"",AW125*VLOOKUP($A125,'VALOR I.'!$B$6:$K$418,10,FALSE)),"")</f>
        <v/>
      </c>
      <c r="AY125" s="269" t="e">
        <f>VLOOKUP($A125,INICIO!$A$5:$J$72,9,FALSE)</f>
        <v>#N/A</v>
      </c>
      <c r="AZ125" s="232" t="e">
        <f>VLOOKUP($A125,REPOSICIONES!$A$5:$J$72,9,FALSE)</f>
        <v>#N/A</v>
      </c>
      <c r="BA125" s="79" t="e">
        <f t="shared" si="48"/>
        <v>#N/A</v>
      </c>
      <c r="BB125" s="230" t="str">
        <f>IFERROR(VLOOKUP($A125,VENTAS!$H$2:$O$201,8,FALSE),"")</f>
        <v/>
      </c>
      <c r="BC125" s="17" t="str">
        <f t="shared" si="49"/>
        <v/>
      </c>
      <c r="BD125" s="270" t="e">
        <f>VLOOKUP($A125,INICIO!$A$5:$J$72,10,FALSE)</f>
        <v>#N/A</v>
      </c>
      <c r="BE125" s="11"/>
      <c r="BF125" s="204" t="str">
        <f>IFERROR(IF(BE125&gt;0,"",BE125*VLOOKUP($A125,'VALOR I.'!$B$6:$K$418,10,FALSE)),"")</f>
        <v/>
      </c>
    </row>
    <row r="126" spans="1:58" ht="15.75" hidden="1" customHeight="1" x14ac:dyDescent="0.25">
      <c r="A126" s="66"/>
      <c r="B126" s="214"/>
      <c r="C126" s="239" t="e">
        <f>VLOOKUP($A126,INICIO!$A$5:$J$72,3,FALSE)</f>
        <v>#N/A</v>
      </c>
      <c r="D126" s="9" t="e">
        <f>VLOOKUP($A126,REPOSICIONES!$A$5:$J$72,3,FALSE)</f>
        <v>#N/A</v>
      </c>
      <c r="E126" s="79" t="e">
        <f t="shared" si="36"/>
        <v>#N/A</v>
      </c>
      <c r="F126" s="80" t="str">
        <f>IFERROR(VLOOKUP($A126,VENTAS!$H$2:$O$201,2,FALSE),"")</f>
        <v/>
      </c>
      <c r="G126" s="9" t="str">
        <f t="shared" si="37"/>
        <v/>
      </c>
      <c r="H126" s="9" t="e">
        <f>VLOOKUP($A126,INICIO!$A$5:$J$72,4,FALSE)</f>
        <v>#N/A</v>
      </c>
      <c r="I126" s="11"/>
      <c r="J126" s="242" t="str">
        <f>IFERROR(IF(I126&gt;0,"",I126*VLOOKUP($A126,'VALOR I.'!$B$6:$K$418,10,FALSE)),"")</f>
        <v/>
      </c>
      <c r="K126" s="276" t="e">
        <f>VLOOKUP($A126,INICIO!$A$5:$J$72,4,FALSE)</f>
        <v>#N/A</v>
      </c>
      <c r="L126" s="232" t="e">
        <f>VLOOKUP($A126,REPOSICIONES!$A$5:$J$72,4,FALSE)</f>
        <v>#N/A</v>
      </c>
      <c r="M126" s="79" t="e">
        <f t="shared" si="38"/>
        <v>#N/A</v>
      </c>
      <c r="N126" s="230" t="str">
        <f>IFERROR(VLOOKUP($A126,VENTAS!$H$2:$O$201,3,FALSE),"")</f>
        <v/>
      </c>
      <c r="O126" s="267" t="str">
        <f t="shared" si="39"/>
        <v/>
      </c>
      <c r="P126" s="270" t="e">
        <f>VLOOKUP($A126,INICIO!$A$5:$J$72,5,FALSE)</f>
        <v>#N/A</v>
      </c>
      <c r="Q126" s="11"/>
      <c r="R126" s="242" t="str">
        <f>IFERROR(IF(Q126&gt;0,"",Q126*VLOOKUP($A126,'VALOR I.'!$B$6:$K$418,10,FALSE)),"")</f>
        <v/>
      </c>
      <c r="S126" s="276" t="e">
        <f>VLOOKUP($A126,INICIO!$A$5:$J$72,5,FALSE)</f>
        <v>#N/A</v>
      </c>
      <c r="T126" s="232" t="e">
        <f>VLOOKUP($A126,REPOSICIONES!$A$5:$J$72,5,FALSE)</f>
        <v>#N/A</v>
      </c>
      <c r="U126" s="79" t="e">
        <f t="shared" si="40"/>
        <v>#N/A</v>
      </c>
      <c r="V126" s="230" t="str">
        <f>IFERROR(VLOOKUP($A126,VENTAS!$H$2:$O$201,4,FALSE),"")</f>
        <v/>
      </c>
      <c r="W126" s="11" t="str">
        <f t="shared" si="41"/>
        <v/>
      </c>
      <c r="X126" s="270" t="e">
        <f>VLOOKUP($A126,INICIO!$A$5:$J$72,6,FALSE)</f>
        <v>#N/A</v>
      </c>
      <c r="Y126" s="11"/>
      <c r="Z126" s="242" t="str">
        <f>IFERROR(IF(Y126&gt;0,"",Y126*VLOOKUP($A126,'VALOR I.'!$B$6:$K$418,10,FALSE)),"")</f>
        <v/>
      </c>
      <c r="AA126" s="276" t="e">
        <f>VLOOKUP($A126,INICIO!$A$5:$J$72,6,FALSE)</f>
        <v>#N/A</v>
      </c>
      <c r="AB126" s="232" t="e">
        <f>VLOOKUP($A126,REPOSICIONES!$A$5:$J$72,6,FALSE)</f>
        <v>#N/A</v>
      </c>
      <c r="AC126" s="79" t="e">
        <f t="shared" si="42"/>
        <v>#N/A</v>
      </c>
      <c r="AD126" s="230" t="str">
        <f>IFERROR(VLOOKUP($A126,VENTAS!$H$2:$O$201,5,FALSE),"")</f>
        <v/>
      </c>
      <c r="AE126" s="11" t="str">
        <f t="shared" si="43"/>
        <v/>
      </c>
      <c r="AF126" s="270" t="e">
        <f>VLOOKUP($A126,INICIO!$A$5:$J$72,7,FALSE)</f>
        <v>#N/A</v>
      </c>
      <c r="AG126" s="11"/>
      <c r="AH126" s="242" t="str">
        <f>IFERROR(IF(AG126&gt;0,"",AG126*VLOOKUP($A126,'VALOR I.'!$B$6:$K$418,10,FALSE)),"")</f>
        <v/>
      </c>
      <c r="AI126" s="269" t="e">
        <f>VLOOKUP($A126,INICIO!$A$5:$J$72,7,FALSE)</f>
        <v>#N/A</v>
      </c>
      <c r="AJ126" s="232" t="e">
        <f>VLOOKUP($A126,REPOSICIONES!$A$5:$J$72,7,FALSE)</f>
        <v>#N/A</v>
      </c>
      <c r="AK126" s="79" t="e">
        <f t="shared" si="44"/>
        <v>#N/A</v>
      </c>
      <c r="AL126" s="230" t="str">
        <f>IFERROR(VLOOKUP($A126,VENTAS!$H$2:$O$201,6,FALSE),"")</f>
        <v/>
      </c>
      <c r="AM126" s="11" t="str">
        <f t="shared" si="45"/>
        <v/>
      </c>
      <c r="AN126" s="270" t="e">
        <f>VLOOKUP($A126,INICIO!$A$5:$J$72,8,FALSE)</f>
        <v>#N/A</v>
      </c>
      <c r="AO126" s="11"/>
      <c r="AP126" s="204" t="str">
        <f>IFERROR(IF(AO126&gt;0,"",AO126*VLOOKUP($A126,'VALOR I.'!$B$6:$K$418,10,FALSE)),"")</f>
        <v/>
      </c>
      <c r="AQ126" s="269" t="e">
        <f>VLOOKUP($A126,INICIO!$A$5:$J$72,8,FALSE)</f>
        <v>#N/A</v>
      </c>
      <c r="AR126" s="232" t="e">
        <f>VLOOKUP($A126,REPOSICIONES!$A$5:$J$72,8,FALSE)</f>
        <v>#N/A</v>
      </c>
      <c r="AS126" s="79" t="e">
        <f t="shared" si="46"/>
        <v>#N/A</v>
      </c>
      <c r="AT126" s="230" t="str">
        <f>IFERROR(VLOOKUP($A126,VENTAS!$H$2:$O$201,7,FALSE),"")</f>
        <v/>
      </c>
      <c r="AU126" s="11" t="str">
        <f t="shared" si="47"/>
        <v/>
      </c>
      <c r="AV126" s="270" t="e">
        <f>VLOOKUP($A126,INICIO!$A$5:$J$72,9,FALSE)</f>
        <v>#N/A</v>
      </c>
      <c r="AW126" s="11"/>
      <c r="AX126" s="204" t="str">
        <f>IFERROR(IF(AW126&gt;0,"",AW126*VLOOKUP($A126,'VALOR I.'!$B$6:$K$418,10,FALSE)),"")</f>
        <v/>
      </c>
      <c r="AY126" s="269" t="e">
        <f>VLOOKUP($A126,INICIO!$A$5:$J$72,9,FALSE)</f>
        <v>#N/A</v>
      </c>
      <c r="AZ126" s="232" t="e">
        <f>VLOOKUP($A126,REPOSICIONES!$A$5:$J$72,9,FALSE)</f>
        <v>#N/A</v>
      </c>
      <c r="BA126" s="79" t="e">
        <f t="shared" si="48"/>
        <v>#N/A</v>
      </c>
      <c r="BB126" s="230" t="str">
        <f>IFERROR(VLOOKUP($A126,VENTAS!$H$2:$O$201,8,FALSE),"")</f>
        <v/>
      </c>
      <c r="BC126" s="11" t="str">
        <f t="shared" si="49"/>
        <v/>
      </c>
      <c r="BD126" s="270" t="e">
        <f>VLOOKUP($A126,INICIO!$A$5:$J$72,10,FALSE)</f>
        <v>#N/A</v>
      </c>
      <c r="BE126" s="11"/>
      <c r="BF126" s="204" t="str">
        <f>IFERROR(IF(BE126&gt;0,"",BE126*VLOOKUP($A126,'VALOR I.'!$B$6:$K$418,10,FALSE)),"")</f>
        <v/>
      </c>
    </row>
    <row r="127" spans="1:58" ht="15.75" hidden="1" customHeight="1" x14ac:dyDescent="0.25">
      <c r="A127" s="66"/>
      <c r="B127" s="214"/>
      <c r="C127" s="239" t="e">
        <f>VLOOKUP($A127,INICIO!$A$5:$J$72,3,FALSE)</f>
        <v>#N/A</v>
      </c>
      <c r="D127" s="9" t="e">
        <f>VLOOKUP($A127,REPOSICIONES!$A$5:$J$72,3,FALSE)</f>
        <v>#N/A</v>
      </c>
      <c r="E127" s="79" t="e">
        <f t="shared" si="36"/>
        <v>#N/A</v>
      </c>
      <c r="F127" s="80" t="str">
        <f>IFERROR(VLOOKUP($A127,VENTAS!$H$2:$O$201,2,FALSE),"")</f>
        <v/>
      </c>
      <c r="G127" s="9" t="str">
        <f t="shared" si="37"/>
        <v/>
      </c>
      <c r="H127" s="9" t="e">
        <f>VLOOKUP($A127,INICIO!$A$5:$J$72,4,FALSE)</f>
        <v>#N/A</v>
      </c>
      <c r="I127" s="11"/>
      <c r="J127" s="242" t="str">
        <f>IFERROR(IF(I127&gt;0,"",I127*VLOOKUP($A127,'VALOR I.'!$B$6:$K$418,10,FALSE)),"")</f>
        <v/>
      </c>
      <c r="K127" s="276" t="e">
        <f>VLOOKUP($A127,INICIO!$A$5:$J$72,4,FALSE)</f>
        <v>#N/A</v>
      </c>
      <c r="L127" s="232" t="e">
        <f>VLOOKUP($A127,REPOSICIONES!$A$5:$J$72,4,FALSE)</f>
        <v>#N/A</v>
      </c>
      <c r="M127" s="79" t="e">
        <f t="shared" si="38"/>
        <v>#N/A</v>
      </c>
      <c r="N127" s="230" t="str">
        <f>IFERROR(VLOOKUP($A127,VENTAS!$H$2:$O$201,3,FALSE),"")</f>
        <v/>
      </c>
      <c r="O127" s="267" t="str">
        <f t="shared" si="39"/>
        <v/>
      </c>
      <c r="P127" s="270" t="e">
        <f>VLOOKUP($A127,INICIO!$A$5:$J$72,5,FALSE)</f>
        <v>#N/A</v>
      </c>
      <c r="Q127" s="11"/>
      <c r="R127" s="242" t="str">
        <f>IFERROR(IF(Q127&gt;0,"",Q127*VLOOKUP($A127,'VALOR I.'!$B$6:$K$418,10,FALSE)),"")</f>
        <v/>
      </c>
      <c r="S127" s="276" t="e">
        <f>VLOOKUP($A127,INICIO!$A$5:$J$72,5,FALSE)</f>
        <v>#N/A</v>
      </c>
      <c r="T127" s="232" t="e">
        <f>VLOOKUP($A127,REPOSICIONES!$A$5:$J$72,5,FALSE)</f>
        <v>#N/A</v>
      </c>
      <c r="U127" s="79" t="e">
        <f t="shared" si="40"/>
        <v>#N/A</v>
      </c>
      <c r="V127" s="230" t="str">
        <f>IFERROR(VLOOKUP($A127,VENTAS!$H$2:$O$201,4,FALSE),"")</f>
        <v/>
      </c>
      <c r="W127" s="11" t="str">
        <f t="shared" si="41"/>
        <v/>
      </c>
      <c r="X127" s="270" t="e">
        <f>VLOOKUP($A127,INICIO!$A$5:$J$72,6,FALSE)</f>
        <v>#N/A</v>
      </c>
      <c r="Y127" s="11"/>
      <c r="Z127" s="242" t="str">
        <f>IFERROR(IF(Y127&gt;0,"",Y127*VLOOKUP($A127,'VALOR I.'!$B$6:$K$418,10,FALSE)),"")</f>
        <v/>
      </c>
      <c r="AA127" s="276" t="e">
        <f>VLOOKUP($A127,INICIO!$A$5:$J$72,6,FALSE)</f>
        <v>#N/A</v>
      </c>
      <c r="AB127" s="232" t="e">
        <f>VLOOKUP($A127,REPOSICIONES!$A$5:$J$72,6,FALSE)</f>
        <v>#N/A</v>
      </c>
      <c r="AC127" s="79" t="e">
        <f t="shared" si="42"/>
        <v>#N/A</v>
      </c>
      <c r="AD127" s="230" t="str">
        <f>IFERROR(VLOOKUP($A127,VENTAS!$H$2:$O$201,5,FALSE),"")</f>
        <v/>
      </c>
      <c r="AE127" s="11" t="str">
        <f t="shared" si="43"/>
        <v/>
      </c>
      <c r="AF127" s="270" t="e">
        <f>VLOOKUP($A127,INICIO!$A$5:$J$72,7,FALSE)</f>
        <v>#N/A</v>
      </c>
      <c r="AG127" s="11"/>
      <c r="AH127" s="242" t="str">
        <f>IFERROR(IF(AG127&gt;0,"",AG127*VLOOKUP($A127,'VALOR I.'!$B$6:$K$418,10,FALSE)),"")</f>
        <v/>
      </c>
      <c r="AI127" s="269" t="e">
        <f>VLOOKUP($A127,INICIO!$A$5:$J$72,7,FALSE)</f>
        <v>#N/A</v>
      </c>
      <c r="AJ127" s="232" t="e">
        <f>VLOOKUP($A127,REPOSICIONES!$A$5:$J$72,7,FALSE)</f>
        <v>#N/A</v>
      </c>
      <c r="AK127" s="79" t="e">
        <f t="shared" si="44"/>
        <v>#N/A</v>
      </c>
      <c r="AL127" s="230" t="str">
        <f>IFERROR(VLOOKUP($A127,VENTAS!$H$2:$O$201,6,FALSE),"")</f>
        <v/>
      </c>
      <c r="AM127" s="11" t="str">
        <f t="shared" si="45"/>
        <v/>
      </c>
      <c r="AN127" s="270" t="e">
        <f>VLOOKUP($A127,INICIO!$A$5:$J$72,8,FALSE)</f>
        <v>#N/A</v>
      </c>
      <c r="AO127" s="11"/>
      <c r="AP127" s="204" t="str">
        <f>IFERROR(IF(AO127&gt;0,"",AO127*VLOOKUP($A127,'VALOR I.'!$B$6:$K$418,10,FALSE)),"")</f>
        <v/>
      </c>
      <c r="AQ127" s="269" t="e">
        <f>VLOOKUP($A127,INICIO!$A$5:$J$72,8,FALSE)</f>
        <v>#N/A</v>
      </c>
      <c r="AR127" s="232" t="e">
        <f>VLOOKUP($A127,REPOSICIONES!$A$5:$J$72,8,FALSE)</f>
        <v>#N/A</v>
      </c>
      <c r="AS127" s="79" t="e">
        <f t="shared" si="46"/>
        <v>#N/A</v>
      </c>
      <c r="AT127" s="230" t="str">
        <f>IFERROR(VLOOKUP($A127,VENTAS!$H$2:$O$201,7,FALSE),"")</f>
        <v/>
      </c>
      <c r="AU127" s="11" t="str">
        <f t="shared" si="47"/>
        <v/>
      </c>
      <c r="AV127" s="270" t="e">
        <f>VLOOKUP($A127,INICIO!$A$5:$J$72,9,FALSE)</f>
        <v>#N/A</v>
      </c>
      <c r="AW127" s="11"/>
      <c r="AX127" s="204" t="str">
        <f>IFERROR(IF(AW127&gt;0,"",AW127*VLOOKUP($A127,'VALOR I.'!$B$6:$K$418,10,FALSE)),"")</f>
        <v/>
      </c>
      <c r="AY127" s="269" t="e">
        <f>VLOOKUP($A127,INICIO!$A$5:$J$72,9,FALSE)</f>
        <v>#N/A</v>
      </c>
      <c r="AZ127" s="232" t="e">
        <f>VLOOKUP($A127,REPOSICIONES!$A$5:$J$72,9,FALSE)</f>
        <v>#N/A</v>
      </c>
      <c r="BA127" s="79" t="e">
        <f t="shared" si="48"/>
        <v>#N/A</v>
      </c>
      <c r="BB127" s="230" t="str">
        <f>IFERROR(VLOOKUP($A127,VENTAS!$H$2:$O$201,8,FALSE),"")</f>
        <v/>
      </c>
      <c r="BC127" s="11" t="str">
        <f t="shared" si="49"/>
        <v/>
      </c>
      <c r="BD127" s="270" t="e">
        <f>VLOOKUP($A127,INICIO!$A$5:$J$72,10,FALSE)</f>
        <v>#N/A</v>
      </c>
      <c r="BE127" s="11"/>
      <c r="BF127" s="204" t="str">
        <f>IFERROR(IF(BE127&gt;0,"",BE127*VLOOKUP($A127,'VALOR I.'!$B$6:$K$418,10,FALSE)),"")</f>
        <v/>
      </c>
    </row>
    <row r="128" spans="1:58" ht="15.75" hidden="1" customHeight="1" x14ac:dyDescent="0.25">
      <c r="B128" s="214"/>
      <c r="C128" s="239" t="e">
        <f>VLOOKUP($A128,INICIO!$A$5:$J$72,3,FALSE)</f>
        <v>#N/A</v>
      </c>
      <c r="D128" s="9" t="e">
        <f>VLOOKUP($A128,REPOSICIONES!$A$5:$J$72,3,FALSE)</f>
        <v>#N/A</v>
      </c>
      <c r="E128" s="79" t="e">
        <f t="shared" si="36"/>
        <v>#N/A</v>
      </c>
      <c r="F128" s="80" t="str">
        <f>IFERROR(VLOOKUP($A128,VENTAS!$H$2:$O$201,2,FALSE),"")</f>
        <v/>
      </c>
      <c r="G128" s="9" t="str">
        <f t="shared" si="37"/>
        <v/>
      </c>
      <c r="H128" s="9" t="e">
        <f>VLOOKUP($A128,INICIO!$A$5:$J$72,4,FALSE)</f>
        <v>#N/A</v>
      </c>
      <c r="I128" s="11"/>
      <c r="J128" s="242" t="str">
        <f>IFERROR(IF(I128&gt;0,"",I128*VLOOKUP($A128,'VALOR I.'!$B$6:$K$418,10,FALSE)),"")</f>
        <v/>
      </c>
      <c r="K128" s="276" t="e">
        <f>VLOOKUP($A128,INICIO!$A$5:$J$72,4,FALSE)</f>
        <v>#N/A</v>
      </c>
      <c r="L128" s="232" t="e">
        <f>VLOOKUP($A128,REPOSICIONES!$A$5:$J$72,4,FALSE)</f>
        <v>#N/A</v>
      </c>
      <c r="M128" s="79" t="e">
        <f t="shared" si="38"/>
        <v>#N/A</v>
      </c>
      <c r="N128" s="230" t="str">
        <f>IFERROR(VLOOKUP($A128,VENTAS!$H$2:$O$201,3,FALSE),"")</f>
        <v/>
      </c>
      <c r="O128" s="267" t="str">
        <f t="shared" si="39"/>
        <v/>
      </c>
      <c r="P128" s="270" t="e">
        <f>VLOOKUP($A128,INICIO!$A$5:$J$72,5,FALSE)</f>
        <v>#N/A</v>
      </c>
      <c r="Q128" s="11"/>
      <c r="R128" s="242" t="str">
        <f>IFERROR(IF(Q128&gt;0,"",Q128*VLOOKUP($A128,'VALOR I.'!$B$6:$K$418,10,FALSE)),"")</f>
        <v/>
      </c>
      <c r="S128" s="276" t="e">
        <f>VLOOKUP($A128,INICIO!$A$5:$J$72,5,FALSE)</f>
        <v>#N/A</v>
      </c>
      <c r="T128" s="232" t="e">
        <f>VLOOKUP($A128,REPOSICIONES!$A$5:$J$72,5,FALSE)</f>
        <v>#N/A</v>
      </c>
      <c r="U128" s="79" t="e">
        <f t="shared" si="40"/>
        <v>#N/A</v>
      </c>
      <c r="V128" s="230" t="str">
        <f>IFERROR(VLOOKUP($A128,VENTAS!$H$2:$O$201,4,FALSE),"")</f>
        <v/>
      </c>
      <c r="W128" s="11" t="str">
        <f t="shared" si="41"/>
        <v/>
      </c>
      <c r="X128" s="270" t="e">
        <f>VLOOKUP($A128,INICIO!$A$5:$J$72,6,FALSE)</f>
        <v>#N/A</v>
      </c>
      <c r="Y128" s="11"/>
      <c r="Z128" s="242" t="str">
        <f>IFERROR(IF(Y128&gt;0,"",Y128*VLOOKUP($A128,'VALOR I.'!$B$6:$K$418,10,FALSE)),"")</f>
        <v/>
      </c>
      <c r="AA128" s="276" t="e">
        <f>VLOOKUP($A128,INICIO!$A$5:$J$72,6,FALSE)</f>
        <v>#N/A</v>
      </c>
      <c r="AB128" s="232" t="e">
        <f>VLOOKUP($A128,REPOSICIONES!$A$5:$J$72,6,FALSE)</f>
        <v>#N/A</v>
      </c>
      <c r="AC128" s="79" t="e">
        <f t="shared" si="42"/>
        <v>#N/A</v>
      </c>
      <c r="AD128" s="230" t="str">
        <f>IFERROR(VLOOKUP($A128,VENTAS!$H$2:$O$201,5,FALSE),"")</f>
        <v/>
      </c>
      <c r="AE128" s="11" t="str">
        <f t="shared" si="43"/>
        <v/>
      </c>
      <c r="AF128" s="270" t="e">
        <f>VLOOKUP($A128,INICIO!$A$5:$J$72,7,FALSE)</f>
        <v>#N/A</v>
      </c>
      <c r="AG128" s="11"/>
      <c r="AH128" s="242" t="str">
        <f>IFERROR(IF(AG128&gt;0,"",AG128*VLOOKUP($A128,'VALOR I.'!$B$6:$K$418,10,FALSE)),"")</f>
        <v/>
      </c>
      <c r="AI128" s="269" t="e">
        <f>VLOOKUP($A128,INICIO!$A$5:$J$72,7,FALSE)</f>
        <v>#N/A</v>
      </c>
      <c r="AJ128" s="232" t="e">
        <f>VLOOKUP($A128,REPOSICIONES!$A$5:$J$72,7,FALSE)</f>
        <v>#N/A</v>
      </c>
      <c r="AK128" s="79" t="e">
        <f t="shared" si="44"/>
        <v>#N/A</v>
      </c>
      <c r="AL128" s="230" t="str">
        <f>IFERROR(VLOOKUP($A128,VENTAS!$H$2:$O$201,6,FALSE),"")</f>
        <v/>
      </c>
      <c r="AM128" s="11" t="str">
        <f t="shared" si="45"/>
        <v/>
      </c>
      <c r="AN128" s="270" t="e">
        <f>VLOOKUP($A128,INICIO!$A$5:$J$72,8,FALSE)</f>
        <v>#N/A</v>
      </c>
      <c r="AO128" s="11"/>
      <c r="AP128" s="204" t="str">
        <f>IFERROR(IF(AO128&gt;0,"",AO128*VLOOKUP($A128,'VALOR I.'!$B$6:$K$418,10,FALSE)),"")</f>
        <v/>
      </c>
      <c r="AQ128" s="269" t="e">
        <f>VLOOKUP($A128,INICIO!$A$5:$J$72,8,FALSE)</f>
        <v>#N/A</v>
      </c>
      <c r="AR128" s="232" t="e">
        <f>VLOOKUP($A128,REPOSICIONES!$A$5:$J$72,8,FALSE)</f>
        <v>#N/A</v>
      </c>
      <c r="AS128" s="79" t="e">
        <f t="shared" si="46"/>
        <v>#N/A</v>
      </c>
      <c r="AT128" s="230" t="str">
        <f>IFERROR(VLOOKUP($A128,VENTAS!$H$2:$O$201,7,FALSE),"")</f>
        <v/>
      </c>
      <c r="AU128" s="11" t="str">
        <f t="shared" si="47"/>
        <v/>
      </c>
      <c r="AV128" s="270" t="e">
        <f>VLOOKUP($A128,INICIO!$A$5:$J$72,9,FALSE)</f>
        <v>#N/A</v>
      </c>
      <c r="AW128" s="11"/>
      <c r="AX128" s="204" t="str">
        <f>IFERROR(IF(AW128&gt;0,"",AW128*VLOOKUP($A128,'VALOR I.'!$B$6:$K$418,10,FALSE)),"")</f>
        <v/>
      </c>
      <c r="AY128" s="269" t="e">
        <f>VLOOKUP($A128,INICIO!$A$5:$J$72,9,FALSE)</f>
        <v>#N/A</v>
      </c>
      <c r="AZ128" s="232" t="e">
        <f>VLOOKUP($A128,REPOSICIONES!$A$5:$J$72,9,FALSE)</f>
        <v>#N/A</v>
      </c>
      <c r="BA128" s="79" t="e">
        <f t="shared" si="48"/>
        <v>#N/A</v>
      </c>
      <c r="BB128" s="230" t="str">
        <f>IFERROR(VLOOKUP($A128,VENTAS!$H$2:$O$201,8,FALSE),"")</f>
        <v/>
      </c>
      <c r="BC128" s="11" t="str">
        <f t="shared" si="49"/>
        <v/>
      </c>
      <c r="BD128" s="270" t="e">
        <f>VLOOKUP($A128,INICIO!$A$5:$J$72,10,FALSE)</f>
        <v>#N/A</v>
      </c>
      <c r="BE128" s="11"/>
      <c r="BF128" s="204" t="str">
        <f>IFERROR(IF(BE128&gt;0,"",BE128*VLOOKUP($A128,'VALOR I.'!$B$6:$K$418,10,FALSE)),"")</f>
        <v/>
      </c>
    </row>
    <row r="129" spans="1:58" ht="15.75" hidden="1" customHeight="1" x14ac:dyDescent="0.25">
      <c r="A129" s="66"/>
      <c r="B129" s="214"/>
      <c r="C129" s="239" t="e">
        <f>VLOOKUP($A129,INICIO!$A$5:$J$72,3,FALSE)</f>
        <v>#N/A</v>
      </c>
      <c r="D129" s="9" t="e">
        <f>VLOOKUP($A129,REPOSICIONES!$A$5:$J$72,3,FALSE)</f>
        <v>#N/A</v>
      </c>
      <c r="E129" s="79" t="e">
        <f t="shared" si="36"/>
        <v>#N/A</v>
      </c>
      <c r="F129" s="80" t="str">
        <f>IFERROR(VLOOKUP($A129,VENTAS!$H$2:$O$201,2,FALSE),"")</f>
        <v/>
      </c>
      <c r="G129" s="9" t="str">
        <f t="shared" si="37"/>
        <v/>
      </c>
      <c r="H129" s="9" t="e">
        <f>VLOOKUP($A129,INICIO!$A$5:$J$72,4,FALSE)</f>
        <v>#N/A</v>
      </c>
      <c r="I129" s="11"/>
      <c r="J129" s="242" t="str">
        <f>IFERROR(IF(I129&gt;0,"",I129*VLOOKUP($A129,'VALOR I.'!$B$6:$K$418,10,FALSE)),"")</f>
        <v/>
      </c>
      <c r="K129" s="276" t="e">
        <f>VLOOKUP($A129,INICIO!$A$5:$J$72,4,FALSE)</f>
        <v>#N/A</v>
      </c>
      <c r="L129" s="232" t="e">
        <f>VLOOKUP($A129,REPOSICIONES!$A$5:$J$72,4,FALSE)</f>
        <v>#N/A</v>
      </c>
      <c r="M129" s="79" t="e">
        <f t="shared" si="38"/>
        <v>#N/A</v>
      </c>
      <c r="N129" s="230" t="str">
        <f>IFERROR(VLOOKUP($A129,VENTAS!$H$2:$O$201,3,FALSE),"")</f>
        <v/>
      </c>
      <c r="O129" s="267" t="str">
        <f t="shared" si="39"/>
        <v/>
      </c>
      <c r="P129" s="270" t="e">
        <f>VLOOKUP($A129,INICIO!$A$5:$J$72,5,FALSE)</f>
        <v>#N/A</v>
      </c>
      <c r="Q129" s="11"/>
      <c r="R129" s="242" t="str">
        <f>IFERROR(IF(Q129&gt;0,"",Q129*VLOOKUP($A129,'VALOR I.'!$B$6:$K$418,10,FALSE)),"")</f>
        <v/>
      </c>
      <c r="S129" s="276" t="e">
        <f>VLOOKUP($A129,INICIO!$A$5:$J$72,5,FALSE)</f>
        <v>#N/A</v>
      </c>
      <c r="T129" s="232" t="e">
        <f>VLOOKUP($A129,REPOSICIONES!$A$5:$J$72,5,FALSE)</f>
        <v>#N/A</v>
      </c>
      <c r="U129" s="79" t="e">
        <f t="shared" si="40"/>
        <v>#N/A</v>
      </c>
      <c r="V129" s="230" t="str">
        <f>IFERROR(VLOOKUP($A129,VENTAS!$H$2:$O$201,4,FALSE),"")</f>
        <v/>
      </c>
      <c r="W129" s="11" t="str">
        <f t="shared" si="41"/>
        <v/>
      </c>
      <c r="X129" s="270" t="e">
        <f>VLOOKUP($A129,INICIO!$A$5:$J$72,6,FALSE)</f>
        <v>#N/A</v>
      </c>
      <c r="Y129" s="11"/>
      <c r="Z129" s="242" t="str">
        <f>IFERROR(IF(Y129&gt;0,"",Y129*VLOOKUP($A129,'VALOR I.'!$B$6:$K$418,10,FALSE)),"")</f>
        <v/>
      </c>
      <c r="AA129" s="276" t="e">
        <f>VLOOKUP($A129,INICIO!$A$5:$J$72,6,FALSE)</f>
        <v>#N/A</v>
      </c>
      <c r="AB129" s="232" t="e">
        <f>VLOOKUP($A129,REPOSICIONES!$A$5:$J$72,6,FALSE)</f>
        <v>#N/A</v>
      </c>
      <c r="AC129" s="79" t="e">
        <f t="shared" si="42"/>
        <v>#N/A</v>
      </c>
      <c r="AD129" s="230" t="str">
        <f>IFERROR(VLOOKUP($A129,VENTAS!$H$2:$O$201,5,FALSE),"")</f>
        <v/>
      </c>
      <c r="AE129" s="11" t="str">
        <f t="shared" si="43"/>
        <v/>
      </c>
      <c r="AF129" s="270" t="e">
        <f>VLOOKUP($A129,INICIO!$A$5:$J$72,7,FALSE)</f>
        <v>#N/A</v>
      </c>
      <c r="AG129" s="11"/>
      <c r="AH129" s="242" t="str">
        <f>IFERROR(IF(AG129&gt;0,"",AG129*VLOOKUP($A129,'VALOR I.'!$B$6:$K$418,10,FALSE)),"")</f>
        <v/>
      </c>
      <c r="AI129" s="269" t="e">
        <f>VLOOKUP($A129,INICIO!$A$5:$J$72,7,FALSE)</f>
        <v>#N/A</v>
      </c>
      <c r="AJ129" s="232" t="e">
        <f>VLOOKUP($A129,REPOSICIONES!$A$5:$J$72,7,FALSE)</f>
        <v>#N/A</v>
      </c>
      <c r="AK129" s="79" t="e">
        <f t="shared" si="44"/>
        <v>#N/A</v>
      </c>
      <c r="AL129" s="230" t="str">
        <f>IFERROR(VLOOKUP($A129,VENTAS!$H$2:$O$201,6,FALSE),"")</f>
        <v/>
      </c>
      <c r="AM129" s="11" t="str">
        <f t="shared" si="45"/>
        <v/>
      </c>
      <c r="AN129" s="270" t="e">
        <f>VLOOKUP($A129,INICIO!$A$5:$J$72,8,FALSE)</f>
        <v>#N/A</v>
      </c>
      <c r="AO129" s="11"/>
      <c r="AP129" s="204" t="str">
        <f>IFERROR(IF(AO129&gt;0,"",AO129*VLOOKUP($A129,'VALOR I.'!$B$6:$K$418,10,FALSE)),"")</f>
        <v/>
      </c>
      <c r="AQ129" s="269" t="e">
        <f>VLOOKUP($A129,INICIO!$A$5:$J$72,8,FALSE)</f>
        <v>#N/A</v>
      </c>
      <c r="AR129" s="232" t="e">
        <f>VLOOKUP($A129,REPOSICIONES!$A$5:$J$72,8,FALSE)</f>
        <v>#N/A</v>
      </c>
      <c r="AS129" s="79" t="e">
        <f t="shared" si="46"/>
        <v>#N/A</v>
      </c>
      <c r="AT129" s="230" t="str">
        <f>IFERROR(VLOOKUP($A129,VENTAS!$H$2:$O$201,7,FALSE),"")</f>
        <v/>
      </c>
      <c r="AU129" s="11" t="str">
        <f t="shared" si="47"/>
        <v/>
      </c>
      <c r="AV129" s="270" t="e">
        <f>VLOOKUP($A129,INICIO!$A$5:$J$72,9,FALSE)</f>
        <v>#N/A</v>
      </c>
      <c r="AW129" s="11"/>
      <c r="AX129" s="204" t="str">
        <f>IFERROR(IF(AW129&gt;0,"",AW129*VLOOKUP($A129,'VALOR I.'!$B$6:$K$418,10,FALSE)),"")</f>
        <v/>
      </c>
      <c r="AY129" s="269" t="e">
        <f>VLOOKUP($A129,INICIO!$A$5:$J$72,9,FALSE)</f>
        <v>#N/A</v>
      </c>
      <c r="AZ129" s="232" t="e">
        <f>VLOOKUP($A129,REPOSICIONES!$A$5:$J$72,9,FALSE)</f>
        <v>#N/A</v>
      </c>
      <c r="BA129" s="79" t="e">
        <f t="shared" si="48"/>
        <v>#N/A</v>
      </c>
      <c r="BB129" s="230" t="str">
        <f>IFERROR(VLOOKUP($A129,VENTAS!$H$2:$O$201,8,FALSE),"")</f>
        <v/>
      </c>
      <c r="BC129" s="11" t="str">
        <f t="shared" si="49"/>
        <v/>
      </c>
      <c r="BD129" s="270" t="e">
        <f>VLOOKUP($A129,INICIO!$A$5:$J$72,10,FALSE)</f>
        <v>#N/A</v>
      </c>
      <c r="BE129" s="11"/>
      <c r="BF129" s="204" t="str">
        <f>IFERROR(IF(BE129&gt;0,"",BE129*VLOOKUP($A129,'VALOR I.'!$B$6:$K$418,10,FALSE)),"")</f>
        <v/>
      </c>
    </row>
    <row r="130" spans="1:58" ht="15.75" hidden="1" customHeight="1" x14ac:dyDescent="0.25">
      <c r="B130" s="214"/>
      <c r="C130" s="239" t="e">
        <f>VLOOKUP($A130,INICIO!$A$5:$J$72,3,FALSE)</f>
        <v>#N/A</v>
      </c>
      <c r="D130" s="9" t="e">
        <f>VLOOKUP($A130,REPOSICIONES!$A$5:$J$72,3,FALSE)</f>
        <v>#N/A</v>
      </c>
      <c r="E130" s="79" t="e">
        <f t="shared" si="36"/>
        <v>#N/A</v>
      </c>
      <c r="F130" s="80" t="str">
        <f>IFERROR(VLOOKUP($A130,VENTAS!$H$2:$O$201,2,FALSE),"")</f>
        <v/>
      </c>
      <c r="G130" s="9" t="str">
        <f t="shared" si="37"/>
        <v/>
      </c>
      <c r="H130" s="9" t="e">
        <f>VLOOKUP($A130,INICIO!$A$5:$J$72,4,FALSE)</f>
        <v>#N/A</v>
      </c>
      <c r="I130" s="11"/>
      <c r="J130" s="242" t="str">
        <f>IFERROR(IF(I130&gt;0,"",I130*VLOOKUP($A130,'VALOR I.'!$B$6:$K$418,10,FALSE)),"")</f>
        <v/>
      </c>
      <c r="K130" s="276" t="e">
        <f>VLOOKUP($A130,INICIO!$A$5:$J$72,4,FALSE)</f>
        <v>#N/A</v>
      </c>
      <c r="L130" s="232" t="e">
        <f>VLOOKUP($A130,REPOSICIONES!$A$5:$J$72,4,FALSE)</f>
        <v>#N/A</v>
      </c>
      <c r="M130" s="79" t="e">
        <f t="shared" si="38"/>
        <v>#N/A</v>
      </c>
      <c r="N130" s="230" t="str">
        <f>IFERROR(VLOOKUP($A130,VENTAS!$H$2:$O$201,3,FALSE),"")</f>
        <v/>
      </c>
      <c r="O130" s="267" t="str">
        <f t="shared" si="39"/>
        <v/>
      </c>
      <c r="P130" s="270" t="e">
        <f>VLOOKUP($A130,INICIO!$A$5:$J$72,5,FALSE)</f>
        <v>#N/A</v>
      </c>
      <c r="Q130" s="11"/>
      <c r="R130" s="242" t="str">
        <f>IFERROR(IF(Q130&gt;0,"",Q130*VLOOKUP($A130,'VALOR I.'!$B$6:$K$418,10,FALSE)),"")</f>
        <v/>
      </c>
      <c r="S130" s="276" t="e">
        <f>VLOOKUP($A130,INICIO!$A$5:$J$72,5,FALSE)</f>
        <v>#N/A</v>
      </c>
      <c r="T130" s="232" t="e">
        <f>VLOOKUP($A130,REPOSICIONES!$A$5:$J$72,5,FALSE)</f>
        <v>#N/A</v>
      </c>
      <c r="U130" s="79" t="e">
        <f t="shared" si="40"/>
        <v>#N/A</v>
      </c>
      <c r="V130" s="230" t="str">
        <f>IFERROR(VLOOKUP($A130,VENTAS!$H$2:$O$201,4,FALSE),"")</f>
        <v/>
      </c>
      <c r="W130" s="11" t="str">
        <f t="shared" si="41"/>
        <v/>
      </c>
      <c r="X130" s="270" t="e">
        <f>VLOOKUP($A130,INICIO!$A$5:$J$72,6,FALSE)</f>
        <v>#N/A</v>
      </c>
      <c r="Y130" s="11"/>
      <c r="Z130" s="242" t="str">
        <f>IFERROR(IF(Y130&gt;0,"",Y130*VLOOKUP($A130,'VALOR I.'!$B$6:$K$418,10,FALSE)),"")</f>
        <v/>
      </c>
      <c r="AA130" s="276" t="e">
        <f>VLOOKUP($A130,INICIO!$A$5:$J$72,6,FALSE)</f>
        <v>#N/A</v>
      </c>
      <c r="AB130" s="232" t="e">
        <f>VLOOKUP($A130,REPOSICIONES!$A$5:$J$72,6,FALSE)</f>
        <v>#N/A</v>
      </c>
      <c r="AC130" s="79" t="e">
        <f t="shared" si="42"/>
        <v>#N/A</v>
      </c>
      <c r="AD130" s="230" t="str">
        <f>IFERROR(VLOOKUP($A130,VENTAS!$H$2:$O$201,5,FALSE),"")</f>
        <v/>
      </c>
      <c r="AE130" s="11" t="str">
        <f t="shared" si="43"/>
        <v/>
      </c>
      <c r="AF130" s="270" t="e">
        <f>VLOOKUP($A130,INICIO!$A$5:$J$72,7,FALSE)</f>
        <v>#N/A</v>
      </c>
      <c r="AG130" s="11"/>
      <c r="AH130" s="242" t="str">
        <f>IFERROR(IF(AG130&gt;0,"",AG130*VLOOKUP($A130,'VALOR I.'!$B$6:$K$418,10,FALSE)),"")</f>
        <v/>
      </c>
      <c r="AI130" s="269" t="e">
        <f>VLOOKUP($A130,INICIO!$A$5:$J$72,7,FALSE)</f>
        <v>#N/A</v>
      </c>
      <c r="AJ130" s="232" t="e">
        <f>VLOOKUP($A130,REPOSICIONES!$A$5:$J$72,7,FALSE)</f>
        <v>#N/A</v>
      </c>
      <c r="AK130" s="79" t="e">
        <f t="shared" si="44"/>
        <v>#N/A</v>
      </c>
      <c r="AL130" s="230" t="str">
        <f>IFERROR(VLOOKUP($A130,VENTAS!$H$2:$O$201,6,FALSE),"")</f>
        <v/>
      </c>
      <c r="AM130" s="11" t="str">
        <f t="shared" si="45"/>
        <v/>
      </c>
      <c r="AN130" s="270" t="e">
        <f>VLOOKUP($A130,INICIO!$A$5:$J$72,8,FALSE)</f>
        <v>#N/A</v>
      </c>
      <c r="AO130" s="11"/>
      <c r="AP130" s="204" t="str">
        <f>IFERROR(IF(AO130&gt;0,"",AO130*VLOOKUP($A130,'VALOR I.'!$B$6:$K$418,10,FALSE)),"")</f>
        <v/>
      </c>
      <c r="AQ130" s="269" t="e">
        <f>VLOOKUP($A130,INICIO!$A$5:$J$72,8,FALSE)</f>
        <v>#N/A</v>
      </c>
      <c r="AR130" s="232" t="e">
        <f>VLOOKUP($A130,REPOSICIONES!$A$5:$J$72,8,FALSE)</f>
        <v>#N/A</v>
      </c>
      <c r="AS130" s="79" t="e">
        <f t="shared" si="46"/>
        <v>#N/A</v>
      </c>
      <c r="AT130" s="230" t="str">
        <f>IFERROR(VLOOKUP($A130,VENTAS!$H$2:$O$201,7,FALSE),"")</f>
        <v/>
      </c>
      <c r="AU130" s="11" t="str">
        <f t="shared" si="47"/>
        <v/>
      </c>
      <c r="AV130" s="270" t="e">
        <f>VLOOKUP($A130,INICIO!$A$5:$J$72,9,FALSE)</f>
        <v>#N/A</v>
      </c>
      <c r="AW130" s="11"/>
      <c r="AX130" s="204" t="str">
        <f>IFERROR(IF(AW130&gt;0,"",AW130*VLOOKUP($A130,'VALOR I.'!$B$6:$K$418,10,FALSE)),"")</f>
        <v/>
      </c>
      <c r="AY130" s="269" t="e">
        <f>VLOOKUP($A130,INICIO!$A$5:$J$72,9,FALSE)</f>
        <v>#N/A</v>
      </c>
      <c r="AZ130" s="232" t="e">
        <f>VLOOKUP($A130,REPOSICIONES!$A$5:$J$72,9,FALSE)</f>
        <v>#N/A</v>
      </c>
      <c r="BA130" s="79" t="e">
        <f t="shared" si="48"/>
        <v>#N/A</v>
      </c>
      <c r="BB130" s="230" t="str">
        <f>IFERROR(VLOOKUP($A130,VENTAS!$H$2:$O$201,8,FALSE),"")</f>
        <v/>
      </c>
      <c r="BC130" s="11" t="str">
        <f t="shared" si="49"/>
        <v/>
      </c>
      <c r="BD130" s="270" t="e">
        <f>VLOOKUP($A130,INICIO!$A$5:$J$72,10,FALSE)</f>
        <v>#N/A</v>
      </c>
      <c r="BE130" s="11"/>
      <c r="BF130" s="204" t="str">
        <f>IFERROR(IF(BE130&gt;0,"",BE130*VLOOKUP($A130,'VALOR I.'!$B$6:$K$418,10,FALSE)),"")</f>
        <v/>
      </c>
    </row>
    <row r="131" spans="1:58" ht="15.75" hidden="1" customHeight="1" x14ac:dyDescent="0.25">
      <c r="B131" s="214"/>
      <c r="C131" s="239" t="e">
        <f>VLOOKUP($A131,INICIO!$A$5:$J$72,3,FALSE)</f>
        <v>#N/A</v>
      </c>
      <c r="D131" s="9" t="e">
        <f>VLOOKUP($A131,REPOSICIONES!$A$5:$J$72,3,FALSE)</f>
        <v>#N/A</v>
      </c>
      <c r="E131" s="79" t="e">
        <f t="shared" si="36"/>
        <v>#N/A</v>
      </c>
      <c r="F131" s="80" t="str">
        <f>IFERROR(VLOOKUP($A131,VENTAS!$H$2:$O$201,2,FALSE),"")</f>
        <v/>
      </c>
      <c r="G131" s="9" t="str">
        <f t="shared" si="37"/>
        <v/>
      </c>
      <c r="H131" s="9" t="e">
        <f>VLOOKUP($A131,INICIO!$A$5:$J$72,4,FALSE)</f>
        <v>#N/A</v>
      </c>
      <c r="I131" s="11"/>
      <c r="J131" s="242" t="str">
        <f>IFERROR(IF(I131&gt;0,"",I131*VLOOKUP($A131,'VALOR I.'!$B$6:$K$418,10,FALSE)),"")</f>
        <v/>
      </c>
      <c r="K131" s="276" t="e">
        <f>VLOOKUP($A131,INICIO!$A$5:$J$72,4,FALSE)</f>
        <v>#N/A</v>
      </c>
      <c r="L131" s="232" t="e">
        <f>VLOOKUP($A131,REPOSICIONES!$A$5:$J$72,4,FALSE)</f>
        <v>#N/A</v>
      </c>
      <c r="M131" s="79" t="e">
        <f t="shared" si="38"/>
        <v>#N/A</v>
      </c>
      <c r="N131" s="230" t="str">
        <f>IFERROR(VLOOKUP($A131,VENTAS!$H$2:$O$201,3,FALSE),"")</f>
        <v/>
      </c>
      <c r="O131" s="267" t="str">
        <f t="shared" si="39"/>
        <v/>
      </c>
      <c r="P131" s="270" t="e">
        <f>VLOOKUP($A131,INICIO!$A$5:$J$72,5,FALSE)</f>
        <v>#N/A</v>
      </c>
      <c r="Q131" s="11"/>
      <c r="R131" s="242" t="str">
        <f>IFERROR(IF(Q131&gt;0,"",Q131*VLOOKUP($A131,'VALOR I.'!$B$6:$K$418,10,FALSE)),"")</f>
        <v/>
      </c>
      <c r="S131" s="276" t="e">
        <f>VLOOKUP($A131,INICIO!$A$5:$J$72,5,FALSE)</f>
        <v>#N/A</v>
      </c>
      <c r="T131" s="232" t="e">
        <f>VLOOKUP($A131,REPOSICIONES!$A$5:$J$72,5,FALSE)</f>
        <v>#N/A</v>
      </c>
      <c r="U131" s="79" t="e">
        <f t="shared" si="40"/>
        <v>#N/A</v>
      </c>
      <c r="V131" s="230" t="str">
        <f>IFERROR(VLOOKUP($A131,VENTAS!$H$2:$O$201,4,FALSE),"")</f>
        <v/>
      </c>
      <c r="W131" s="11" t="str">
        <f t="shared" si="41"/>
        <v/>
      </c>
      <c r="X131" s="270" t="e">
        <f>VLOOKUP($A131,INICIO!$A$5:$J$72,6,FALSE)</f>
        <v>#N/A</v>
      </c>
      <c r="Y131" s="11"/>
      <c r="Z131" s="242" t="str">
        <f>IFERROR(IF(Y131&gt;0,"",Y131*VLOOKUP($A131,'VALOR I.'!$B$6:$K$418,10,FALSE)),"")</f>
        <v/>
      </c>
      <c r="AA131" s="276" t="e">
        <f>VLOOKUP($A131,INICIO!$A$5:$J$72,6,FALSE)</f>
        <v>#N/A</v>
      </c>
      <c r="AB131" s="232" t="e">
        <f>VLOOKUP($A131,REPOSICIONES!$A$5:$J$72,6,FALSE)</f>
        <v>#N/A</v>
      </c>
      <c r="AC131" s="79" t="e">
        <f t="shared" si="42"/>
        <v>#N/A</v>
      </c>
      <c r="AD131" s="230" t="str">
        <f>IFERROR(VLOOKUP($A131,VENTAS!$H$2:$O$201,5,FALSE),"")</f>
        <v/>
      </c>
      <c r="AE131" s="11" t="str">
        <f t="shared" si="43"/>
        <v/>
      </c>
      <c r="AF131" s="270" t="e">
        <f>VLOOKUP($A131,INICIO!$A$5:$J$72,7,FALSE)</f>
        <v>#N/A</v>
      </c>
      <c r="AG131" s="11"/>
      <c r="AH131" s="242" t="str">
        <f>IFERROR(IF(AG131&gt;0,"",AG131*VLOOKUP($A131,'VALOR I.'!$B$6:$K$418,10,FALSE)),"")</f>
        <v/>
      </c>
      <c r="AI131" s="269" t="e">
        <f>VLOOKUP($A131,INICIO!$A$5:$J$72,7,FALSE)</f>
        <v>#N/A</v>
      </c>
      <c r="AJ131" s="232" t="e">
        <f>VLOOKUP($A131,REPOSICIONES!$A$5:$J$72,7,FALSE)</f>
        <v>#N/A</v>
      </c>
      <c r="AK131" s="79" t="e">
        <f t="shared" si="44"/>
        <v>#N/A</v>
      </c>
      <c r="AL131" s="230" t="str">
        <f>IFERROR(VLOOKUP($A131,VENTAS!$H$2:$O$201,6,FALSE),"")</f>
        <v/>
      </c>
      <c r="AM131" s="11" t="str">
        <f t="shared" si="45"/>
        <v/>
      </c>
      <c r="AN131" s="270" t="e">
        <f>VLOOKUP($A131,INICIO!$A$5:$J$72,8,FALSE)</f>
        <v>#N/A</v>
      </c>
      <c r="AO131" s="11"/>
      <c r="AP131" s="204" t="str">
        <f>IFERROR(IF(AO131&gt;0,"",AO131*VLOOKUP($A131,'VALOR I.'!$B$6:$K$418,10,FALSE)),"")</f>
        <v/>
      </c>
      <c r="AQ131" s="269" t="e">
        <f>VLOOKUP($A131,INICIO!$A$5:$J$72,8,FALSE)</f>
        <v>#N/A</v>
      </c>
      <c r="AR131" s="232" t="e">
        <f>VLOOKUP($A131,REPOSICIONES!$A$5:$J$72,8,FALSE)</f>
        <v>#N/A</v>
      </c>
      <c r="AS131" s="79" t="e">
        <f t="shared" si="46"/>
        <v>#N/A</v>
      </c>
      <c r="AT131" s="230" t="str">
        <f>IFERROR(VLOOKUP($A131,VENTAS!$H$2:$O$201,7,FALSE),"")</f>
        <v/>
      </c>
      <c r="AU131" s="11" t="str">
        <f t="shared" si="47"/>
        <v/>
      </c>
      <c r="AV131" s="270" t="e">
        <f>VLOOKUP($A131,INICIO!$A$5:$J$72,9,FALSE)</f>
        <v>#N/A</v>
      </c>
      <c r="AW131" s="11"/>
      <c r="AX131" s="204" t="str">
        <f>IFERROR(IF(AW131&gt;0,"",AW131*VLOOKUP($A131,'VALOR I.'!$B$6:$K$418,10,FALSE)),"")</f>
        <v/>
      </c>
      <c r="AY131" s="269" t="e">
        <f>VLOOKUP($A131,INICIO!$A$5:$J$72,9,FALSE)</f>
        <v>#N/A</v>
      </c>
      <c r="AZ131" s="232" t="e">
        <f>VLOOKUP($A131,REPOSICIONES!$A$5:$J$72,9,FALSE)</f>
        <v>#N/A</v>
      </c>
      <c r="BA131" s="79" t="e">
        <f t="shared" si="48"/>
        <v>#N/A</v>
      </c>
      <c r="BB131" s="230" t="str">
        <f>IFERROR(VLOOKUP($A131,VENTAS!$H$2:$O$201,8,FALSE),"")</f>
        <v/>
      </c>
      <c r="BC131" s="11" t="str">
        <f t="shared" si="49"/>
        <v/>
      </c>
      <c r="BD131" s="270" t="e">
        <f>VLOOKUP($A131,INICIO!$A$5:$J$72,10,FALSE)</f>
        <v>#N/A</v>
      </c>
      <c r="BE131" s="11"/>
      <c r="BF131" s="204" t="str">
        <f>IFERROR(IF(BE131&gt;0,"",BE131*VLOOKUP($A131,'VALOR I.'!$B$6:$K$418,10,FALSE)),"")</f>
        <v/>
      </c>
    </row>
    <row r="132" spans="1:58" ht="15.75" hidden="1" customHeight="1" x14ac:dyDescent="0.25">
      <c r="A132" s="66"/>
      <c r="B132" s="214"/>
      <c r="C132" s="239" t="e">
        <f>VLOOKUP($A132,INICIO!$A$5:$J$72,3,FALSE)</f>
        <v>#N/A</v>
      </c>
      <c r="D132" s="9" t="e">
        <f>VLOOKUP($A132,REPOSICIONES!$A$5:$J$72,3,FALSE)</f>
        <v>#N/A</v>
      </c>
      <c r="E132" s="79" t="e">
        <f t="shared" si="36"/>
        <v>#N/A</v>
      </c>
      <c r="F132" s="80" t="str">
        <f>IFERROR(VLOOKUP($A132,VENTAS!$H$2:$O$201,2,FALSE),"")</f>
        <v/>
      </c>
      <c r="G132" s="9" t="str">
        <f t="shared" si="37"/>
        <v/>
      </c>
      <c r="H132" s="9" t="e">
        <f>VLOOKUP($A132,INICIO!$A$5:$J$72,4,FALSE)</f>
        <v>#N/A</v>
      </c>
      <c r="I132" s="11"/>
      <c r="J132" s="242" t="str">
        <f>IFERROR(IF(I132&gt;0,"",I132*VLOOKUP($A132,'VALOR I.'!$B$6:$K$418,10,FALSE)),"")</f>
        <v/>
      </c>
      <c r="K132" s="276" t="e">
        <f>VLOOKUP($A132,INICIO!$A$5:$J$72,4,FALSE)</f>
        <v>#N/A</v>
      </c>
      <c r="L132" s="232" t="e">
        <f>VLOOKUP($A132,REPOSICIONES!$A$5:$J$72,4,FALSE)</f>
        <v>#N/A</v>
      </c>
      <c r="M132" s="79" t="e">
        <f t="shared" si="38"/>
        <v>#N/A</v>
      </c>
      <c r="N132" s="230" t="str">
        <f>IFERROR(VLOOKUP($A132,VENTAS!$H$2:$O$201,3,FALSE),"")</f>
        <v/>
      </c>
      <c r="O132" s="267" t="str">
        <f t="shared" si="39"/>
        <v/>
      </c>
      <c r="P132" s="270" t="e">
        <f>VLOOKUP($A132,INICIO!$A$5:$J$72,5,FALSE)</f>
        <v>#N/A</v>
      </c>
      <c r="Q132" s="11"/>
      <c r="R132" s="242" t="str">
        <f>IFERROR(IF(Q132&gt;0,"",Q132*VLOOKUP($A132,'VALOR I.'!$B$6:$K$418,10,FALSE)),"")</f>
        <v/>
      </c>
      <c r="S132" s="276" t="e">
        <f>VLOOKUP($A132,INICIO!$A$5:$J$72,5,FALSE)</f>
        <v>#N/A</v>
      </c>
      <c r="T132" s="232" t="e">
        <f>VLOOKUP($A132,REPOSICIONES!$A$5:$J$72,5,FALSE)</f>
        <v>#N/A</v>
      </c>
      <c r="U132" s="79" t="e">
        <f t="shared" si="40"/>
        <v>#N/A</v>
      </c>
      <c r="V132" s="230" t="str">
        <f>IFERROR(VLOOKUP($A132,VENTAS!$H$2:$O$201,4,FALSE),"")</f>
        <v/>
      </c>
      <c r="W132" s="11" t="str">
        <f t="shared" si="41"/>
        <v/>
      </c>
      <c r="X132" s="270" t="e">
        <f>VLOOKUP($A132,INICIO!$A$5:$J$72,6,FALSE)</f>
        <v>#N/A</v>
      </c>
      <c r="Y132" s="11"/>
      <c r="Z132" s="242" t="str">
        <f>IFERROR(IF(Y132&gt;0,"",Y132*VLOOKUP($A132,'VALOR I.'!$B$6:$K$418,10,FALSE)),"")</f>
        <v/>
      </c>
      <c r="AA132" s="276" t="e">
        <f>VLOOKUP($A132,INICIO!$A$5:$J$72,6,FALSE)</f>
        <v>#N/A</v>
      </c>
      <c r="AB132" s="232" t="e">
        <f>VLOOKUP($A132,REPOSICIONES!$A$5:$J$72,6,FALSE)</f>
        <v>#N/A</v>
      </c>
      <c r="AC132" s="79" t="e">
        <f t="shared" si="42"/>
        <v>#N/A</v>
      </c>
      <c r="AD132" s="230" t="str">
        <f>IFERROR(VLOOKUP($A132,VENTAS!$H$2:$O$201,5,FALSE),"")</f>
        <v/>
      </c>
      <c r="AE132" s="11" t="str">
        <f t="shared" si="43"/>
        <v/>
      </c>
      <c r="AF132" s="270" t="e">
        <f>VLOOKUP($A132,INICIO!$A$5:$J$72,7,FALSE)</f>
        <v>#N/A</v>
      </c>
      <c r="AG132" s="11"/>
      <c r="AH132" s="242" t="str">
        <f>IFERROR(IF(AG132&gt;0,"",AG132*VLOOKUP($A132,'VALOR I.'!$B$6:$K$418,10,FALSE)),"")</f>
        <v/>
      </c>
      <c r="AI132" s="269" t="e">
        <f>VLOOKUP($A132,INICIO!$A$5:$J$72,7,FALSE)</f>
        <v>#N/A</v>
      </c>
      <c r="AJ132" s="232" t="e">
        <f>VLOOKUP($A132,REPOSICIONES!$A$5:$J$72,7,FALSE)</f>
        <v>#N/A</v>
      </c>
      <c r="AK132" s="79" t="e">
        <f t="shared" si="44"/>
        <v>#N/A</v>
      </c>
      <c r="AL132" s="230" t="str">
        <f>IFERROR(VLOOKUP($A132,VENTAS!$H$2:$O$201,6,FALSE),"")</f>
        <v/>
      </c>
      <c r="AM132" s="11" t="str">
        <f t="shared" si="45"/>
        <v/>
      </c>
      <c r="AN132" s="270" t="e">
        <f>VLOOKUP($A132,INICIO!$A$5:$J$72,8,FALSE)</f>
        <v>#N/A</v>
      </c>
      <c r="AO132" s="11"/>
      <c r="AP132" s="204" t="str">
        <f>IFERROR(IF(AO132&gt;0,"",AO132*VLOOKUP($A132,'VALOR I.'!$B$6:$K$418,10,FALSE)),"")</f>
        <v/>
      </c>
      <c r="AQ132" s="269" t="e">
        <f>VLOOKUP($A132,INICIO!$A$5:$J$72,8,FALSE)</f>
        <v>#N/A</v>
      </c>
      <c r="AR132" s="232" t="e">
        <f>VLOOKUP($A132,REPOSICIONES!$A$5:$J$72,8,FALSE)</f>
        <v>#N/A</v>
      </c>
      <c r="AS132" s="79" t="e">
        <f t="shared" si="46"/>
        <v>#N/A</v>
      </c>
      <c r="AT132" s="230" t="str">
        <f>IFERROR(VLOOKUP($A132,VENTAS!$H$2:$O$201,7,FALSE),"")</f>
        <v/>
      </c>
      <c r="AU132" s="11" t="str">
        <f t="shared" si="47"/>
        <v/>
      </c>
      <c r="AV132" s="270" t="e">
        <f>VLOOKUP($A132,INICIO!$A$5:$J$72,9,FALSE)</f>
        <v>#N/A</v>
      </c>
      <c r="AW132" s="11"/>
      <c r="AX132" s="204" t="str">
        <f>IFERROR(IF(AW132&gt;0,"",AW132*VLOOKUP($A132,'VALOR I.'!$B$6:$K$418,10,FALSE)),"")</f>
        <v/>
      </c>
      <c r="AY132" s="269" t="e">
        <f>VLOOKUP($A132,INICIO!$A$5:$J$72,9,FALSE)</f>
        <v>#N/A</v>
      </c>
      <c r="AZ132" s="232" t="e">
        <f>VLOOKUP($A132,REPOSICIONES!$A$5:$J$72,9,FALSE)</f>
        <v>#N/A</v>
      </c>
      <c r="BA132" s="79" t="e">
        <f t="shared" si="48"/>
        <v>#N/A</v>
      </c>
      <c r="BB132" s="230" t="str">
        <f>IFERROR(VLOOKUP($A132,VENTAS!$H$2:$O$201,8,FALSE),"")</f>
        <v/>
      </c>
      <c r="BC132" s="11" t="str">
        <f t="shared" si="49"/>
        <v/>
      </c>
      <c r="BD132" s="270" t="e">
        <f>VLOOKUP($A132,INICIO!$A$5:$J$72,10,FALSE)</f>
        <v>#N/A</v>
      </c>
      <c r="BE132" s="11"/>
      <c r="BF132" s="204" t="str">
        <f>IFERROR(IF(BE132&gt;0,"",BE132*VLOOKUP($A132,'VALOR I.'!$B$6:$K$418,10,FALSE)),"")</f>
        <v/>
      </c>
    </row>
    <row r="133" spans="1:58" ht="15.75" hidden="1" customHeight="1" x14ac:dyDescent="0.25">
      <c r="A133" s="66"/>
      <c r="B133" s="214"/>
      <c r="C133" s="239" t="e">
        <f>VLOOKUP($A133,INICIO!$A$5:$J$72,3,FALSE)</f>
        <v>#N/A</v>
      </c>
      <c r="D133" s="9" t="e">
        <f>VLOOKUP($A133,REPOSICIONES!$A$5:$J$72,3,FALSE)</f>
        <v>#N/A</v>
      </c>
      <c r="E133" s="79" t="e">
        <f t="shared" si="36"/>
        <v>#N/A</v>
      </c>
      <c r="F133" s="80" t="str">
        <f>IFERROR(VLOOKUP($A133,VENTAS!$H$2:$O$201,2,FALSE),"")</f>
        <v/>
      </c>
      <c r="G133" s="9" t="str">
        <f t="shared" si="37"/>
        <v/>
      </c>
      <c r="H133" s="9" t="e">
        <f>VLOOKUP($A133,INICIO!$A$5:$J$72,4,FALSE)</f>
        <v>#N/A</v>
      </c>
      <c r="I133" s="11"/>
      <c r="J133" s="242" t="str">
        <f>IFERROR(IF(I133&gt;0,"",I133*VLOOKUP($A133,'VALOR I.'!$B$6:$K$418,10,FALSE)),"")</f>
        <v/>
      </c>
      <c r="K133" s="276" t="e">
        <f>VLOOKUP($A133,INICIO!$A$5:$J$72,4,FALSE)</f>
        <v>#N/A</v>
      </c>
      <c r="L133" s="232" t="e">
        <f>VLOOKUP($A133,REPOSICIONES!$A$5:$J$72,4,FALSE)</f>
        <v>#N/A</v>
      </c>
      <c r="M133" s="79" t="e">
        <f t="shared" si="38"/>
        <v>#N/A</v>
      </c>
      <c r="N133" s="230" t="str">
        <f>IFERROR(VLOOKUP($A133,VENTAS!$H$2:$O$201,3,FALSE),"")</f>
        <v/>
      </c>
      <c r="O133" s="267" t="str">
        <f t="shared" si="39"/>
        <v/>
      </c>
      <c r="P133" s="270" t="e">
        <f>VLOOKUP($A133,INICIO!$A$5:$J$72,5,FALSE)</f>
        <v>#N/A</v>
      </c>
      <c r="Q133" s="11"/>
      <c r="R133" s="242" t="str">
        <f>IFERROR(IF(Q133&gt;0,"",Q133*VLOOKUP($A133,'VALOR I.'!$B$6:$K$418,10,FALSE)),"")</f>
        <v/>
      </c>
      <c r="S133" s="276" t="e">
        <f>VLOOKUP($A133,INICIO!$A$5:$J$72,5,FALSE)</f>
        <v>#N/A</v>
      </c>
      <c r="T133" s="232" t="e">
        <f>VLOOKUP($A133,REPOSICIONES!$A$5:$J$72,5,FALSE)</f>
        <v>#N/A</v>
      </c>
      <c r="U133" s="79" t="e">
        <f t="shared" si="40"/>
        <v>#N/A</v>
      </c>
      <c r="V133" s="230" t="str">
        <f>IFERROR(VLOOKUP($A133,VENTAS!$H$2:$O$201,4,FALSE),"")</f>
        <v/>
      </c>
      <c r="W133" s="11" t="str">
        <f t="shared" si="41"/>
        <v/>
      </c>
      <c r="X133" s="270" t="e">
        <f>VLOOKUP($A133,INICIO!$A$5:$J$72,6,FALSE)</f>
        <v>#N/A</v>
      </c>
      <c r="Y133" s="11"/>
      <c r="Z133" s="242" t="str">
        <f>IFERROR(IF(Y133&gt;0,"",Y133*VLOOKUP($A133,'VALOR I.'!$B$6:$K$418,10,FALSE)),"")</f>
        <v/>
      </c>
      <c r="AA133" s="276" t="e">
        <f>VLOOKUP($A133,INICIO!$A$5:$J$72,6,FALSE)</f>
        <v>#N/A</v>
      </c>
      <c r="AB133" s="232" t="e">
        <f>VLOOKUP($A133,REPOSICIONES!$A$5:$J$72,6,FALSE)</f>
        <v>#N/A</v>
      </c>
      <c r="AC133" s="79" t="e">
        <f t="shared" si="42"/>
        <v>#N/A</v>
      </c>
      <c r="AD133" s="230" t="str">
        <f>IFERROR(VLOOKUP($A133,VENTAS!$H$2:$O$201,5,FALSE),"")</f>
        <v/>
      </c>
      <c r="AE133" s="11" t="str">
        <f t="shared" si="43"/>
        <v/>
      </c>
      <c r="AF133" s="270" t="e">
        <f>VLOOKUP($A133,INICIO!$A$5:$J$72,7,FALSE)</f>
        <v>#N/A</v>
      </c>
      <c r="AG133" s="11"/>
      <c r="AH133" s="242" t="str">
        <f>IFERROR(IF(AG133&gt;0,"",AG133*VLOOKUP($A133,'VALOR I.'!$B$6:$K$418,10,FALSE)),"")</f>
        <v/>
      </c>
      <c r="AI133" s="269" t="e">
        <f>VLOOKUP($A133,INICIO!$A$5:$J$72,7,FALSE)</f>
        <v>#N/A</v>
      </c>
      <c r="AJ133" s="232" t="e">
        <f>VLOOKUP($A133,REPOSICIONES!$A$5:$J$72,7,FALSE)</f>
        <v>#N/A</v>
      </c>
      <c r="AK133" s="79" t="e">
        <f t="shared" si="44"/>
        <v>#N/A</v>
      </c>
      <c r="AL133" s="230" t="str">
        <f>IFERROR(VLOOKUP($A133,VENTAS!$H$2:$O$201,6,FALSE),"")</f>
        <v/>
      </c>
      <c r="AM133" s="11" t="str">
        <f t="shared" si="45"/>
        <v/>
      </c>
      <c r="AN133" s="270" t="e">
        <f>VLOOKUP($A133,INICIO!$A$5:$J$72,8,FALSE)</f>
        <v>#N/A</v>
      </c>
      <c r="AO133" s="11"/>
      <c r="AP133" s="204" t="str">
        <f>IFERROR(IF(AO133&gt;0,"",AO133*VLOOKUP($A133,'VALOR I.'!$B$6:$K$418,10,FALSE)),"")</f>
        <v/>
      </c>
      <c r="AQ133" s="269" t="e">
        <f>VLOOKUP($A133,INICIO!$A$5:$J$72,8,FALSE)</f>
        <v>#N/A</v>
      </c>
      <c r="AR133" s="232" t="e">
        <f>VLOOKUP($A133,REPOSICIONES!$A$5:$J$72,8,FALSE)</f>
        <v>#N/A</v>
      </c>
      <c r="AS133" s="79" t="e">
        <f t="shared" si="46"/>
        <v>#N/A</v>
      </c>
      <c r="AT133" s="230" t="str">
        <f>IFERROR(VLOOKUP($A133,VENTAS!$H$2:$O$201,7,FALSE),"")</f>
        <v/>
      </c>
      <c r="AU133" s="11" t="str">
        <f t="shared" si="47"/>
        <v/>
      </c>
      <c r="AV133" s="270" t="e">
        <f>VLOOKUP($A133,INICIO!$A$5:$J$72,9,FALSE)</f>
        <v>#N/A</v>
      </c>
      <c r="AW133" s="11"/>
      <c r="AX133" s="204" t="str">
        <f>IFERROR(IF(AW133&gt;0,"",AW133*VLOOKUP($A133,'VALOR I.'!$B$6:$K$418,10,FALSE)),"")</f>
        <v/>
      </c>
      <c r="AY133" s="269" t="e">
        <f>VLOOKUP($A133,INICIO!$A$5:$J$72,9,FALSE)</f>
        <v>#N/A</v>
      </c>
      <c r="AZ133" s="232" t="e">
        <f>VLOOKUP($A133,REPOSICIONES!$A$5:$J$72,9,FALSE)</f>
        <v>#N/A</v>
      </c>
      <c r="BA133" s="79" t="e">
        <f t="shared" si="48"/>
        <v>#N/A</v>
      </c>
      <c r="BB133" s="230" t="str">
        <f>IFERROR(VLOOKUP($A133,VENTAS!$H$2:$O$201,8,FALSE),"")</f>
        <v/>
      </c>
      <c r="BC133" s="11" t="str">
        <f t="shared" si="49"/>
        <v/>
      </c>
      <c r="BD133" s="270" t="e">
        <f>VLOOKUP($A133,INICIO!$A$5:$J$72,10,FALSE)</f>
        <v>#N/A</v>
      </c>
      <c r="BE133" s="11"/>
      <c r="BF133" s="204" t="str">
        <f>IFERROR(IF(BE133&gt;0,"",BE133*VLOOKUP($A133,'VALOR I.'!$B$6:$K$418,10,FALSE)),"")</f>
        <v/>
      </c>
    </row>
    <row r="134" spans="1:58" ht="15.75" hidden="1" customHeight="1" x14ac:dyDescent="0.25">
      <c r="A134" s="66"/>
      <c r="B134" s="214"/>
      <c r="C134" s="239" t="e">
        <f>VLOOKUP($A134,INICIO!$A$5:$J$72,3,FALSE)</f>
        <v>#N/A</v>
      </c>
      <c r="D134" s="9" t="e">
        <f>VLOOKUP($A134,REPOSICIONES!$A$5:$J$72,3,FALSE)</f>
        <v>#N/A</v>
      </c>
      <c r="E134" s="79" t="e">
        <f t="shared" si="36"/>
        <v>#N/A</v>
      </c>
      <c r="F134" s="80" t="str">
        <f>IFERROR(VLOOKUP($A134,VENTAS!$H$2:$O$201,2,FALSE),"")</f>
        <v/>
      </c>
      <c r="G134" s="9" t="str">
        <f t="shared" si="37"/>
        <v/>
      </c>
      <c r="H134" s="9" t="e">
        <f>VLOOKUP($A134,INICIO!$A$5:$J$72,4,FALSE)</f>
        <v>#N/A</v>
      </c>
      <c r="I134" s="11"/>
      <c r="J134" s="242" t="str">
        <f>IFERROR(IF(I134&gt;0,"",I134*VLOOKUP($A134,'VALOR I.'!$B$6:$K$418,10,FALSE)),"")</f>
        <v/>
      </c>
      <c r="K134" s="276" t="e">
        <f>VLOOKUP($A134,INICIO!$A$5:$J$72,4,FALSE)</f>
        <v>#N/A</v>
      </c>
      <c r="L134" s="232" t="e">
        <f>VLOOKUP($A134,REPOSICIONES!$A$5:$J$72,4,FALSE)</f>
        <v>#N/A</v>
      </c>
      <c r="M134" s="79" t="e">
        <f t="shared" si="38"/>
        <v>#N/A</v>
      </c>
      <c r="N134" s="230" t="str">
        <f>IFERROR(VLOOKUP($A134,VENTAS!$H$2:$O$201,3,FALSE),"")</f>
        <v/>
      </c>
      <c r="O134" s="267" t="str">
        <f t="shared" si="39"/>
        <v/>
      </c>
      <c r="P134" s="270" t="e">
        <f>VLOOKUP($A134,INICIO!$A$5:$J$72,5,FALSE)</f>
        <v>#N/A</v>
      </c>
      <c r="Q134" s="11"/>
      <c r="R134" s="242" t="str">
        <f>IFERROR(IF(Q134&gt;0,"",Q134*VLOOKUP($A134,'VALOR I.'!$B$6:$K$418,10,FALSE)),"")</f>
        <v/>
      </c>
      <c r="S134" s="276" t="e">
        <f>VLOOKUP($A134,INICIO!$A$5:$J$72,5,FALSE)</f>
        <v>#N/A</v>
      </c>
      <c r="T134" s="232" t="e">
        <f>VLOOKUP($A134,REPOSICIONES!$A$5:$J$72,5,FALSE)</f>
        <v>#N/A</v>
      </c>
      <c r="U134" s="79" t="e">
        <f t="shared" si="40"/>
        <v>#N/A</v>
      </c>
      <c r="V134" s="230" t="str">
        <f>IFERROR(VLOOKUP($A134,VENTAS!$H$2:$O$201,4,FALSE),"")</f>
        <v/>
      </c>
      <c r="W134" s="11" t="str">
        <f t="shared" si="41"/>
        <v/>
      </c>
      <c r="X134" s="270" t="e">
        <f>VLOOKUP($A134,INICIO!$A$5:$J$72,6,FALSE)</f>
        <v>#N/A</v>
      </c>
      <c r="Y134" s="11"/>
      <c r="Z134" s="242" t="str">
        <f>IFERROR(IF(Y134&gt;0,"",Y134*VLOOKUP($A134,'VALOR I.'!$B$6:$K$418,10,FALSE)),"")</f>
        <v/>
      </c>
      <c r="AA134" s="276" t="e">
        <f>VLOOKUP($A134,INICIO!$A$5:$J$72,6,FALSE)</f>
        <v>#N/A</v>
      </c>
      <c r="AB134" s="232" t="e">
        <f>VLOOKUP($A134,REPOSICIONES!$A$5:$J$72,6,FALSE)</f>
        <v>#N/A</v>
      </c>
      <c r="AC134" s="79" t="e">
        <f t="shared" si="42"/>
        <v>#N/A</v>
      </c>
      <c r="AD134" s="230" t="str">
        <f>IFERROR(VLOOKUP($A134,VENTAS!$H$2:$O$201,5,FALSE),"")</f>
        <v/>
      </c>
      <c r="AE134" s="11" t="str">
        <f t="shared" si="43"/>
        <v/>
      </c>
      <c r="AF134" s="270" t="e">
        <f>VLOOKUP($A134,INICIO!$A$5:$J$72,7,FALSE)</f>
        <v>#N/A</v>
      </c>
      <c r="AG134" s="11"/>
      <c r="AH134" s="242" t="str">
        <f>IFERROR(IF(AG134&gt;0,"",AG134*VLOOKUP($A134,'VALOR I.'!$B$6:$K$418,10,FALSE)),"")</f>
        <v/>
      </c>
      <c r="AI134" s="269" t="e">
        <f>VLOOKUP($A134,INICIO!$A$5:$J$72,7,FALSE)</f>
        <v>#N/A</v>
      </c>
      <c r="AJ134" s="232" t="e">
        <f>VLOOKUP($A134,REPOSICIONES!$A$5:$J$72,7,FALSE)</f>
        <v>#N/A</v>
      </c>
      <c r="AK134" s="79" t="e">
        <f t="shared" si="44"/>
        <v>#N/A</v>
      </c>
      <c r="AL134" s="230" t="str">
        <f>IFERROR(VLOOKUP($A134,VENTAS!$H$2:$O$201,6,FALSE),"")</f>
        <v/>
      </c>
      <c r="AM134" s="11" t="str">
        <f t="shared" si="45"/>
        <v/>
      </c>
      <c r="AN134" s="270" t="e">
        <f>VLOOKUP($A134,INICIO!$A$5:$J$72,8,FALSE)</f>
        <v>#N/A</v>
      </c>
      <c r="AO134" s="11"/>
      <c r="AP134" s="204" t="str">
        <f>IFERROR(IF(AO134&gt;0,"",AO134*VLOOKUP($A134,'VALOR I.'!$B$6:$K$418,10,FALSE)),"")</f>
        <v/>
      </c>
      <c r="AQ134" s="269" t="e">
        <f>VLOOKUP($A134,INICIO!$A$5:$J$72,8,FALSE)</f>
        <v>#N/A</v>
      </c>
      <c r="AR134" s="232" t="e">
        <f>VLOOKUP($A134,REPOSICIONES!$A$5:$J$72,8,FALSE)</f>
        <v>#N/A</v>
      </c>
      <c r="AS134" s="79" t="e">
        <f t="shared" si="46"/>
        <v>#N/A</v>
      </c>
      <c r="AT134" s="230" t="str">
        <f>IFERROR(VLOOKUP($A134,VENTAS!$H$2:$O$201,7,FALSE),"")</f>
        <v/>
      </c>
      <c r="AU134" s="11" t="str">
        <f t="shared" si="47"/>
        <v/>
      </c>
      <c r="AV134" s="270" t="e">
        <f>VLOOKUP($A134,INICIO!$A$5:$J$72,9,FALSE)</f>
        <v>#N/A</v>
      </c>
      <c r="AW134" s="11"/>
      <c r="AX134" s="204" t="str">
        <f>IFERROR(IF(AW134&gt;0,"",AW134*VLOOKUP($A134,'VALOR I.'!$B$6:$K$418,10,FALSE)),"")</f>
        <v/>
      </c>
      <c r="AY134" s="269" t="e">
        <f>VLOOKUP($A134,INICIO!$A$5:$J$72,9,FALSE)</f>
        <v>#N/A</v>
      </c>
      <c r="AZ134" s="232" t="e">
        <f>VLOOKUP($A134,REPOSICIONES!$A$5:$J$72,9,FALSE)</f>
        <v>#N/A</v>
      </c>
      <c r="BA134" s="79" t="e">
        <f t="shared" si="48"/>
        <v>#N/A</v>
      </c>
      <c r="BB134" s="230" t="str">
        <f>IFERROR(VLOOKUP($A134,VENTAS!$H$2:$O$201,8,FALSE),"")</f>
        <v/>
      </c>
      <c r="BC134" s="11" t="str">
        <f t="shared" si="49"/>
        <v/>
      </c>
      <c r="BD134" s="270" t="e">
        <f>VLOOKUP($A134,INICIO!$A$5:$J$72,10,FALSE)</f>
        <v>#N/A</v>
      </c>
      <c r="BE134" s="11"/>
      <c r="BF134" s="204" t="str">
        <f>IFERROR(IF(BE134&gt;0,"",BE134*VLOOKUP($A134,'VALOR I.'!$B$6:$K$418,10,FALSE)),"")</f>
        <v/>
      </c>
    </row>
    <row r="135" spans="1:58" ht="15.75" hidden="1" customHeight="1" thickBot="1" x14ac:dyDescent="0.3">
      <c r="B135" s="214"/>
      <c r="C135" s="273" t="e">
        <f>VLOOKUP($A135,INICIO!$A$5:$J$72,3,FALSE)</f>
        <v>#N/A</v>
      </c>
      <c r="D135" s="274" t="e">
        <f>VLOOKUP($A135,REPOSICIONES!$A$5:$J$72,3,FALSE)</f>
        <v>#N/A</v>
      </c>
      <c r="E135" s="241" t="e">
        <f t="shared" si="36"/>
        <v>#N/A</v>
      </c>
      <c r="F135" s="275" t="str">
        <f>IFERROR(VLOOKUP($A135,VENTAS!$H$2:$O$201,2,FALSE),"")</f>
        <v/>
      </c>
      <c r="G135" s="274" t="str">
        <f t="shared" si="37"/>
        <v/>
      </c>
      <c r="H135" s="274" t="e">
        <f>VLOOKUP($A135,INICIO!$A$5:$J$72,4,FALSE)</f>
        <v>#N/A</v>
      </c>
      <c r="I135" s="240"/>
      <c r="J135" s="243" t="str">
        <f>IFERROR(IF(I135&gt;0,"",I135*VLOOKUP($A135,'VALOR I.'!$B$6:$K$418,10,FALSE)),"")</f>
        <v/>
      </c>
      <c r="K135" s="293" t="e">
        <f>VLOOKUP($A135,INICIO!$A$5:$J$72,4,FALSE)</f>
        <v>#N/A</v>
      </c>
      <c r="L135" s="294" t="e">
        <f>VLOOKUP($A135,REPOSICIONES!$A$5:$J$72,4,FALSE)</f>
        <v>#N/A</v>
      </c>
      <c r="M135" s="241" t="e">
        <f t="shared" si="38"/>
        <v>#N/A</v>
      </c>
      <c r="N135" s="295" t="str">
        <f>IFERROR(VLOOKUP($A135,VENTAS!$H$2:$O$201,3,FALSE),"")</f>
        <v/>
      </c>
      <c r="O135" s="296" t="str">
        <f t="shared" si="39"/>
        <v/>
      </c>
      <c r="P135" s="297" t="e">
        <f>VLOOKUP($A135,INICIO!$A$5:$J$72,5,FALSE)</f>
        <v>#N/A</v>
      </c>
      <c r="Q135" s="240"/>
      <c r="R135" s="243" t="str">
        <f>IFERROR(IF(Q135&gt;0,"",Q135*VLOOKUP($A135,'VALOR I.'!$B$6:$K$418,10,FALSE)),"")</f>
        <v/>
      </c>
      <c r="S135" s="276" t="e">
        <f>VLOOKUP($A135,INICIO!$A$5:$J$72,5,FALSE)</f>
        <v>#N/A</v>
      </c>
      <c r="T135" s="232" t="e">
        <f>VLOOKUP($A135,REPOSICIONES!$A$5:$J$72,5,FALSE)</f>
        <v>#N/A</v>
      </c>
      <c r="U135" s="241" t="e">
        <f t="shared" si="40"/>
        <v>#N/A</v>
      </c>
      <c r="V135" s="230" t="str">
        <f>IFERROR(VLOOKUP($A135,VENTAS!$H$2:$O$201,4,FALSE),"")</f>
        <v/>
      </c>
      <c r="W135" s="240" t="str">
        <f t="shared" si="41"/>
        <v/>
      </c>
      <c r="X135" s="270" t="e">
        <f>VLOOKUP($A135,INICIO!$A$5:$J$72,6,FALSE)</f>
        <v>#N/A</v>
      </c>
      <c r="Y135" s="240"/>
      <c r="Z135" s="243" t="str">
        <f>IFERROR(IF(Y135&gt;0,"",Y135*VLOOKUP($A135,'VALOR I.'!$B$6:$K$418,10,FALSE)),"")</f>
        <v/>
      </c>
      <c r="AA135" s="276" t="e">
        <f>VLOOKUP($A135,INICIO!$A$5:$J$72,6,FALSE)</f>
        <v>#N/A</v>
      </c>
      <c r="AB135" s="232" t="e">
        <f>VLOOKUP($A135,REPOSICIONES!$A$5:$J$72,6,FALSE)</f>
        <v>#N/A</v>
      </c>
      <c r="AC135" s="241" t="e">
        <f t="shared" si="42"/>
        <v>#N/A</v>
      </c>
      <c r="AD135" s="230" t="str">
        <f>IFERROR(VLOOKUP($A135,VENTAS!$H$2:$O$201,5,FALSE),"")</f>
        <v/>
      </c>
      <c r="AE135" s="240" t="str">
        <f t="shared" si="43"/>
        <v/>
      </c>
      <c r="AF135" s="270" t="e">
        <f>VLOOKUP($A135,INICIO!$A$5:$J$72,7,FALSE)</f>
        <v>#N/A</v>
      </c>
      <c r="AG135" s="240"/>
      <c r="AH135" s="243" t="str">
        <f>IFERROR(IF(AG135&gt;0,"",AG135*VLOOKUP($A135,'VALOR I.'!$B$6:$K$418,10,FALSE)),"")</f>
        <v/>
      </c>
      <c r="AI135" s="269" t="e">
        <f>VLOOKUP($A135,INICIO!$A$5:$J$72,7,FALSE)</f>
        <v>#N/A</v>
      </c>
      <c r="AJ135" s="232" t="e">
        <f>VLOOKUP($A135,REPOSICIONES!$A$5:$J$72,7,FALSE)</f>
        <v>#N/A</v>
      </c>
      <c r="AK135" s="79" t="e">
        <f t="shared" si="44"/>
        <v>#N/A</v>
      </c>
      <c r="AL135" s="230" t="str">
        <f>IFERROR(VLOOKUP($A135,VENTAS!$H$2:$O$201,6,FALSE),"")</f>
        <v/>
      </c>
      <c r="AM135" s="11" t="str">
        <f t="shared" si="45"/>
        <v/>
      </c>
      <c r="AN135" s="270" t="e">
        <f>VLOOKUP($A135,INICIO!$A$5:$J$72,8,FALSE)</f>
        <v>#N/A</v>
      </c>
      <c r="AO135" s="11"/>
      <c r="AP135" s="204" t="str">
        <f>IFERROR(IF(AO135&gt;0,"",AO135*VLOOKUP($A135,'VALOR I.'!$B$6:$K$418,10,FALSE)),"")</f>
        <v/>
      </c>
      <c r="AQ135" s="269" t="e">
        <f>VLOOKUP($A135,INICIO!$A$5:$J$72,8,FALSE)</f>
        <v>#N/A</v>
      </c>
      <c r="AR135" s="232" t="e">
        <f>VLOOKUP($A135,REPOSICIONES!$A$5:$J$72,8,FALSE)</f>
        <v>#N/A</v>
      </c>
      <c r="AS135" s="79" t="e">
        <f t="shared" si="46"/>
        <v>#N/A</v>
      </c>
      <c r="AT135" s="230" t="str">
        <f>IFERROR(VLOOKUP($A135,VENTAS!$H$2:$O$201,7,FALSE),"")</f>
        <v/>
      </c>
      <c r="AU135" s="11" t="str">
        <f t="shared" si="47"/>
        <v/>
      </c>
      <c r="AV135" s="270" t="e">
        <f>VLOOKUP($A135,INICIO!$A$5:$J$72,9,FALSE)</f>
        <v>#N/A</v>
      </c>
      <c r="AW135" s="11"/>
      <c r="AX135" s="204" t="str">
        <f>IFERROR(IF(AW135&gt;0,"",AW135*VLOOKUP($A135,'VALOR I.'!$B$6:$K$418,10,FALSE)),"")</f>
        <v/>
      </c>
      <c r="AY135" s="269" t="e">
        <f>VLOOKUP($A135,INICIO!$A$5:$J$72,9,FALSE)</f>
        <v>#N/A</v>
      </c>
      <c r="AZ135" s="232" t="e">
        <f>VLOOKUP($A135,REPOSICIONES!$A$5:$J$72,9,FALSE)</f>
        <v>#N/A</v>
      </c>
      <c r="BA135" s="79" t="e">
        <f t="shared" si="48"/>
        <v>#N/A</v>
      </c>
      <c r="BB135" s="230" t="str">
        <f>IFERROR(VLOOKUP($A135,VENTAS!$H$2:$O$201,8,FALSE),"")</f>
        <v/>
      </c>
      <c r="BC135" s="11" t="str">
        <f t="shared" si="49"/>
        <v/>
      </c>
      <c r="BD135" s="270" t="e">
        <f>VLOOKUP($A135,INICIO!$A$5:$J$72,10,FALSE)</f>
        <v>#N/A</v>
      </c>
      <c r="BE135" s="11"/>
      <c r="BF135" s="204" t="str">
        <f>IFERROR(IF(BE135&gt;0,"",BE135*VLOOKUP($A135,'VALOR I.'!$B$6:$K$418,10,FALSE)),"")</f>
        <v/>
      </c>
    </row>
    <row r="136" spans="1:58" ht="16.5" thickBot="1" x14ac:dyDescent="0.3">
      <c r="A136"/>
      <c r="B136" s="4"/>
      <c r="C136"/>
      <c r="D136" s="4"/>
      <c r="E136" s="4"/>
      <c r="G136" s="4"/>
      <c r="H136" s="3"/>
    </row>
    <row r="137" spans="1:58" ht="16.5" thickBot="1" x14ac:dyDescent="0.3">
      <c r="A137"/>
      <c r="B137" s="4"/>
      <c r="C137"/>
      <c r="D137" s="4"/>
      <c r="E137" s="4"/>
      <c r="G137" s="4"/>
      <c r="H137" s="3"/>
      <c r="I137" s="205" t="s">
        <v>302</v>
      </c>
      <c r="J137" s="206">
        <f>SUM(J9:J135)</f>
        <v>0</v>
      </c>
      <c r="Q137" s="205" t="s">
        <v>302</v>
      </c>
      <c r="R137" s="206">
        <f>SUM(R9:R135)</f>
        <v>-74521.37</v>
      </c>
      <c r="Y137" s="205" t="s">
        <v>302</v>
      </c>
      <c r="Z137" s="206">
        <f>SUM(Z9:Z135)</f>
        <v>-27397.370000000003</v>
      </c>
      <c r="AG137" s="205" t="s">
        <v>302</v>
      </c>
      <c r="AH137" s="206">
        <f>SUM(AH9:AH135)</f>
        <v>-19593.647499999999</v>
      </c>
      <c r="AO137" s="205" t="s">
        <v>302</v>
      </c>
      <c r="AP137" s="206">
        <f>SUM(AP9:AP135)</f>
        <v>-16563.61</v>
      </c>
      <c r="AW137" s="205" t="s">
        <v>302</v>
      </c>
      <c r="AX137" s="206">
        <f>SUM(AX9:AX135)</f>
        <v>-49165.778200000001</v>
      </c>
      <c r="BE137" s="205"/>
      <c r="BF137" s="206"/>
    </row>
    <row r="138" spans="1:58" x14ac:dyDescent="0.25">
      <c r="A138"/>
      <c r="B138" s="4"/>
      <c r="C138"/>
      <c r="D138" s="4"/>
      <c r="E138" s="4"/>
      <c r="G138" s="4"/>
      <c r="H138" s="3"/>
    </row>
    <row r="139" spans="1:58" x14ac:dyDescent="0.25">
      <c r="A139"/>
      <c r="B139" s="4"/>
      <c r="C139"/>
      <c r="D139" s="4"/>
      <c r="E139" s="4"/>
      <c r="G139" s="4"/>
      <c r="H139" s="3"/>
    </row>
    <row r="140" spans="1:58" x14ac:dyDescent="0.25">
      <c r="A140"/>
      <c r="B140" s="4"/>
      <c r="C140"/>
      <c r="D140" s="4"/>
      <c r="E140" s="4"/>
      <c r="G140" s="4"/>
      <c r="H140" s="3"/>
    </row>
    <row r="141" spans="1:58" x14ac:dyDescent="0.25">
      <c r="A141"/>
      <c r="B141" s="4"/>
      <c r="C141"/>
      <c r="D141" s="4"/>
      <c r="E141" s="4"/>
      <c r="G141" s="4"/>
      <c r="H141" s="3"/>
    </row>
    <row r="142" spans="1:58" x14ac:dyDescent="0.25">
      <c r="A142"/>
      <c r="B142" s="4"/>
      <c r="C142"/>
      <c r="D142" s="4"/>
      <c r="E142" s="4"/>
      <c r="G142" s="4"/>
      <c r="H142" s="3"/>
    </row>
    <row r="143" spans="1:58" x14ac:dyDescent="0.25">
      <c r="A143"/>
      <c r="B143" s="4"/>
      <c r="C143"/>
      <c r="D143" s="4"/>
      <c r="E143" s="4"/>
      <c r="G143" s="4"/>
      <c r="H143" s="3"/>
    </row>
    <row r="144" spans="1:58" x14ac:dyDescent="0.25">
      <c r="A144"/>
      <c r="B144" s="4"/>
      <c r="C144"/>
      <c r="D144" s="4"/>
      <c r="E144" s="4"/>
      <c r="G144" s="4"/>
      <c r="H144" s="3"/>
    </row>
    <row r="145" spans="1:8" x14ac:dyDescent="0.25">
      <c r="A145"/>
      <c r="B145" s="4"/>
      <c r="C145"/>
      <c r="D145" s="4"/>
      <c r="E145" s="4"/>
      <c r="G145" s="4"/>
      <c r="H145" s="3"/>
    </row>
    <row r="146" spans="1:8" x14ac:dyDescent="0.25">
      <c r="A146"/>
      <c r="B146" s="4"/>
      <c r="C146"/>
      <c r="D146" s="4"/>
      <c r="E146" s="4"/>
      <c r="G146" s="4"/>
      <c r="H146" s="3"/>
    </row>
    <row r="147" spans="1:8" x14ac:dyDescent="0.25">
      <c r="A147"/>
      <c r="B147" s="4"/>
      <c r="C147"/>
      <c r="D147" s="4"/>
      <c r="E147" s="4"/>
      <c r="G147" s="4"/>
      <c r="H147" s="3"/>
    </row>
    <row r="148" spans="1:8" x14ac:dyDescent="0.25">
      <c r="A148"/>
      <c r="B148" s="4"/>
      <c r="C148"/>
      <c r="D148" s="4"/>
      <c r="E148" s="4"/>
      <c r="G148" s="4"/>
      <c r="H148" s="3"/>
    </row>
    <row r="149" spans="1:8" x14ac:dyDescent="0.25">
      <c r="A149"/>
      <c r="B149" s="4"/>
      <c r="C149"/>
      <c r="D149" s="4"/>
      <c r="E149" s="4"/>
      <c r="G149" s="4"/>
      <c r="H149" s="3"/>
    </row>
    <row r="150" spans="1:8" x14ac:dyDescent="0.25">
      <c r="A150"/>
      <c r="B150" s="4"/>
      <c r="C150"/>
      <c r="D150" s="4"/>
      <c r="E150" s="4"/>
      <c r="G150" s="4"/>
      <c r="H150" s="3"/>
    </row>
    <row r="151" spans="1:8" x14ac:dyDescent="0.25">
      <c r="A151"/>
      <c r="B151" s="4"/>
      <c r="C151"/>
      <c r="D151" s="4"/>
      <c r="E151" s="4"/>
      <c r="G151" s="4"/>
      <c r="H151" s="3"/>
    </row>
    <row r="152" spans="1:8" x14ac:dyDescent="0.25">
      <c r="A152"/>
      <c r="B152" s="4"/>
      <c r="C152"/>
      <c r="D152" s="4"/>
      <c r="E152" s="4"/>
      <c r="G152" s="4"/>
      <c r="H152" s="3"/>
    </row>
    <row r="153" spans="1:8" x14ac:dyDescent="0.25">
      <c r="A153"/>
      <c r="B153" s="4"/>
      <c r="C153"/>
      <c r="D153" s="4"/>
      <c r="E153" s="4"/>
      <c r="G153" s="4"/>
      <c r="H153" s="3"/>
    </row>
    <row r="154" spans="1:8" x14ac:dyDescent="0.25">
      <c r="A154"/>
      <c r="B154" s="4"/>
      <c r="C154"/>
      <c r="D154" s="4"/>
      <c r="E154" s="4"/>
      <c r="G154" s="4"/>
      <c r="H154" s="3"/>
    </row>
    <row r="155" spans="1:8" x14ac:dyDescent="0.25">
      <c r="A155"/>
      <c r="B155" s="4"/>
      <c r="C155"/>
      <c r="D155" s="4"/>
      <c r="E155" s="4"/>
      <c r="G155" s="4"/>
      <c r="H155" s="3"/>
    </row>
    <row r="156" spans="1:8" x14ac:dyDescent="0.25">
      <c r="A156"/>
      <c r="B156" s="4"/>
      <c r="C156"/>
      <c r="D156" s="4"/>
      <c r="E156" s="4"/>
      <c r="G156" s="4"/>
      <c r="H156" s="3"/>
    </row>
    <row r="157" spans="1:8" x14ac:dyDescent="0.25">
      <c r="A157"/>
      <c r="B157" s="4"/>
      <c r="C157"/>
      <c r="D157" s="4"/>
      <c r="E157" s="4"/>
      <c r="G157" s="4"/>
      <c r="H157" s="3"/>
    </row>
    <row r="158" spans="1:8" x14ac:dyDescent="0.25">
      <c r="A158"/>
      <c r="B158" s="4"/>
      <c r="C158"/>
      <c r="D158" s="4"/>
      <c r="E158" s="4"/>
      <c r="G158" s="4"/>
      <c r="H158" s="3"/>
    </row>
    <row r="159" spans="1:8" x14ac:dyDescent="0.25">
      <c r="A159"/>
      <c r="B159" s="4"/>
      <c r="C159"/>
      <c r="D159" s="4"/>
      <c r="E159" s="4"/>
      <c r="G159" s="4"/>
      <c r="H159" s="3"/>
    </row>
    <row r="160" spans="1:8" x14ac:dyDescent="0.25">
      <c r="A160"/>
      <c r="B160" s="4"/>
      <c r="C160"/>
      <c r="D160" s="4"/>
      <c r="E160" s="4"/>
      <c r="G160" s="4"/>
      <c r="H160" s="3"/>
    </row>
    <row r="161" spans="1:8" x14ac:dyDescent="0.25">
      <c r="A161"/>
      <c r="B161" s="4"/>
      <c r="C161"/>
      <c r="D161" s="4"/>
      <c r="E161" s="4"/>
      <c r="G161" s="4"/>
      <c r="H161" s="3"/>
    </row>
    <row r="162" spans="1:8" x14ac:dyDescent="0.25">
      <c r="A162"/>
      <c r="B162" s="4"/>
      <c r="C162"/>
      <c r="D162" s="4"/>
      <c r="E162" s="4"/>
      <c r="G162" s="4"/>
      <c r="H162" s="3"/>
    </row>
    <row r="163" spans="1:8" x14ac:dyDescent="0.25">
      <c r="A163"/>
      <c r="B163" s="4"/>
      <c r="C163"/>
      <c r="D163" s="4"/>
      <c r="E163" s="4"/>
      <c r="G163" s="4"/>
      <c r="H163" s="3"/>
    </row>
    <row r="164" spans="1:8" x14ac:dyDescent="0.25">
      <c r="A164"/>
      <c r="B164" s="4"/>
      <c r="C164"/>
      <c r="D164" s="4"/>
      <c r="E164" s="4"/>
      <c r="G164" s="4"/>
      <c r="H164" s="3"/>
    </row>
    <row r="165" spans="1:8" x14ac:dyDescent="0.25">
      <c r="A165"/>
      <c r="B165" s="4"/>
      <c r="C165"/>
      <c r="D165" s="4"/>
      <c r="E165" s="4"/>
      <c r="G165" s="4"/>
      <c r="H165" s="3"/>
    </row>
    <row r="166" spans="1:8" x14ac:dyDescent="0.25">
      <c r="A166"/>
      <c r="B166" s="4"/>
      <c r="C166"/>
      <c r="D166" s="4"/>
      <c r="E166" s="4"/>
      <c r="G166" s="4"/>
      <c r="H166" s="3"/>
    </row>
    <row r="167" spans="1:8" x14ac:dyDescent="0.25">
      <c r="A167"/>
      <c r="B167" s="4"/>
      <c r="C167"/>
      <c r="D167" s="4"/>
      <c r="E167" s="4"/>
      <c r="G167" s="4"/>
      <c r="H167" s="3"/>
    </row>
    <row r="168" spans="1:8" x14ac:dyDescent="0.25">
      <c r="A168"/>
      <c r="B168" s="4"/>
      <c r="C168"/>
      <c r="D168" s="4"/>
      <c r="E168" s="4"/>
      <c r="G168" s="4"/>
      <c r="H168" s="3"/>
    </row>
    <row r="169" spans="1:8" x14ac:dyDescent="0.25">
      <c r="A169"/>
      <c r="B169" s="4"/>
      <c r="C169"/>
      <c r="D169" s="4"/>
      <c r="E169" s="4"/>
      <c r="G169" s="4"/>
      <c r="H169" s="3"/>
    </row>
    <row r="170" spans="1:8" x14ac:dyDescent="0.25">
      <c r="A170"/>
      <c r="B170" s="4"/>
      <c r="C170"/>
      <c r="D170" s="4"/>
      <c r="E170" s="4"/>
      <c r="G170" s="4"/>
      <c r="H170" s="3"/>
    </row>
    <row r="171" spans="1:8" x14ac:dyDescent="0.25">
      <c r="A171"/>
      <c r="B171" s="4"/>
      <c r="C171"/>
      <c r="D171" s="4"/>
      <c r="E171" s="4"/>
      <c r="G171" s="4"/>
      <c r="H171" s="3"/>
    </row>
    <row r="172" spans="1:8" x14ac:dyDescent="0.25">
      <c r="A172"/>
      <c r="B172" s="4"/>
      <c r="C172"/>
      <c r="D172" s="4"/>
      <c r="E172" s="4"/>
      <c r="G172" s="4"/>
      <c r="H172" s="3"/>
    </row>
    <row r="173" spans="1:8" x14ac:dyDescent="0.25">
      <c r="A173"/>
      <c r="B173" s="4"/>
      <c r="C173"/>
      <c r="D173" s="4"/>
      <c r="E173" s="4"/>
      <c r="G173" s="4"/>
      <c r="H173" s="3"/>
    </row>
    <row r="174" spans="1:8" x14ac:dyDescent="0.25">
      <c r="A174"/>
      <c r="B174" s="4"/>
      <c r="C174"/>
      <c r="D174" s="4"/>
      <c r="E174" s="4"/>
      <c r="G174" s="4"/>
      <c r="H174" s="3"/>
    </row>
    <row r="175" spans="1:8" x14ac:dyDescent="0.25">
      <c r="A175"/>
      <c r="B175" s="4"/>
      <c r="C175"/>
      <c r="D175" s="4"/>
      <c r="E175" s="4"/>
      <c r="G175" s="4"/>
      <c r="H175" s="3"/>
    </row>
    <row r="176" spans="1:8" x14ac:dyDescent="0.25">
      <c r="A176"/>
      <c r="B176" s="4"/>
      <c r="C176"/>
      <c r="D176" s="4"/>
      <c r="E176" s="4"/>
      <c r="G176" s="4"/>
      <c r="H176" s="3"/>
    </row>
    <row r="177" spans="1:8" x14ac:dyDescent="0.25">
      <c r="A177"/>
      <c r="B177" s="4"/>
      <c r="C177"/>
      <c r="D177" s="4"/>
      <c r="E177" s="4"/>
      <c r="G177" s="4"/>
      <c r="H177" s="3"/>
    </row>
    <row r="178" spans="1:8" x14ac:dyDescent="0.25">
      <c r="A178"/>
      <c r="B178" s="4"/>
      <c r="C178"/>
      <c r="D178" s="4"/>
      <c r="E178" s="4"/>
      <c r="G178" s="4"/>
      <c r="H178" s="3"/>
    </row>
    <row r="179" spans="1:8" x14ac:dyDescent="0.25">
      <c r="A179"/>
      <c r="B179" s="4"/>
      <c r="C179"/>
      <c r="D179" s="4"/>
      <c r="E179" s="4"/>
      <c r="G179" s="4"/>
      <c r="H179" s="3"/>
    </row>
    <row r="180" spans="1:8" x14ac:dyDescent="0.25">
      <c r="A180"/>
      <c r="B180" s="4"/>
      <c r="C180"/>
      <c r="D180" s="4"/>
      <c r="E180" s="4"/>
      <c r="G180" s="4"/>
      <c r="H180" s="3"/>
    </row>
    <row r="181" spans="1:8" x14ac:dyDescent="0.25">
      <c r="A181"/>
      <c r="B181" s="4"/>
      <c r="C181"/>
      <c r="D181" s="4"/>
      <c r="E181" s="4"/>
      <c r="G181" s="4"/>
      <c r="H181" s="3"/>
    </row>
    <row r="182" spans="1:8" x14ac:dyDescent="0.25">
      <c r="A182"/>
      <c r="B182" s="4"/>
      <c r="C182"/>
      <c r="D182" s="4"/>
      <c r="E182" s="4"/>
      <c r="G182" s="4"/>
      <c r="H182" s="3"/>
    </row>
    <row r="183" spans="1:8" x14ac:dyDescent="0.25">
      <c r="A183"/>
      <c r="B183" s="4"/>
      <c r="C183"/>
      <c r="D183" s="4"/>
      <c r="E183" s="4"/>
      <c r="G183" s="4"/>
      <c r="H183" s="3"/>
    </row>
    <row r="184" spans="1:8" x14ac:dyDescent="0.25">
      <c r="A184"/>
      <c r="B184" s="4"/>
      <c r="C184"/>
      <c r="D184" s="4"/>
      <c r="E184" s="4"/>
      <c r="G184" s="4"/>
      <c r="H184" s="3"/>
    </row>
    <row r="185" spans="1:8" x14ac:dyDescent="0.25">
      <c r="A185"/>
      <c r="B185" s="4"/>
      <c r="C185"/>
      <c r="D185" s="4"/>
      <c r="E185" s="4"/>
      <c r="G185" s="4"/>
      <c r="H185" s="3"/>
    </row>
    <row r="186" spans="1:8" x14ac:dyDescent="0.25">
      <c r="A186"/>
      <c r="B186" s="4"/>
      <c r="C186"/>
      <c r="D186" s="4"/>
      <c r="E186" s="4"/>
      <c r="G186" s="4"/>
      <c r="H186" s="3"/>
    </row>
    <row r="187" spans="1:8" x14ac:dyDescent="0.25">
      <c r="A187"/>
      <c r="B187" s="4"/>
      <c r="C187"/>
      <c r="D187" s="4"/>
      <c r="E187" s="4"/>
      <c r="G187" s="4"/>
      <c r="H187" s="3"/>
    </row>
    <row r="188" spans="1:8" x14ac:dyDescent="0.25">
      <c r="A188"/>
      <c r="B188" s="4"/>
      <c r="C188"/>
      <c r="D188" s="4"/>
      <c r="E188" s="4"/>
      <c r="G188" s="4"/>
      <c r="H188" s="3"/>
    </row>
    <row r="189" spans="1:8" x14ac:dyDescent="0.25">
      <c r="A189"/>
      <c r="B189" s="4"/>
      <c r="C189"/>
      <c r="D189" s="4"/>
      <c r="E189" s="4"/>
      <c r="G189" s="4"/>
      <c r="H189" s="3"/>
    </row>
    <row r="190" spans="1:8" x14ac:dyDescent="0.25">
      <c r="A190"/>
      <c r="B190" s="4"/>
      <c r="C190"/>
      <c r="D190" s="4"/>
      <c r="E190" s="4"/>
      <c r="G190" s="4"/>
      <c r="H190" s="3"/>
    </row>
    <row r="191" spans="1:8" x14ac:dyDescent="0.25">
      <c r="A191"/>
      <c r="B191" s="4"/>
      <c r="C191"/>
      <c r="D191" s="4"/>
      <c r="E191" s="4"/>
      <c r="G191" s="4"/>
      <c r="H191" s="3"/>
    </row>
    <row r="192" spans="1:8" x14ac:dyDescent="0.25">
      <c r="A192"/>
      <c r="B192" s="4"/>
      <c r="C192"/>
      <c r="D192" s="4"/>
      <c r="E192" s="4"/>
      <c r="G192" s="4"/>
      <c r="H192" s="3"/>
    </row>
    <row r="193" spans="1:8" x14ac:dyDescent="0.25">
      <c r="A193"/>
      <c r="B193" s="4"/>
      <c r="C193"/>
      <c r="D193" s="4"/>
      <c r="E193" s="4"/>
      <c r="G193" s="4"/>
      <c r="H193" s="3"/>
    </row>
    <row r="194" spans="1:8" x14ac:dyDescent="0.25">
      <c r="A194"/>
      <c r="B194" s="4"/>
      <c r="C194"/>
      <c r="D194" s="4"/>
      <c r="E194" s="4"/>
      <c r="G194" s="4"/>
      <c r="H194" s="3"/>
    </row>
    <row r="195" spans="1:8" x14ac:dyDescent="0.25">
      <c r="A195"/>
      <c r="B195" s="4"/>
      <c r="C195"/>
      <c r="D195" s="4"/>
      <c r="E195" s="4"/>
      <c r="G195" s="4"/>
      <c r="H195" s="3"/>
    </row>
    <row r="196" spans="1:8" x14ac:dyDescent="0.25">
      <c r="A196"/>
      <c r="B196" s="4"/>
      <c r="C196"/>
      <c r="D196" s="4"/>
      <c r="E196" s="4"/>
      <c r="G196" s="4"/>
      <c r="H196" s="3"/>
    </row>
    <row r="197" spans="1:8" x14ac:dyDescent="0.25">
      <c r="A197"/>
      <c r="B197" s="4"/>
      <c r="C197"/>
      <c r="D197" s="4"/>
      <c r="E197" s="4"/>
      <c r="G197" s="4"/>
      <c r="H197" s="3"/>
    </row>
    <row r="198" spans="1:8" x14ac:dyDescent="0.25">
      <c r="A198"/>
      <c r="B198" s="4"/>
      <c r="C198"/>
      <c r="D198" s="4"/>
      <c r="E198" s="4"/>
      <c r="G198" s="4"/>
      <c r="H198" s="3"/>
    </row>
    <row r="199" spans="1:8" x14ac:dyDescent="0.25">
      <c r="A199"/>
      <c r="B199" s="4"/>
      <c r="C199"/>
      <c r="D199" s="4"/>
      <c r="E199" s="4"/>
      <c r="G199" s="4"/>
      <c r="H199" s="3"/>
    </row>
    <row r="200" spans="1:8" x14ac:dyDescent="0.25">
      <c r="A200"/>
      <c r="B200" s="4"/>
      <c r="C200"/>
      <c r="D200" s="4"/>
      <c r="E200" s="4"/>
      <c r="G200" s="4"/>
      <c r="H200" s="3"/>
    </row>
    <row r="201" spans="1:8" x14ac:dyDescent="0.25">
      <c r="A201"/>
      <c r="B201" s="4"/>
      <c r="C201"/>
      <c r="D201" s="4"/>
      <c r="E201" s="4"/>
      <c r="G201" s="4"/>
      <c r="H201" s="3"/>
    </row>
    <row r="202" spans="1:8" x14ac:dyDescent="0.25">
      <c r="A202"/>
      <c r="B202" s="4"/>
      <c r="C202"/>
      <c r="D202" s="4"/>
      <c r="E202" s="4"/>
      <c r="G202" s="4"/>
      <c r="H202" s="3"/>
    </row>
    <row r="203" spans="1:8" x14ac:dyDescent="0.25">
      <c r="A203"/>
      <c r="B203" s="4"/>
      <c r="C203"/>
      <c r="D203" s="4"/>
      <c r="E203" s="4"/>
      <c r="G203" s="4"/>
      <c r="H203" s="3"/>
    </row>
    <row r="204" spans="1:8" x14ac:dyDescent="0.25">
      <c r="A204"/>
      <c r="B204" s="4"/>
      <c r="C204"/>
      <c r="D204" s="4"/>
      <c r="E204" s="4"/>
      <c r="G204" s="4"/>
      <c r="H204" s="3"/>
    </row>
    <row r="205" spans="1:8" x14ac:dyDescent="0.25">
      <c r="A205"/>
      <c r="B205" s="4"/>
      <c r="C205"/>
      <c r="D205" s="4"/>
      <c r="E205" s="4"/>
      <c r="G205" s="4"/>
      <c r="H205" s="3"/>
    </row>
    <row r="206" spans="1:8" x14ac:dyDescent="0.25">
      <c r="A206"/>
      <c r="B206" s="4"/>
      <c r="C206"/>
      <c r="D206" s="4"/>
      <c r="E206" s="4"/>
      <c r="G206" s="4"/>
      <c r="H206" s="3"/>
    </row>
    <row r="207" spans="1:8" x14ac:dyDescent="0.25">
      <c r="A207"/>
      <c r="B207" s="4"/>
      <c r="C207"/>
      <c r="D207" s="4"/>
      <c r="E207" s="4"/>
      <c r="G207" s="4"/>
      <c r="H207" s="3"/>
    </row>
    <row r="208" spans="1:8" x14ac:dyDescent="0.25">
      <c r="A208"/>
      <c r="B208" s="4"/>
      <c r="C208"/>
      <c r="D208" s="4"/>
      <c r="E208" s="4"/>
      <c r="G208" s="4"/>
      <c r="H208" s="3"/>
    </row>
    <row r="209" spans="1:8" x14ac:dyDescent="0.25">
      <c r="A209"/>
      <c r="B209" s="4"/>
      <c r="C209"/>
      <c r="D209" s="4"/>
      <c r="E209" s="4"/>
      <c r="G209" s="4"/>
      <c r="H209" s="3"/>
    </row>
    <row r="210" spans="1:8" x14ac:dyDescent="0.25">
      <c r="A210"/>
      <c r="B210" s="4"/>
      <c r="C210"/>
      <c r="D210" s="4"/>
      <c r="E210" s="4"/>
      <c r="G210" s="4"/>
      <c r="H210" s="3"/>
    </row>
    <row r="211" spans="1:8" x14ac:dyDescent="0.25">
      <c r="A211"/>
      <c r="B211" s="4"/>
      <c r="C211"/>
      <c r="D211" s="4"/>
      <c r="E211" s="4"/>
      <c r="G211" s="4"/>
      <c r="H211" s="3"/>
    </row>
    <row r="212" spans="1:8" x14ac:dyDescent="0.25">
      <c r="A212"/>
      <c r="B212" s="4"/>
      <c r="C212"/>
      <c r="D212" s="4"/>
      <c r="E212" s="4"/>
      <c r="G212" s="4"/>
      <c r="H212" s="3"/>
    </row>
    <row r="213" spans="1:8" x14ac:dyDescent="0.25">
      <c r="A213"/>
      <c r="B213" s="4"/>
      <c r="C213"/>
      <c r="D213" s="4"/>
      <c r="E213" s="4"/>
      <c r="G213" s="4"/>
      <c r="H213" s="3"/>
    </row>
    <row r="214" spans="1:8" x14ac:dyDescent="0.25">
      <c r="A214"/>
      <c r="B214" s="4"/>
      <c r="C214"/>
      <c r="D214" s="4"/>
      <c r="E214" s="4"/>
      <c r="G214" s="4"/>
      <c r="H214" s="3"/>
    </row>
    <row r="215" spans="1:8" x14ac:dyDescent="0.25">
      <c r="A215"/>
      <c r="B215" s="4"/>
      <c r="C215"/>
      <c r="D215" s="4"/>
      <c r="E215" s="4"/>
      <c r="G215" s="4"/>
      <c r="H215" s="3"/>
    </row>
    <row r="216" spans="1:8" x14ac:dyDescent="0.25">
      <c r="A216"/>
      <c r="B216" s="4"/>
      <c r="C216"/>
      <c r="D216" s="4"/>
      <c r="E216" s="4"/>
      <c r="G216" s="4"/>
      <c r="H216" s="3"/>
    </row>
    <row r="217" spans="1:8" x14ac:dyDescent="0.25">
      <c r="A217"/>
      <c r="B217" s="4"/>
      <c r="C217"/>
      <c r="D217" s="4"/>
      <c r="E217" s="4"/>
      <c r="G217" s="4"/>
      <c r="H217" s="3"/>
    </row>
    <row r="218" spans="1:8" x14ac:dyDescent="0.25">
      <c r="A218"/>
      <c r="B218" s="4"/>
      <c r="C218"/>
      <c r="D218" s="4"/>
      <c r="E218" s="4"/>
      <c r="G218" s="4"/>
      <c r="H218" s="3"/>
    </row>
    <row r="219" spans="1:8" x14ac:dyDescent="0.25">
      <c r="A219"/>
      <c r="B219" s="4"/>
      <c r="C219"/>
      <c r="D219" s="4"/>
      <c r="E219" s="4"/>
      <c r="G219" s="4"/>
      <c r="H219" s="3"/>
    </row>
    <row r="220" spans="1:8" x14ac:dyDescent="0.25">
      <c r="A220"/>
      <c r="B220" s="4"/>
      <c r="C220"/>
      <c r="D220" s="4"/>
      <c r="E220" s="4"/>
      <c r="G220" s="4"/>
      <c r="H220" s="3"/>
    </row>
    <row r="221" spans="1:8" x14ac:dyDescent="0.25">
      <c r="A221"/>
      <c r="B221" s="4"/>
      <c r="C221"/>
      <c r="D221" s="4"/>
      <c r="E221" s="4"/>
      <c r="G221" s="4"/>
      <c r="H221" s="3"/>
    </row>
    <row r="222" spans="1:8" x14ac:dyDescent="0.25">
      <c r="A222"/>
      <c r="B222" s="4"/>
      <c r="C222"/>
      <c r="D222" s="4"/>
      <c r="E222" s="4"/>
      <c r="G222" s="4"/>
      <c r="H222" s="3"/>
    </row>
    <row r="223" spans="1:8" x14ac:dyDescent="0.25">
      <c r="A223"/>
      <c r="B223" s="4"/>
      <c r="C223"/>
      <c r="D223" s="4"/>
      <c r="E223" s="4"/>
      <c r="G223" s="4"/>
      <c r="H223" s="3"/>
    </row>
    <row r="224" spans="1:8" x14ac:dyDescent="0.25">
      <c r="A224"/>
      <c r="B224" s="4"/>
      <c r="C224"/>
      <c r="D224" s="4"/>
      <c r="E224" s="4"/>
      <c r="G224" s="4"/>
      <c r="H224" s="3"/>
    </row>
    <row r="225" spans="1:8" x14ac:dyDescent="0.25">
      <c r="A225"/>
      <c r="B225" s="4"/>
      <c r="C225"/>
      <c r="D225" s="4"/>
      <c r="E225" s="4"/>
      <c r="G225" s="4"/>
      <c r="H225" s="3"/>
    </row>
    <row r="226" spans="1:8" x14ac:dyDescent="0.25">
      <c r="A226"/>
      <c r="B226" s="4"/>
      <c r="C226"/>
      <c r="D226" s="4"/>
      <c r="E226" s="4"/>
      <c r="G226" s="4"/>
      <c r="H226" s="3"/>
    </row>
    <row r="227" spans="1:8" x14ac:dyDescent="0.25">
      <c r="A227"/>
      <c r="B227" s="4"/>
      <c r="C227"/>
      <c r="D227" s="4"/>
      <c r="E227" s="4"/>
      <c r="G227" s="4"/>
      <c r="H227" s="3"/>
    </row>
    <row r="228" spans="1:8" x14ac:dyDescent="0.25">
      <c r="A228"/>
      <c r="B228" s="4"/>
      <c r="C228"/>
      <c r="D228" s="4"/>
      <c r="E228" s="4"/>
      <c r="G228" s="4"/>
      <c r="H228" s="3"/>
    </row>
    <row r="229" spans="1:8" x14ac:dyDescent="0.25">
      <c r="A229"/>
      <c r="B229" s="4"/>
      <c r="C229"/>
      <c r="D229" s="4"/>
      <c r="E229" s="4"/>
      <c r="G229" s="4"/>
      <c r="H229" s="3"/>
    </row>
    <row r="230" spans="1:8" x14ac:dyDescent="0.25">
      <c r="A230"/>
      <c r="B230" s="4"/>
      <c r="C230"/>
      <c r="D230" s="4"/>
      <c r="E230" s="4"/>
      <c r="G230" s="4"/>
      <c r="H230" s="3"/>
    </row>
    <row r="231" spans="1:8" x14ac:dyDescent="0.25">
      <c r="A231"/>
      <c r="B231" s="4"/>
      <c r="C231"/>
      <c r="D231" s="4"/>
      <c r="E231" s="4"/>
      <c r="G231" s="4"/>
      <c r="H231" s="3"/>
    </row>
    <row r="232" spans="1:8" x14ac:dyDescent="0.25">
      <c r="A232"/>
      <c r="B232" s="4"/>
      <c r="C232"/>
      <c r="D232" s="4"/>
      <c r="E232" s="4"/>
      <c r="G232" s="4"/>
      <c r="H232" s="3"/>
    </row>
    <row r="233" spans="1:8" x14ac:dyDescent="0.25">
      <c r="A233"/>
      <c r="B233" s="4"/>
      <c r="C233"/>
      <c r="D233" s="4"/>
      <c r="E233" s="4"/>
      <c r="G233" s="4"/>
      <c r="H233" s="3"/>
    </row>
    <row r="234" spans="1:8" x14ac:dyDescent="0.25">
      <c r="A234"/>
      <c r="B234" s="4"/>
      <c r="C234"/>
      <c r="D234" s="4"/>
      <c r="E234" s="4"/>
      <c r="G234" s="4"/>
      <c r="H234" s="3"/>
    </row>
    <row r="235" spans="1:8" x14ac:dyDescent="0.25">
      <c r="A235"/>
      <c r="B235" s="4"/>
      <c r="C235"/>
      <c r="D235" s="4"/>
      <c r="E235" s="4"/>
      <c r="G235" s="4"/>
      <c r="H235" s="3"/>
    </row>
    <row r="236" spans="1:8" x14ac:dyDescent="0.25">
      <c r="A236"/>
      <c r="B236" s="4"/>
      <c r="C236"/>
      <c r="D236" s="4"/>
      <c r="E236" s="4"/>
      <c r="G236" s="4"/>
      <c r="H236" s="3"/>
    </row>
    <row r="237" spans="1:8" x14ac:dyDescent="0.25">
      <c r="A237"/>
      <c r="B237" s="4"/>
      <c r="C237"/>
      <c r="D237" s="4"/>
      <c r="E237" s="4"/>
      <c r="G237" s="4"/>
      <c r="H237" s="3"/>
    </row>
    <row r="238" spans="1:8" x14ac:dyDescent="0.25">
      <c r="A238"/>
      <c r="B238" s="4"/>
      <c r="C238"/>
      <c r="D238" s="4"/>
      <c r="E238" s="4"/>
      <c r="G238" s="4"/>
      <c r="H238" s="3"/>
    </row>
    <row r="239" spans="1:8" x14ac:dyDescent="0.25">
      <c r="A239"/>
      <c r="B239" s="4"/>
      <c r="C239"/>
      <c r="D239" s="4"/>
      <c r="E239" s="4"/>
      <c r="G239" s="4"/>
      <c r="H239" s="3"/>
    </row>
    <row r="240" spans="1:8" x14ac:dyDescent="0.25">
      <c r="A240"/>
      <c r="B240" s="4"/>
      <c r="C240"/>
      <c r="D240" s="4"/>
      <c r="E240" s="4"/>
      <c r="G240" s="4"/>
      <c r="H240" s="3"/>
    </row>
    <row r="241" spans="1:8" x14ac:dyDescent="0.25">
      <c r="A241"/>
      <c r="B241" s="4"/>
      <c r="C241"/>
      <c r="D241" s="4"/>
      <c r="E241" s="4"/>
      <c r="G241" s="4"/>
      <c r="H241" s="3"/>
    </row>
    <row r="242" spans="1:8" x14ac:dyDescent="0.25">
      <c r="A242"/>
      <c r="B242" s="4"/>
      <c r="C242"/>
      <c r="D242" s="4"/>
      <c r="E242" s="4"/>
      <c r="G242" s="4"/>
      <c r="H242" s="3"/>
    </row>
    <row r="243" spans="1:8" x14ac:dyDescent="0.25">
      <c r="A243"/>
      <c r="B243" s="4"/>
      <c r="C243"/>
      <c r="D243" s="4"/>
      <c r="E243" s="4"/>
      <c r="G243" s="4"/>
      <c r="H243" s="3"/>
    </row>
    <row r="244" spans="1:8" x14ac:dyDescent="0.25">
      <c r="A244"/>
      <c r="B244" s="4"/>
      <c r="C244"/>
      <c r="D244" s="4"/>
      <c r="E244" s="4"/>
      <c r="G244" s="4"/>
      <c r="H244" s="3"/>
    </row>
    <row r="245" spans="1:8" x14ac:dyDescent="0.25">
      <c r="A245"/>
      <c r="B245" s="4"/>
      <c r="C245"/>
      <c r="D245" s="4"/>
      <c r="E245" s="4"/>
      <c r="G245" s="4"/>
      <c r="H245" s="3"/>
    </row>
    <row r="246" spans="1:8" x14ac:dyDescent="0.25">
      <c r="A246"/>
      <c r="B246" s="4"/>
      <c r="C246"/>
      <c r="D246" s="4"/>
      <c r="E246" s="4"/>
      <c r="G246" s="4"/>
      <c r="H246" s="3"/>
    </row>
    <row r="247" spans="1:8" x14ac:dyDescent="0.25">
      <c r="A247"/>
      <c r="B247" s="4"/>
      <c r="C247"/>
      <c r="D247" s="4"/>
      <c r="E247" s="4"/>
      <c r="G247" s="4"/>
      <c r="H247" s="3"/>
    </row>
    <row r="248" spans="1:8" x14ac:dyDescent="0.25">
      <c r="A248"/>
      <c r="B248" s="4"/>
      <c r="C248"/>
      <c r="D248" s="4"/>
      <c r="E248" s="4"/>
      <c r="G248" s="4"/>
      <c r="H248" s="3"/>
    </row>
    <row r="249" spans="1:8" x14ac:dyDescent="0.25">
      <c r="A249"/>
      <c r="B249" s="4"/>
      <c r="C249"/>
      <c r="D249" s="4"/>
      <c r="E249" s="4"/>
      <c r="G249" s="4"/>
      <c r="H249" s="3"/>
    </row>
    <row r="250" spans="1:8" x14ac:dyDescent="0.25">
      <c r="A250"/>
      <c r="B250" s="4"/>
      <c r="C250"/>
      <c r="D250" s="4"/>
      <c r="E250" s="4"/>
      <c r="G250" s="4"/>
      <c r="H250" s="3"/>
    </row>
    <row r="251" spans="1:8" x14ac:dyDescent="0.25">
      <c r="A251"/>
      <c r="B251" s="4"/>
      <c r="C251"/>
      <c r="D251" s="4"/>
      <c r="E251" s="4"/>
      <c r="G251" s="4"/>
      <c r="H251" s="3"/>
    </row>
    <row r="252" spans="1:8" x14ac:dyDescent="0.25">
      <c r="A252"/>
      <c r="B252" s="4"/>
      <c r="C252"/>
      <c r="D252" s="4"/>
      <c r="E252" s="4"/>
      <c r="G252" s="4"/>
      <c r="H252" s="3"/>
    </row>
    <row r="253" spans="1:8" x14ac:dyDescent="0.25">
      <c r="A253"/>
      <c r="B253" s="4"/>
      <c r="C253"/>
      <c r="D253" s="4"/>
      <c r="E253" s="4"/>
      <c r="G253" s="4"/>
      <c r="H253" s="3"/>
    </row>
    <row r="254" spans="1:8" x14ac:dyDescent="0.25">
      <c r="A254"/>
      <c r="B254" s="4"/>
      <c r="C254"/>
      <c r="D254" s="4"/>
      <c r="E254" s="4"/>
      <c r="G254" s="4"/>
      <c r="H254" s="3"/>
    </row>
    <row r="255" spans="1:8" x14ac:dyDescent="0.25">
      <c r="A255"/>
      <c r="B255" s="4"/>
      <c r="C255"/>
      <c r="D255" s="4"/>
      <c r="E255" s="4"/>
      <c r="G255" s="4"/>
      <c r="H255" s="3"/>
    </row>
    <row r="256" spans="1:8" x14ac:dyDescent="0.25">
      <c r="A256"/>
      <c r="B256" s="4"/>
      <c r="C256"/>
      <c r="D256" s="4"/>
      <c r="E256" s="4"/>
      <c r="G256" s="4"/>
      <c r="H256" s="3"/>
    </row>
    <row r="257" spans="1:8" x14ac:dyDescent="0.25">
      <c r="A257"/>
      <c r="B257" s="4"/>
      <c r="C257"/>
      <c r="D257" s="4"/>
      <c r="E257" s="4"/>
      <c r="G257" s="4"/>
      <c r="H257" s="3"/>
    </row>
    <row r="258" spans="1:8" x14ac:dyDescent="0.25">
      <c r="A258"/>
      <c r="B258" s="4"/>
      <c r="C258"/>
      <c r="D258" s="4"/>
      <c r="E258" s="4"/>
      <c r="G258" s="4"/>
      <c r="H258" s="3"/>
    </row>
    <row r="259" spans="1:8" x14ac:dyDescent="0.25">
      <c r="A259"/>
      <c r="B259" s="4"/>
      <c r="C259"/>
      <c r="D259" s="4"/>
      <c r="E259" s="4"/>
      <c r="G259" s="4"/>
      <c r="H259" s="3"/>
    </row>
    <row r="260" spans="1:8" x14ac:dyDescent="0.25">
      <c r="A260"/>
      <c r="B260" s="4"/>
      <c r="C260"/>
      <c r="D260" s="4"/>
      <c r="E260" s="4"/>
      <c r="G260" s="4"/>
      <c r="H260" s="3"/>
    </row>
    <row r="261" spans="1:8" x14ac:dyDescent="0.25">
      <c r="A261"/>
      <c r="B261" s="4"/>
      <c r="C261"/>
      <c r="D261" s="4"/>
      <c r="E261" s="4"/>
      <c r="G261" s="4"/>
      <c r="H261" s="3"/>
    </row>
    <row r="262" spans="1:8" x14ac:dyDescent="0.25">
      <c r="A262"/>
      <c r="B262" s="4"/>
      <c r="C262"/>
      <c r="D262" s="4"/>
      <c r="E262" s="4"/>
      <c r="G262" s="4"/>
      <c r="H262" s="3"/>
    </row>
    <row r="263" spans="1:8" x14ac:dyDescent="0.25">
      <c r="A263"/>
      <c r="B263" s="4"/>
      <c r="C263"/>
      <c r="D263" s="4"/>
      <c r="E263" s="4"/>
      <c r="G263" s="4"/>
      <c r="H263" s="3"/>
    </row>
    <row r="264" spans="1:8" x14ac:dyDescent="0.25">
      <c r="A264"/>
      <c r="B264" s="4"/>
      <c r="C264"/>
      <c r="D264" s="4"/>
      <c r="E264" s="4"/>
      <c r="G264" s="4"/>
      <c r="H264" s="3"/>
    </row>
    <row r="265" spans="1:8" x14ac:dyDescent="0.25">
      <c r="A265"/>
      <c r="B265" s="4"/>
      <c r="C265"/>
      <c r="D265" s="4"/>
      <c r="E265" s="4"/>
      <c r="G265" s="4"/>
      <c r="H265" s="3"/>
    </row>
    <row r="266" spans="1:8" x14ac:dyDescent="0.25">
      <c r="A266"/>
      <c r="B266" s="4"/>
      <c r="C266"/>
      <c r="D266" s="4"/>
      <c r="E266" s="4"/>
      <c r="G266" s="4"/>
      <c r="H266" s="3"/>
    </row>
    <row r="267" spans="1:8" x14ac:dyDescent="0.25">
      <c r="A267"/>
      <c r="B267" s="4"/>
      <c r="C267"/>
      <c r="D267" s="4"/>
      <c r="E267" s="4"/>
      <c r="G267" s="4"/>
      <c r="H267" s="3"/>
    </row>
    <row r="268" spans="1:8" x14ac:dyDescent="0.25">
      <c r="A268"/>
      <c r="B268" s="4"/>
      <c r="C268"/>
      <c r="D268" s="4"/>
      <c r="E268" s="4"/>
      <c r="G268" s="4"/>
      <c r="H268" s="3"/>
    </row>
    <row r="269" spans="1:8" x14ac:dyDescent="0.25">
      <c r="A269"/>
      <c r="B269" s="4"/>
      <c r="C269"/>
      <c r="D269" s="4"/>
      <c r="E269" s="4"/>
      <c r="G269" s="4"/>
      <c r="H269" s="3"/>
    </row>
    <row r="270" spans="1:8" x14ac:dyDescent="0.25">
      <c r="A270"/>
      <c r="B270" s="4"/>
      <c r="C270"/>
      <c r="D270" s="4"/>
      <c r="E270" s="4"/>
      <c r="G270" s="4"/>
      <c r="H270" s="3"/>
    </row>
    <row r="271" spans="1:8" x14ac:dyDescent="0.25">
      <c r="A271"/>
      <c r="B271" s="4"/>
      <c r="C271"/>
      <c r="D271" s="4"/>
      <c r="E271" s="4"/>
      <c r="G271" s="4"/>
      <c r="H271" s="3"/>
    </row>
    <row r="272" spans="1:8" x14ac:dyDescent="0.25">
      <c r="A272"/>
      <c r="B272" s="4"/>
      <c r="C272"/>
      <c r="D272" s="4"/>
      <c r="E272" s="4"/>
      <c r="G272" s="4"/>
      <c r="H272" s="3"/>
    </row>
    <row r="273" spans="1:8" x14ac:dyDescent="0.25">
      <c r="A273"/>
      <c r="B273" s="4"/>
      <c r="C273"/>
      <c r="D273" s="4"/>
      <c r="E273" s="4"/>
      <c r="G273" s="4"/>
      <c r="H273" s="3"/>
    </row>
    <row r="274" spans="1:8" x14ac:dyDescent="0.25">
      <c r="A274"/>
      <c r="B274" s="4"/>
      <c r="C274"/>
      <c r="D274" s="4"/>
      <c r="E274" s="4"/>
      <c r="G274" s="4"/>
      <c r="H274" s="3"/>
    </row>
    <row r="275" spans="1:8" x14ac:dyDescent="0.25">
      <c r="A275"/>
      <c r="B275" s="4"/>
      <c r="C275"/>
      <c r="D275" s="4"/>
      <c r="E275" s="4"/>
      <c r="G275" s="4"/>
      <c r="H275" s="3"/>
    </row>
    <row r="276" spans="1:8" x14ac:dyDescent="0.25">
      <c r="A276"/>
      <c r="B276" s="4"/>
      <c r="C276"/>
      <c r="D276" s="4"/>
      <c r="E276" s="4"/>
      <c r="G276" s="4"/>
      <c r="H276" s="3"/>
    </row>
    <row r="277" spans="1:8" x14ac:dyDescent="0.25">
      <c r="A277"/>
      <c r="B277" s="4"/>
      <c r="C277"/>
      <c r="D277" s="4"/>
      <c r="E277" s="4"/>
      <c r="G277" s="4"/>
      <c r="H277" s="3"/>
    </row>
    <row r="278" spans="1:8" x14ac:dyDescent="0.25">
      <c r="A278"/>
      <c r="B278" s="4"/>
      <c r="C278"/>
      <c r="D278" s="4"/>
      <c r="E278" s="4"/>
      <c r="G278" s="4"/>
      <c r="H278" s="3"/>
    </row>
    <row r="279" spans="1:8" x14ac:dyDescent="0.25">
      <c r="A279"/>
      <c r="B279" s="4"/>
      <c r="C279"/>
      <c r="D279" s="4"/>
      <c r="E279" s="4"/>
      <c r="G279" s="4"/>
      <c r="H279" s="3"/>
    </row>
    <row r="280" spans="1:8" x14ac:dyDescent="0.25">
      <c r="A280"/>
      <c r="B280" s="4"/>
      <c r="C280"/>
      <c r="D280" s="4"/>
      <c r="E280" s="4"/>
      <c r="G280" s="4"/>
      <c r="H280" s="3"/>
    </row>
    <row r="281" spans="1:8" x14ac:dyDescent="0.25">
      <c r="A281"/>
      <c r="B281" s="4"/>
      <c r="C281"/>
      <c r="D281" s="4"/>
      <c r="E281" s="4"/>
      <c r="G281" s="4"/>
      <c r="H281" s="3"/>
    </row>
    <row r="282" spans="1:8" x14ac:dyDescent="0.25">
      <c r="A282"/>
      <c r="B282" s="4"/>
      <c r="C282"/>
      <c r="D282" s="4"/>
      <c r="E282" s="4"/>
      <c r="G282" s="4"/>
      <c r="H282" s="3"/>
    </row>
    <row r="283" spans="1:8" x14ac:dyDescent="0.25">
      <c r="A283"/>
      <c r="B283" s="4"/>
      <c r="C283"/>
      <c r="D283" s="4"/>
      <c r="E283" s="4"/>
      <c r="G283" s="4"/>
      <c r="H283" s="3"/>
    </row>
    <row r="284" spans="1:8" x14ac:dyDescent="0.25">
      <c r="A284"/>
      <c r="B284" s="4"/>
      <c r="C284"/>
      <c r="D284" s="4"/>
      <c r="E284" s="4"/>
      <c r="G284" s="4"/>
      <c r="H284" s="3"/>
    </row>
    <row r="285" spans="1:8" x14ac:dyDescent="0.25">
      <c r="A285"/>
      <c r="B285" s="4"/>
      <c r="C285"/>
      <c r="D285" s="4"/>
      <c r="E285" s="4"/>
      <c r="G285" s="4"/>
      <c r="H285" s="3"/>
    </row>
    <row r="286" spans="1:8" x14ac:dyDescent="0.25">
      <c r="A286"/>
      <c r="B286" s="4"/>
      <c r="C286"/>
      <c r="D286" s="4"/>
      <c r="E286" s="4"/>
      <c r="G286" s="4"/>
      <c r="H286" s="3"/>
    </row>
    <row r="287" spans="1:8" x14ac:dyDescent="0.25">
      <c r="A287"/>
      <c r="B287" s="4"/>
      <c r="C287"/>
      <c r="D287" s="4"/>
      <c r="E287" s="4"/>
      <c r="G287" s="4"/>
      <c r="H287" s="3"/>
    </row>
    <row r="288" spans="1:8" x14ac:dyDescent="0.25">
      <c r="A288"/>
      <c r="B288" s="4"/>
      <c r="C288"/>
      <c r="D288" s="4"/>
      <c r="E288" s="4"/>
      <c r="G288" s="4"/>
      <c r="H288" s="3"/>
    </row>
    <row r="289" spans="1:8" x14ac:dyDescent="0.25">
      <c r="A289"/>
      <c r="B289" s="4"/>
      <c r="C289"/>
      <c r="D289" s="4"/>
      <c r="E289" s="4"/>
      <c r="G289" s="4"/>
      <c r="H289" s="3"/>
    </row>
    <row r="290" spans="1:8" x14ac:dyDescent="0.25">
      <c r="A290"/>
      <c r="B290" s="4"/>
      <c r="C290"/>
      <c r="D290" s="4"/>
      <c r="E290" s="4"/>
      <c r="G290" s="4"/>
      <c r="H290" s="3"/>
    </row>
    <row r="291" spans="1:8" x14ac:dyDescent="0.25">
      <c r="A291"/>
      <c r="B291" s="4"/>
      <c r="C291"/>
      <c r="D291" s="4"/>
      <c r="E291" s="4"/>
      <c r="G291" s="4"/>
      <c r="H291" s="3"/>
    </row>
    <row r="292" spans="1:8" x14ac:dyDescent="0.25">
      <c r="A292"/>
      <c r="B292" s="4"/>
      <c r="C292"/>
      <c r="D292" s="4"/>
      <c r="E292" s="4"/>
      <c r="G292" s="4"/>
      <c r="H292" s="3"/>
    </row>
    <row r="293" spans="1:8" x14ac:dyDescent="0.25">
      <c r="A293"/>
      <c r="B293" s="4"/>
      <c r="C293"/>
      <c r="D293" s="4"/>
      <c r="E293" s="4"/>
      <c r="G293" s="4"/>
      <c r="H293" s="3"/>
    </row>
    <row r="294" spans="1:8" x14ac:dyDescent="0.25">
      <c r="A294"/>
      <c r="B294" s="4"/>
      <c r="C294"/>
      <c r="D294" s="4"/>
      <c r="E294" s="4"/>
      <c r="G294" s="4"/>
      <c r="H294" s="3"/>
    </row>
    <row r="295" spans="1:8" x14ac:dyDescent="0.25">
      <c r="A295"/>
      <c r="B295" s="4"/>
      <c r="C295"/>
      <c r="D295" s="4"/>
      <c r="E295" s="4"/>
      <c r="G295" s="4"/>
      <c r="H295" s="3"/>
    </row>
    <row r="296" spans="1:8" x14ac:dyDescent="0.25">
      <c r="A296"/>
      <c r="B296" s="4"/>
      <c r="C296"/>
      <c r="D296" s="4"/>
      <c r="E296" s="4"/>
      <c r="G296" s="4"/>
      <c r="H296" s="3"/>
    </row>
    <row r="297" spans="1:8" x14ac:dyDescent="0.25">
      <c r="A297"/>
      <c r="B297" s="4"/>
      <c r="C297"/>
      <c r="D297" s="4"/>
      <c r="E297" s="4"/>
      <c r="G297" s="4"/>
      <c r="H297" s="3"/>
    </row>
    <row r="298" spans="1:8" x14ac:dyDescent="0.25">
      <c r="A298"/>
      <c r="B298" s="4"/>
      <c r="C298"/>
      <c r="D298" s="4"/>
      <c r="E298" s="4"/>
      <c r="G298" s="4"/>
      <c r="H298" s="3"/>
    </row>
    <row r="299" spans="1:8" x14ac:dyDescent="0.25">
      <c r="A299"/>
      <c r="B299" s="4"/>
      <c r="C299"/>
      <c r="D299" s="4"/>
      <c r="E299" s="4"/>
      <c r="G299" s="4"/>
      <c r="H299" s="3"/>
    </row>
    <row r="300" spans="1:8" x14ac:dyDescent="0.25">
      <c r="A300"/>
      <c r="B300" s="4"/>
      <c r="C300"/>
      <c r="D300" s="4"/>
      <c r="E300" s="4"/>
      <c r="G300" s="4"/>
      <c r="H300" s="3"/>
    </row>
    <row r="301" spans="1:8" x14ac:dyDescent="0.25">
      <c r="A301"/>
      <c r="B301" s="4"/>
      <c r="C301"/>
      <c r="D301" s="4"/>
      <c r="E301" s="4"/>
      <c r="G301" s="4"/>
      <c r="H301" s="3"/>
    </row>
    <row r="302" spans="1:8" x14ac:dyDescent="0.25">
      <c r="A302"/>
      <c r="B302" s="4"/>
      <c r="C302"/>
      <c r="D302" s="4"/>
      <c r="E302" s="4"/>
      <c r="G302" s="4"/>
      <c r="H302" s="3"/>
    </row>
    <row r="303" spans="1:8" x14ac:dyDescent="0.25">
      <c r="A303"/>
      <c r="B303" s="4"/>
      <c r="C303"/>
      <c r="D303" s="4"/>
      <c r="E303" s="4"/>
      <c r="G303" s="4"/>
      <c r="H303" s="3"/>
    </row>
    <row r="304" spans="1:8" x14ac:dyDescent="0.25">
      <c r="A304"/>
      <c r="B304" s="4"/>
      <c r="C304"/>
      <c r="D304" s="4"/>
      <c r="E304" s="4"/>
      <c r="G304" s="4"/>
      <c r="H304" s="3"/>
    </row>
    <row r="305" spans="1:8" x14ac:dyDescent="0.25">
      <c r="A305"/>
      <c r="B305" s="4"/>
      <c r="C305"/>
      <c r="D305" s="4"/>
      <c r="E305" s="4"/>
      <c r="G305" s="4"/>
      <c r="H305" s="3"/>
    </row>
    <row r="306" spans="1:8" x14ac:dyDescent="0.25">
      <c r="A306"/>
      <c r="B306" s="4"/>
      <c r="C306"/>
      <c r="D306" s="4"/>
      <c r="E306" s="4"/>
      <c r="G306" s="4"/>
      <c r="H306" s="3"/>
    </row>
    <row r="307" spans="1:8" x14ac:dyDescent="0.25">
      <c r="A307"/>
      <c r="B307" s="4"/>
      <c r="C307"/>
      <c r="D307" s="4"/>
      <c r="E307" s="4"/>
      <c r="G307" s="4"/>
      <c r="H307" s="3"/>
    </row>
    <row r="308" spans="1:8" x14ac:dyDescent="0.25">
      <c r="A308"/>
      <c r="B308" s="4"/>
      <c r="C308"/>
      <c r="D308" s="4"/>
      <c r="E308" s="4"/>
      <c r="G308" s="4"/>
      <c r="H308" s="3"/>
    </row>
    <row r="309" spans="1:8" x14ac:dyDescent="0.25">
      <c r="A309"/>
      <c r="B309" s="4"/>
      <c r="C309"/>
      <c r="D309" s="4"/>
      <c r="E309" s="4"/>
      <c r="G309" s="4"/>
      <c r="H309" s="3"/>
    </row>
    <row r="310" spans="1:8" x14ac:dyDescent="0.25">
      <c r="A310"/>
      <c r="B310" s="4"/>
      <c r="C310"/>
      <c r="D310" s="4"/>
      <c r="E310" s="4"/>
      <c r="G310" s="4"/>
      <c r="H310" s="3"/>
    </row>
    <row r="311" spans="1:8" x14ac:dyDescent="0.25">
      <c r="A311"/>
      <c r="B311" s="4"/>
      <c r="C311"/>
      <c r="D311" s="4"/>
      <c r="E311" s="4"/>
      <c r="G311" s="4"/>
      <c r="H311" s="3"/>
    </row>
    <row r="312" spans="1:8" x14ac:dyDescent="0.25">
      <c r="A312"/>
      <c r="B312" s="4"/>
      <c r="C312"/>
      <c r="D312" s="4"/>
      <c r="E312" s="4"/>
      <c r="G312" s="4"/>
      <c r="H312" s="3"/>
    </row>
    <row r="313" spans="1:8" x14ac:dyDescent="0.25">
      <c r="A313"/>
      <c r="B313" s="4"/>
      <c r="C313"/>
      <c r="D313" s="4"/>
      <c r="E313" s="4"/>
      <c r="G313" s="4"/>
      <c r="H313" s="3"/>
    </row>
    <row r="314" spans="1:8" x14ac:dyDescent="0.25">
      <c r="A314"/>
      <c r="B314" s="4"/>
      <c r="C314"/>
      <c r="D314" s="4"/>
      <c r="E314" s="4"/>
      <c r="G314" s="4"/>
      <c r="H314" s="3"/>
    </row>
    <row r="315" spans="1:8" x14ac:dyDescent="0.25">
      <c r="A315"/>
      <c r="B315" s="4"/>
      <c r="C315"/>
      <c r="D315" s="4"/>
      <c r="E315" s="4"/>
      <c r="G315" s="4"/>
      <c r="H315" s="3"/>
    </row>
    <row r="316" spans="1:8" x14ac:dyDescent="0.25">
      <c r="A316"/>
      <c r="B316" s="4"/>
      <c r="C316"/>
      <c r="D316" s="4"/>
      <c r="E316" s="4"/>
      <c r="G316" s="4"/>
      <c r="H316" s="3"/>
    </row>
    <row r="317" spans="1:8" x14ac:dyDescent="0.25">
      <c r="A317"/>
      <c r="B317" s="4"/>
      <c r="C317"/>
      <c r="D317" s="4"/>
      <c r="E317" s="4"/>
      <c r="G317" s="4"/>
      <c r="H317" s="3"/>
    </row>
    <row r="318" spans="1:8" x14ac:dyDescent="0.25">
      <c r="A318"/>
      <c r="B318" s="4"/>
      <c r="C318"/>
      <c r="D318" s="4"/>
      <c r="E318" s="4"/>
      <c r="G318" s="4"/>
      <c r="H318" s="3"/>
    </row>
    <row r="319" spans="1:8" x14ac:dyDescent="0.25">
      <c r="A319"/>
      <c r="B319" s="4"/>
      <c r="C319"/>
      <c r="D319" s="4"/>
      <c r="E319" s="4"/>
      <c r="G319" s="4"/>
      <c r="H319" s="3"/>
    </row>
    <row r="320" spans="1:8" x14ac:dyDescent="0.25">
      <c r="A320"/>
      <c r="B320" s="4"/>
      <c r="C320"/>
      <c r="D320" s="4"/>
      <c r="E320" s="4"/>
      <c r="G320" s="4"/>
      <c r="H320" s="3"/>
    </row>
    <row r="321" spans="1:8" x14ac:dyDescent="0.25">
      <c r="A321"/>
      <c r="B321" s="4"/>
      <c r="C321"/>
      <c r="D321" s="4"/>
      <c r="E321" s="4"/>
      <c r="G321" s="4"/>
      <c r="H321" s="3"/>
    </row>
    <row r="322" spans="1:8" x14ac:dyDescent="0.25">
      <c r="A322"/>
      <c r="B322" s="4"/>
      <c r="C322"/>
      <c r="D322" s="4"/>
      <c r="E322" s="4"/>
      <c r="G322" s="4"/>
      <c r="H322" s="3"/>
    </row>
    <row r="323" spans="1:8" x14ac:dyDescent="0.25">
      <c r="A323"/>
      <c r="B323" s="4"/>
      <c r="C323"/>
      <c r="D323" s="4"/>
      <c r="E323" s="4"/>
      <c r="G323" s="4"/>
      <c r="H323" s="3"/>
    </row>
    <row r="324" spans="1:8" x14ac:dyDescent="0.25">
      <c r="A324"/>
      <c r="B324" s="4"/>
      <c r="C324"/>
      <c r="D324" s="4"/>
      <c r="E324" s="4"/>
      <c r="G324" s="4"/>
      <c r="H324" s="3"/>
    </row>
    <row r="325" spans="1:8" x14ac:dyDescent="0.25">
      <c r="A325"/>
      <c r="B325" s="4"/>
      <c r="C325"/>
      <c r="D325" s="4"/>
      <c r="E325" s="4"/>
      <c r="G325" s="4"/>
      <c r="H325" s="3"/>
    </row>
    <row r="326" spans="1:8" x14ac:dyDescent="0.25">
      <c r="A326"/>
      <c r="B326" s="4"/>
      <c r="C326"/>
      <c r="D326" s="4"/>
      <c r="E326" s="4"/>
      <c r="G326" s="4"/>
      <c r="H326" s="3"/>
    </row>
    <row r="327" spans="1:8" x14ac:dyDescent="0.25">
      <c r="A327"/>
      <c r="B327" s="4"/>
      <c r="C327"/>
      <c r="D327" s="4"/>
      <c r="E327" s="4"/>
      <c r="G327" s="4"/>
      <c r="H327" s="3"/>
    </row>
    <row r="328" spans="1:8" x14ac:dyDescent="0.25">
      <c r="A328"/>
      <c r="B328" s="4"/>
      <c r="C328"/>
      <c r="D328" s="4"/>
      <c r="E328" s="4"/>
      <c r="G328" s="4"/>
      <c r="H328" s="3"/>
    </row>
    <row r="329" spans="1:8" x14ac:dyDescent="0.25">
      <c r="A329"/>
      <c r="B329" s="4"/>
      <c r="C329"/>
      <c r="D329" s="4"/>
      <c r="E329" s="4"/>
      <c r="G329" s="4"/>
      <c r="H329" s="3"/>
    </row>
    <row r="330" spans="1:8" x14ac:dyDescent="0.25">
      <c r="A330"/>
      <c r="B330" s="4"/>
      <c r="C330"/>
      <c r="D330" s="4"/>
      <c r="E330" s="4"/>
      <c r="G330" s="4"/>
      <c r="H330" s="3"/>
    </row>
  </sheetData>
  <autoFilter ref="B6:I135" xr:uid="{00000000-0009-0000-0000-000000000000}">
    <filterColumn colId="0">
      <customFilters>
        <customFilter operator="notEqual" val=" "/>
      </customFilters>
    </filterColumn>
  </autoFilter>
  <sortState xmlns:xlrd2="http://schemas.microsoft.com/office/spreadsheetml/2017/richdata2" ref="A60:D73">
    <sortCondition ref="A59"/>
  </sortState>
  <mergeCells count="8">
    <mergeCell ref="AI5:AP5"/>
    <mergeCell ref="AQ5:AX5"/>
    <mergeCell ref="AY5:BF5"/>
    <mergeCell ref="B6:B7"/>
    <mergeCell ref="C5:J5"/>
    <mergeCell ref="K5:R5"/>
    <mergeCell ref="S5:Z5"/>
    <mergeCell ref="AA5:AH5"/>
  </mergeCells>
  <conditionalFormatting sqref="I9:I11 I13:I21 I23:I26 I28:I37 I39:I41 I43:I48 I50:I67 I69:I96 I98:I103 I105:I118 I120:I135">
    <cfRule type="cellIs" dxfId="59" priority="26" operator="equal">
      <formula>0</formula>
    </cfRule>
    <cfRule type="cellIs" dxfId="58" priority="27" operator="greaterThan">
      <formula>0</formula>
    </cfRule>
    <cfRule type="cellIs" dxfId="57" priority="29" operator="lessThan">
      <formula>0</formula>
    </cfRule>
  </conditionalFormatting>
  <conditionalFormatting sqref="Q9:Q11 Q13:Q21 Q23:Q26 Q28:Q37 Q39:Q41 Q43:Q48 Q50:Q67 Q69:Q96 Q98:Q103 Q105:Q118 Q120:Q135">
    <cfRule type="cellIs" dxfId="56" priority="22" operator="equal">
      <formula>0</formula>
    </cfRule>
    <cfRule type="cellIs" dxfId="55" priority="23" operator="greaterThan">
      <formula>0</formula>
    </cfRule>
    <cfRule type="cellIs" dxfId="54" priority="24" operator="lessThan">
      <formula>0</formula>
    </cfRule>
  </conditionalFormatting>
  <conditionalFormatting sqref="Y9:Y11 Y13:Y21 Y23:Y26 Y28:Y37 Y39:Y41 Y43:Y48 Y50:Y67 Y69:Y96 Y98:Y103 Y105:Y118 Y120:Y135">
    <cfRule type="cellIs" dxfId="53" priority="18" operator="equal">
      <formula>0</formula>
    </cfRule>
    <cfRule type="cellIs" dxfId="52" priority="19" operator="greaterThan">
      <formula>0</formula>
    </cfRule>
    <cfRule type="cellIs" dxfId="51" priority="20" operator="lessThan">
      <formula>0</formula>
    </cfRule>
  </conditionalFormatting>
  <conditionalFormatting sqref="AG9:AG11 AG13:AG21 AG23:AG26 AG28:AG37 AG39:AG41 AG43:AG48 AG50:AG67 AG69:AG96 AG98:AG103 AG105:AG118 AG120:AG135">
    <cfRule type="cellIs" dxfId="50" priority="14" operator="equal">
      <formula>0</formula>
    </cfRule>
    <cfRule type="cellIs" dxfId="49" priority="15" operator="greaterThan">
      <formula>0</formula>
    </cfRule>
    <cfRule type="cellIs" dxfId="48" priority="16" operator="lessThan">
      <formula>0</formula>
    </cfRule>
  </conditionalFormatting>
  <conditionalFormatting sqref="AO9:AO11 AO13:AO21 AO23:AO26 AO28:AO37 AO39:AO41 AO43:AO48 AO50:AO67 AO69:AO96 AO98:AO103 AO105:AO118 AO120:AO135">
    <cfRule type="cellIs" dxfId="47" priority="10" operator="equal">
      <formula>0</formula>
    </cfRule>
    <cfRule type="cellIs" dxfId="46" priority="11" operator="greaterThan">
      <formula>0</formula>
    </cfRule>
    <cfRule type="cellIs" dxfId="45" priority="12" operator="lessThan">
      <formula>0</formula>
    </cfRule>
  </conditionalFormatting>
  <conditionalFormatting sqref="AW9:AW11 AW13:AW21 AW23:AW26 AW28:AW37 AW39:AW41 AW43:AW48 AW50:AW67 AW69:AW96 AW98:AW103 AW105:AW118 AW120:AW135">
    <cfRule type="cellIs" dxfId="44" priority="6" operator="equal">
      <formula>0</formula>
    </cfRule>
    <cfRule type="cellIs" dxfId="43" priority="7" operator="greaterThan">
      <formula>0</formula>
    </cfRule>
    <cfRule type="cellIs" dxfId="42" priority="8" operator="lessThan">
      <formula>0</formula>
    </cfRule>
  </conditionalFormatting>
  <conditionalFormatting sqref="BE9:BE11 BE13:BE21 BE23:BE26 BE28:BE37 BE39:BE41 BE43:BE48 BE50:BE67 BE69:BE96 BE98:BE103 BE105:BE118 BE120:BE135">
    <cfRule type="cellIs" dxfId="41" priority="2" operator="equal">
      <formula>0</formula>
    </cfRule>
    <cfRule type="cellIs" dxfId="40" priority="3" operator="greaterThan">
      <formula>0</formula>
    </cfRule>
    <cfRule type="cellIs" dxfId="39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" id="{CD089A59-8C59-4E2D-A695-4B35D12AF8A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I9:I11 I28:I37 I23:I26 I13:I21 I39:I41 I43:I48 I50:I67 I69:I96 I98:I103 I105:I118 I120:I135</xm:sqref>
        </x14:conditionalFormatting>
        <x14:conditionalFormatting xmlns:xm="http://schemas.microsoft.com/office/excel/2006/main">
          <x14:cfRule type="iconSet" priority="21" id="{8342E28D-6D56-4678-B268-BD5D3CC176E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Q9:Q11 Q28:Q37 Q23:Q26 Q13:Q21 Q39:Q41 Q43:Q48 Q50:Q67 Q69:Q96 Q98:Q103 Q105:Q118 Q120:Q135</xm:sqref>
        </x14:conditionalFormatting>
        <x14:conditionalFormatting xmlns:xm="http://schemas.microsoft.com/office/excel/2006/main">
          <x14:cfRule type="iconSet" priority="17" id="{912AE9E5-F419-48C4-B509-2495D1EAA7A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Y9:Y11 Y28:Y37 Y23:Y26 Y13:Y21 Y39:Y41 Y43:Y48 Y50:Y67 Y69:Y96 Y98:Y103 Y105:Y118 Y120:Y135</xm:sqref>
        </x14:conditionalFormatting>
        <x14:conditionalFormatting xmlns:xm="http://schemas.microsoft.com/office/excel/2006/main">
          <x14:cfRule type="iconSet" priority="13" id="{EE79D9A5-381A-40AB-A468-1F984572294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AG9:AG11 AG28:AG37 AG23:AG26 AG13:AG21 AG39:AG41 AG43:AG48 AG50:AG67 AG69:AG96 AG98:AG103 AG105:AG118 AG120:AG135</xm:sqref>
        </x14:conditionalFormatting>
        <x14:conditionalFormatting xmlns:xm="http://schemas.microsoft.com/office/excel/2006/main">
          <x14:cfRule type="iconSet" priority="9" id="{2AAAC1F3-8123-4124-98AD-3A051DC0B55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AO9:AO11 AO28:AO37 AO23:AO26 AO13:AO21 AO39:AO41 AO43:AO48 AO50:AO67 AO69:AO96 AO98:AO103 AO105:AO118 AO120:AO135</xm:sqref>
        </x14:conditionalFormatting>
        <x14:conditionalFormatting xmlns:xm="http://schemas.microsoft.com/office/excel/2006/main">
          <x14:cfRule type="iconSet" priority="5" id="{AA0DBEC0-C282-48DF-810F-5F1C5E6FDCB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AW9:AW11 AW28:AW37 AW23:AW26 AW13:AW21 AW39:AW41 AW43:AW48 AW50:AW67 AW69:AW96 AW98:AW103 AW105:AW118 AW120:AW135</xm:sqref>
        </x14:conditionalFormatting>
        <x14:conditionalFormatting xmlns:xm="http://schemas.microsoft.com/office/excel/2006/main">
          <x14:cfRule type="iconSet" priority="1" id="{3A4A7DE0-0400-4B3C-8C8E-34EE566A47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BE9:BE11 BE28:BE37 BE23:BE26 BE13:BE21 BE39:BE41 BE43:BE48 BE50:BE67 BE69:BE96 BE98:BE103 BE105:BE118 BE120:BE135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C12"/>
  <sheetViews>
    <sheetView workbookViewId="0">
      <selection activeCell="F6" sqref="E6:F6"/>
    </sheetView>
  </sheetViews>
  <sheetFormatPr baseColWidth="10" defaultRowHeight="15" x14ac:dyDescent="0.25"/>
  <cols>
    <col min="2" max="3" width="35.7109375" customWidth="1"/>
  </cols>
  <sheetData>
    <row r="1" spans="2:3" ht="25.5" customHeight="1" x14ac:dyDescent="0.25">
      <c r="B1" s="383" t="s">
        <v>47</v>
      </c>
      <c r="C1" s="383"/>
    </row>
    <row r="2" spans="2:3" ht="25.5" customHeight="1" x14ac:dyDescent="0.25">
      <c r="B2" s="6" t="s">
        <v>46</v>
      </c>
      <c r="C2" s="6" t="s">
        <v>45</v>
      </c>
    </row>
    <row r="3" spans="2:3" ht="25.5" customHeight="1" x14ac:dyDescent="0.25">
      <c r="B3" s="2"/>
      <c r="C3" s="2"/>
    </row>
    <row r="4" spans="2:3" ht="25.5" customHeight="1" x14ac:dyDescent="0.25">
      <c r="B4" s="2"/>
      <c r="C4" s="2"/>
    </row>
    <row r="5" spans="2:3" ht="25.5" customHeight="1" x14ac:dyDescent="0.25">
      <c r="B5" s="2"/>
      <c r="C5" s="2"/>
    </row>
    <row r="6" spans="2:3" ht="25.5" customHeight="1" x14ac:dyDescent="0.25">
      <c r="B6" s="2"/>
      <c r="C6" s="2"/>
    </row>
    <row r="7" spans="2:3" ht="25.5" customHeight="1" x14ac:dyDescent="0.25">
      <c r="B7" s="2"/>
      <c r="C7" s="2"/>
    </row>
    <row r="8" spans="2:3" ht="25.5" customHeight="1" x14ac:dyDescent="0.25">
      <c r="B8" s="2"/>
      <c r="C8" s="2"/>
    </row>
    <row r="9" spans="2:3" ht="25.5" customHeight="1" x14ac:dyDescent="0.25">
      <c r="B9" s="2"/>
      <c r="C9" s="2"/>
    </row>
    <row r="10" spans="2:3" ht="25.5" customHeight="1" x14ac:dyDescent="0.25">
      <c r="B10" s="2"/>
      <c r="C10" s="2"/>
    </row>
    <row r="11" spans="2:3" ht="25.5" customHeight="1" x14ac:dyDescent="0.25">
      <c r="B11" s="2"/>
      <c r="C11" s="2"/>
    </row>
    <row r="12" spans="2:3" ht="25.5" customHeight="1" x14ac:dyDescent="0.25">
      <c r="B12" s="2"/>
      <c r="C12" s="2"/>
    </row>
  </sheetData>
  <mergeCells count="1">
    <mergeCell ref="B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pageSetUpPr fitToPage="1"/>
  </sheetPr>
  <dimension ref="A1:CB179"/>
  <sheetViews>
    <sheetView topLeftCell="AV1" zoomScale="60" zoomScaleNormal="60" zoomScaleSheetLayoutView="50" zoomScalePageLayoutView="50" workbookViewId="0">
      <selection activeCell="BG2" sqref="BG2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3" width="27.140625" style="128" hidden="1" customWidth="1"/>
    <col min="4" max="4" width="27.140625" style="97" bestFit="1" customWidth="1"/>
    <col min="5" max="6" width="24.42578125" style="97" bestFit="1" customWidth="1"/>
    <col min="7" max="7" width="20.140625" style="97" customWidth="1"/>
    <col min="8" max="8" width="19.140625" style="97" customWidth="1"/>
    <col min="9" max="9" width="19.140625" style="101" customWidth="1"/>
    <col min="10" max="10" width="19.42578125" style="102" customWidth="1"/>
    <col min="11" max="11" width="18.7109375" style="97" customWidth="1"/>
    <col min="12" max="12" width="19.140625" style="97" customWidth="1"/>
    <col min="13" max="14" width="31.85546875" style="47" customWidth="1"/>
    <col min="38" max="38" width="23" bestFit="1" customWidth="1"/>
    <col min="49" max="49" width="23" bestFit="1" customWidth="1"/>
    <col min="60" max="60" width="23" bestFit="1" customWidth="1"/>
  </cols>
  <sheetData>
    <row r="1" spans="1:80" ht="29.25" thickBot="1" x14ac:dyDescent="0.5">
      <c r="D1" s="98" t="s">
        <v>305</v>
      </c>
      <c r="E1" s="99" t="s">
        <v>306</v>
      </c>
      <c r="F1" s="100" t="s">
        <v>307</v>
      </c>
      <c r="O1" s="98" t="s">
        <v>305</v>
      </c>
      <c r="P1" s="99" t="s">
        <v>306</v>
      </c>
      <c r="Q1" s="100" t="s">
        <v>307</v>
      </c>
      <c r="Z1" s="98" t="s">
        <v>305</v>
      </c>
      <c r="AA1" s="99" t="s">
        <v>306</v>
      </c>
      <c r="AB1" s="100" t="s">
        <v>307</v>
      </c>
      <c r="AK1" s="98" t="s">
        <v>305</v>
      </c>
      <c r="AL1" s="99" t="s">
        <v>306</v>
      </c>
      <c r="AM1" s="100" t="s">
        <v>307</v>
      </c>
      <c r="AV1" s="98" t="s">
        <v>305</v>
      </c>
      <c r="AW1" s="99" t="s">
        <v>306</v>
      </c>
      <c r="AX1" s="100" t="s">
        <v>307</v>
      </c>
      <c r="BG1" s="98" t="s">
        <v>305</v>
      </c>
      <c r="BH1" s="99" t="s">
        <v>306</v>
      </c>
      <c r="BI1" s="100" t="s">
        <v>307</v>
      </c>
      <c r="BR1" s="98"/>
      <c r="BS1" s="99"/>
      <c r="BT1" s="100"/>
    </row>
    <row r="2" spans="1:80" ht="29.25" thickBot="1" x14ac:dyDescent="0.5">
      <c r="D2" s="103">
        <f>N171</f>
        <v>0</v>
      </c>
      <c r="E2" s="197">
        <f>COCINA!$D$2</f>
        <v>0</v>
      </c>
      <c r="F2" s="198" t="e">
        <f>D2/E2</f>
        <v>#DIV/0!</v>
      </c>
      <c r="O2" s="103">
        <f>Y171</f>
        <v>-29353.8629</v>
      </c>
      <c r="P2" s="197">
        <f>COCINA!L2</f>
        <v>692848</v>
      </c>
      <c r="Q2" s="198">
        <f>O2/P2</f>
        <v>-4.236695913100709E-2</v>
      </c>
      <c r="Z2" s="103">
        <f>AJ171</f>
        <v>-29480.632399999999</v>
      </c>
      <c r="AA2" s="197">
        <f>COCINA!T2</f>
        <v>650350</v>
      </c>
      <c r="AB2" s="198">
        <f>Z2/AA2</f>
        <v>-4.5330410394403012E-2</v>
      </c>
      <c r="AK2" s="103">
        <f>AU171</f>
        <v>-34731.717449999996</v>
      </c>
      <c r="AL2" s="197">
        <f>COCINA!AB2</f>
        <v>1553940</v>
      </c>
      <c r="AM2" s="198">
        <f>AK2/AL2</f>
        <v>-2.2350745492103939E-2</v>
      </c>
      <c r="AV2" s="103">
        <f>BF171</f>
        <v>-54751.891799999998</v>
      </c>
      <c r="AW2" s="197">
        <f>COCINA!AJ2</f>
        <v>1797300</v>
      </c>
      <c r="AX2" s="198">
        <f>AV2/AW2</f>
        <v>-3.0463412785845433E-2</v>
      </c>
      <c r="BG2" s="103">
        <f>BQ171</f>
        <v>-26808.494633333328</v>
      </c>
      <c r="BH2" s="197">
        <f>COCINA!AR2</f>
        <v>1143100</v>
      </c>
      <c r="BI2" s="198">
        <f>BG2/BH2</f>
        <v>-2.3452449158720433E-2</v>
      </c>
      <c r="BR2" s="103"/>
      <c r="BS2" s="197"/>
      <c r="BT2" s="198"/>
    </row>
    <row r="3" spans="1:80" ht="29.25" thickBot="1" x14ac:dyDescent="0.5">
      <c r="D3" s="320"/>
      <c r="E3" s="321"/>
      <c r="F3" s="322"/>
    </row>
    <row r="4" spans="1:80" s="48" customFormat="1" ht="32.25" thickBot="1" x14ac:dyDescent="0.55000000000000004">
      <c r="C4" s="128"/>
      <c r="D4" s="384" t="s">
        <v>577</v>
      </c>
      <c r="E4" s="385"/>
      <c r="F4" s="385"/>
      <c r="G4" s="385"/>
      <c r="H4" s="385"/>
      <c r="I4" s="385"/>
      <c r="J4" s="385"/>
      <c r="K4" s="385"/>
      <c r="L4" s="385"/>
      <c r="M4" s="385"/>
      <c r="N4" s="386"/>
      <c r="O4" s="384" t="s">
        <v>578</v>
      </c>
      <c r="P4" s="385"/>
      <c r="Q4" s="385"/>
      <c r="R4" s="385"/>
      <c r="S4" s="385"/>
      <c r="T4" s="385"/>
      <c r="U4" s="385"/>
      <c r="V4" s="385"/>
      <c r="W4" s="385"/>
      <c r="X4" s="385"/>
      <c r="Y4" s="386"/>
      <c r="Z4" s="384" t="s">
        <v>584</v>
      </c>
      <c r="AA4" s="385"/>
      <c r="AB4" s="385"/>
      <c r="AC4" s="385"/>
      <c r="AD4" s="385"/>
      <c r="AE4" s="385"/>
      <c r="AF4" s="385"/>
      <c r="AG4" s="385"/>
      <c r="AH4" s="385"/>
      <c r="AI4" s="385"/>
      <c r="AJ4" s="386"/>
      <c r="AK4" s="384" t="s">
        <v>580</v>
      </c>
      <c r="AL4" s="385"/>
      <c r="AM4" s="385"/>
      <c r="AN4" s="385"/>
      <c r="AO4" s="385"/>
      <c r="AP4" s="385"/>
      <c r="AQ4" s="385"/>
      <c r="AR4" s="385"/>
      <c r="AS4" s="385"/>
      <c r="AT4" s="385"/>
      <c r="AU4" s="386"/>
      <c r="AV4" s="384" t="s">
        <v>581</v>
      </c>
      <c r="AW4" s="385"/>
      <c r="AX4" s="385"/>
      <c r="AY4" s="385"/>
      <c r="AZ4" s="385"/>
      <c r="BA4" s="385"/>
      <c r="BB4" s="385"/>
      <c r="BC4" s="385"/>
      <c r="BD4" s="385"/>
      <c r="BE4" s="385"/>
      <c r="BF4" s="386"/>
      <c r="BG4" s="384" t="s">
        <v>585</v>
      </c>
      <c r="BH4" s="385"/>
      <c r="BI4" s="385"/>
      <c r="BJ4" s="385"/>
      <c r="BK4" s="385"/>
      <c r="BL4" s="385"/>
      <c r="BM4" s="385"/>
      <c r="BN4" s="385"/>
      <c r="BO4" s="385"/>
      <c r="BP4" s="385"/>
      <c r="BQ4" s="386"/>
      <c r="BR4" s="384"/>
      <c r="BS4" s="385"/>
      <c r="BT4" s="385"/>
      <c r="BU4" s="385"/>
      <c r="BV4" s="385"/>
      <c r="BW4" s="385"/>
      <c r="BX4" s="385"/>
      <c r="BY4" s="385"/>
      <c r="BZ4" s="385"/>
      <c r="CA4" s="385"/>
      <c r="CB4" s="386"/>
    </row>
    <row r="5" spans="1:80" s="7" customFormat="1" ht="21.95" customHeight="1" x14ac:dyDescent="0.45">
      <c r="B5" s="208" t="s">
        <v>1</v>
      </c>
      <c r="C5" s="126"/>
      <c r="D5" s="325" t="s">
        <v>0</v>
      </c>
      <c r="E5" s="326"/>
      <c r="F5" s="327" t="s">
        <v>2</v>
      </c>
      <c r="G5" s="387" t="s">
        <v>302</v>
      </c>
      <c r="H5" s="388"/>
      <c r="I5" s="328" t="s">
        <v>69</v>
      </c>
      <c r="J5" s="329" t="s">
        <v>303</v>
      </c>
      <c r="K5" s="389" t="s">
        <v>57</v>
      </c>
      <c r="L5" s="390"/>
      <c r="M5" s="330" t="s">
        <v>70</v>
      </c>
      <c r="N5" s="331" t="s">
        <v>561</v>
      </c>
      <c r="O5" s="325" t="s">
        <v>0</v>
      </c>
      <c r="P5" s="326"/>
      <c r="Q5" s="327" t="s">
        <v>2</v>
      </c>
      <c r="R5" s="387" t="s">
        <v>302</v>
      </c>
      <c r="S5" s="388"/>
      <c r="T5" s="328" t="s">
        <v>69</v>
      </c>
      <c r="U5" s="329" t="s">
        <v>303</v>
      </c>
      <c r="V5" s="389" t="s">
        <v>57</v>
      </c>
      <c r="W5" s="390"/>
      <c r="X5" s="330" t="s">
        <v>70</v>
      </c>
      <c r="Y5" s="331" t="s">
        <v>561</v>
      </c>
      <c r="Z5" s="325" t="s">
        <v>0</v>
      </c>
      <c r="AA5" s="326"/>
      <c r="AB5" s="327" t="s">
        <v>2</v>
      </c>
      <c r="AC5" s="387" t="s">
        <v>302</v>
      </c>
      <c r="AD5" s="388"/>
      <c r="AE5" s="328" t="s">
        <v>69</v>
      </c>
      <c r="AF5" s="329" t="s">
        <v>303</v>
      </c>
      <c r="AG5" s="389" t="s">
        <v>57</v>
      </c>
      <c r="AH5" s="390"/>
      <c r="AI5" s="330" t="s">
        <v>70</v>
      </c>
      <c r="AJ5" s="331" t="s">
        <v>561</v>
      </c>
      <c r="AK5" s="325" t="s">
        <v>0</v>
      </c>
      <c r="AL5" s="326"/>
      <c r="AM5" s="327" t="s">
        <v>2</v>
      </c>
      <c r="AN5" s="387" t="s">
        <v>302</v>
      </c>
      <c r="AO5" s="388"/>
      <c r="AP5" s="328" t="s">
        <v>69</v>
      </c>
      <c r="AQ5" s="329" t="s">
        <v>303</v>
      </c>
      <c r="AR5" s="389" t="s">
        <v>57</v>
      </c>
      <c r="AS5" s="390"/>
      <c r="AT5" s="330" t="s">
        <v>70</v>
      </c>
      <c r="AU5" s="331" t="s">
        <v>561</v>
      </c>
      <c r="AV5" s="325" t="s">
        <v>0</v>
      </c>
      <c r="AW5" s="326"/>
      <c r="AX5" s="327" t="s">
        <v>2</v>
      </c>
      <c r="AY5" s="387" t="s">
        <v>302</v>
      </c>
      <c r="AZ5" s="388"/>
      <c r="BA5" s="328" t="s">
        <v>69</v>
      </c>
      <c r="BB5" s="329" t="s">
        <v>303</v>
      </c>
      <c r="BC5" s="389" t="s">
        <v>57</v>
      </c>
      <c r="BD5" s="390"/>
      <c r="BE5" s="330" t="s">
        <v>70</v>
      </c>
      <c r="BF5" s="331" t="s">
        <v>561</v>
      </c>
      <c r="BG5" s="325" t="s">
        <v>0</v>
      </c>
      <c r="BH5" s="326"/>
      <c r="BI5" s="327" t="s">
        <v>2</v>
      </c>
      <c r="BJ5" s="387" t="s">
        <v>302</v>
      </c>
      <c r="BK5" s="388"/>
      <c r="BL5" s="328" t="s">
        <v>69</v>
      </c>
      <c r="BM5" s="329" t="s">
        <v>303</v>
      </c>
      <c r="BN5" s="389" t="s">
        <v>57</v>
      </c>
      <c r="BO5" s="390"/>
      <c r="BP5" s="330" t="s">
        <v>70</v>
      </c>
      <c r="BQ5" s="331" t="s">
        <v>561</v>
      </c>
      <c r="BR5" s="325"/>
      <c r="BS5" s="326"/>
      <c r="BT5" s="327"/>
      <c r="BU5" s="387"/>
      <c r="BV5" s="388"/>
      <c r="BW5" s="328"/>
      <c r="BX5" s="329"/>
      <c r="BY5" s="389"/>
      <c r="BZ5" s="390"/>
      <c r="CA5" s="330"/>
      <c r="CB5" s="331"/>
    </row>
    <row r="6" spans="1:80" s="7" customFormat="1" ht="21.95" hidden="1" customHeight="1" x14ac:dyDescent="0.3">
      <c r="B6" s="298"/>
      <c r="C6" s="126" t="s">
        <v>564</v>
      </c>
      <c r="D6" s="155" t="s">
        <v>3</v>
      </c>
      <c r="E6" s="155" t="s">
        <v>41</v>
      </c>
      <c r="F6" s="154" t="s">
        <v>3</v>
      </c>
      <c r="G6" s="106" t="s">
        <v>304</v>
      </c>
      <c r="H6" s="106" t="s">
        <v>41</v>
      </c>
      <c r="I6" s="104"/>
      <c r="J6" s="105"/>
      <c r="K6" s="107" t="s">
        <v>3</v>
      </c>
      <c r="L6" s="107" t="s">
        <v>41</v>
      </c>
      <c r="M6" s="161"/>
      <c r="N6" s="2"/>
      <c r="O6" s="155" t="s">
        <v>3</v>
      </c>
      <c r="P6" s="155" t="s">
        <v>41</v>
      </c>
      <c r="Q6" s="154" t="s">
        <v>3</v>
      </c>
      <c r="R6" s="106" t="s">
        <v>304</v>
      </c>
      <c r="S6" s="106" t="s">
        <v>41</v>
      </c>
      <c r="T6" s="104"/>
      <c r="U6" s="105"/>
      <c r="V6" s="107" t="s">
        <v>3</v>
      </c>
      <c r="W6" s="107" t="s">
        <v>41</v>
      </c>
      <c r="X6" s="161"/>
      <c r="Y6" s="2"/>
      <c r="Z6" s="155" t="s">
        <v>3</v>
      </c>
      <c r="AA6" s="155" t="s">
        <v>41</v>
      </c>
      <c r="AB6" s="154" t="s">
        <v>3</v>
      </c>
      <c r="AC6" s="106" t="s">
        <v>304</v>
      </c>
      <c r="AD6" s="106" t="s">
        <v>41</v>
      </c>
      <c r="AE6" s="104"/>
      <c r="AF6" s="105"/>
      <c r="AG6" s="107" t="s">
        <v>3</v>
      </c>
      <c r="AH6" s="107" t="s">
        <v>41</v>
      </c>
      <c r="AI6" s="161"/>
      <c r="AJ6" s="2"/>
      <c r="AK6" s="155" t="s">
        <v>3</v>
      </c>
      <c r="AL6" s="155" t="s">
        <v>41</v>
      </c>
      <c r="AM6" s="154" t="s">
        <v>3</v>
      </c>
      <c r="AN6" s="106" t="s">
        <v>304</v>
      </c>
      <c r="AO6" s="106" t="s">
        <v>41</v>
      </c>
      <c r="AP6" s="104"/>
      <c r="AQ6" s="105"/>
      <c r="AR6" s="107" t="s">
        <v>3</v>
      </c>
      <c r="AS6" s="107" t="s">
        <v>41</v>
      </c>
      <c r="AT6" s="161"/>
      <c r="AU6" s="2"/>
      <c r="AV6" s="155" t="s">
        <v>3</v>
      </c>
      <c r="AW6" s="155" t="s">
        <v>41</v>
      </c>
      <c r="AX6" s="154" t="s">
        <v>3</v>
      </c>
      <c r="AY6" s="106" t="s">
        <v>304</v>
      </c>
      <c r="AZ6" s="106" t="s">
        <v>41</v>
      </c>
      <c r="BA6" s="104"/>
      <c r="BB6" s="105"/>
      <c r="BC6" s="107" t="s">
        <v>3</v>
      </c>
      <c r="BD6" s="107" t="s">
        <v>41</v>
      </c>
      <c r="BE6" s="161"/>
      <c r="BF6" s="2"/>
      <c r="BG6" s="155" t="s">
        <v>3</v>
      </c>
      <c r="BH6" s="155" t="s">
        <v>41</v>
      </c>
      <c r="BI6" s="154" t="s">
        <v>3</v>
      </c>
      <c r="BJ6" s="106" t="s">
        <v>304</v>
      </c>
      <c r="BK6" s="106" t="s">
        <v>41</v>
      </c>
      <c r="BL6" s="104"/>
      <c r="BM6" s="105"/>
      <c r="BN6" s="107" t="s">
        <v>3</v>
      </c>
      <c r="BO6" s="107" t="s">
        <v>41</v>
      </c>
      <c r="BP6" s="161"/>
      <c r="BQ6" s="2"/>
      <c r="BR6" s="155" t="s">
        <v>3</v>
      </c>
      <c r="BS6" s="155" t="s">
        <v>41</v>
      </c>
      <c r="BT6" s="154" t="s">
        <v>3</v>
      </c>
      <c r="BU6" s="106" t="s">
        <v>304</v>
      </c>
      <c r="BV6" s="106" t="s">
        <v>41</v>
      </c>
      <c r="BW6" s="104"/>
      <c r="BX6" s="105"/>
      <c r="BY6" s="107" t="s">
        <v>3</v>
      </c>
      <c r="BZ6" s="107" t="s">
        <v>41</v>
      </c>
      <c r="CA6" s="161"/>
      <c r="CB6" s="2"/>
    </row>
    <row r="7" spans="1:80" s="7" customFormat="1" ht="21.95" customHeight="1" x14ac:dyDescent="0.3">
      <c r="B7" s="21" t="s">
        <v>32</v>
      </c>
      <c r="C7" s="129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</row>
    <row r="8" spans="1:80" s="7" customFormat="1" ht="30" hidden="1" customHeight="1" x14ac:dyDescent="0.45">
      <c r="A8" s="3"/>
      <c r="B8" s="22"/>
      <c r="C8" s="130"/>
      <c r="D8" s="203" t="e">
        <f>VLOOKUP($A8,INICIO_BARRA!$A$6:$R$130,3,FALSE)</f>
        <v>#N/A</v>
      </c>
      <c r="E8" s="203" t="e">
        <f>VLOOKUP($A8,INICIO_BARRA!$A$6:$R$130,4,FALSE)</f>
        <v>#N/A</v>
      </c>
      <c r="F8" s="203" t="str">
        <f>IFERROR(VLOOKUP($A8,REPOSICIONES_BARRA!$A$6:$I$130,3,FALSE),"")</f>
        <v/>
      </c>
      <c r="G8" s="315" t="e">
        <f t="shared" ref="G8" si="0">D8+F8</f>
        <v>#N/A</v>
      </c>
      <c r="H8" s="316" t="e">
        <f t="shared" ref="H8" si="1">E8</f>
        <v>#N/A</v>
      </c>
      <c r="I8" s="317" t="str">
        <f>IFERROR(IFERROR(VLOOKUP($A8,VENTAS!$H$2:$O$201,2,FALSE),"")/$C8,"")</f>
        <v/>
      </c>
      <c r="J8" s="111"/>
      <c r="K8" s="203" t="e">
        <f>VLOOKUP($A8,INICIO_BARRA!$A$6:$R$130,5,FALSE)</f>
        <v>#N/A</v>
      </c>
      <c r="L8" s="203" t="e">
        <f>VLOOKUP($A8,INICIO_BARRA!$A$6:$R$130,6,FALSE)</f>
        <v>#N/A</v>
      </c>
      <c r="M8" s="156"/>
      <c r="N8" s="204" t="str">
        <f>IFERROR(IFERROR(IF(M8&gt;0,"",M8*VLOOKUP($A8,'VALOR I.'!$B$6:$K$418,10,FALSE)),"")*$C8,"")</f>
        <v/>
      </c>
      <c r="O8" s="203" t="e">
        <f>VLOOKUP($A8,INICIO_BARRA!$A$6:$R$130,5,FALSE)</f>
        <v>#N/A</v>
      </c>
      <c r="P8" s="203" t="e">
        <f>VLOOKUP($A8,INICIO_BARRA!$A$6:$R$130,6,FALSE)</f>
        <v>#N/A</v>
      </c>
      <c r="Q8" s="203" t="str">
        <f>IFERROR(VLOOKUP($A8,REPOSICIONES_BARRA!$A$6:$I$130,4,FALSE),"")</f>
        <v/>
      </c>
      <c r="R8" s="315" t="e">
        <f t="shared" ref="R8:R71" si="2">O8+Q8</f>
        <v>#N/A</v>
      </c>
      <c r="S8" s="316" t="e">
        <f t="shared" ref="S8:S71" si="3">P8</f>
        <v>#N/A</v>
      </c>
      <c r="T8" s="317" t="str">
        <f>IFERROR(IFERROR(VLOOKUP($A8,VENTAS!$H$2:$O$201,3,FALSE),"")/$C8,"")</f>
        <v/>
      </c>
      <c r="U8" s="111"/>
      <c r="V8" s="203" t="e">
        <f>VLOOKUP($A8,INICIO_BARRA!$A$6:$R$130,7,FALSE)</f>
        <v>#N/A</v>
      </c>
      <c r="W8" s="203" t="e">
        <f>VLOOKUP($A8,INICIO_BARRA!$A$6:$R$130,8,FALSE)</f>
        <v>#N/A</v>
      </c>
      <c r="X8" s="156"/>
      <c r="Y8" s="204" t="str">
        <f>IFERROR(IFERROR(IF(X8&gt;0,"",X8*VLOOKUP($A8,'VALOR I.'!$B$6:$K$418,10,FALSE)),"")*$C8,"")</f>
        <v/>
      </c>
      <c r="Z8" s="203" t="e">
        <f>VLOOKUP($A8,INICIO_BARRA!$A$6:$R$130,7,FALSE)</f>
        <v>#N/A</v>
      </c>
      <c r="AA8" s="203" t="e">
        <f>VLOOKUP($A8,INICIO_BARRA!$A$6:$R$130,8,FALSE)</f>
        <v>#N/A</v>
      </c>
      <c r="AB8" s="203" t="str">
        <f>IFERROR(VLOOKUP($A8,REPOSICIONES_BARRA!$A$6:$I$130,5,FALSE),"")</f>
        <v/>
      </c>
      <c r="AC8" s="315" t="e">
        <f t="shared" ref="AC8:AC71" si="4">Z8+AB8</f>
        <v>#N/A</v>
      </c>
      <c r="AD8" s="316" t="e">
        <f t="shared" ref="AD8:AD71" si="5">AA8</f>
        <v>#N/A</v>
      </c>
      <c r="AE8" s="317" t="str">
        <f>IFERROR(IFERROR(VLOOKUP($A8,VENTAS!$H$2:$O$201,4,FALSE),"")/$C8,"")</f>
        <v/>
      </c>
      <c r="AF8" s="111"/>
      <c r="AG8" s="203" t="e">
        <f>VLOOKUP($A8,INICIO_BARRA!$A$6:$R$130,9,FALSE)</f>
        <v>#N/A</v>
      </c>
      <c r="AH8" s="203" t="e">
        <f>VLOOKUP($A8,INICIO_BARRA!$A$6:$R$130,10,FALSE)</f>
        <v>#N/A</v>
      </c>
      <c r="AI8" s="156"/>
      <c r="AJ8" s="94" t="str">
        <f>IFERROR(IFERROR(IF(AI8&gt;0,"",AI8*VLOOKUP($A8,'VALOR I.'!$B$6:$K$418,10,FALSE)),"")*$C8,"")</f>
        <v/>
      </c>
      <c r="AK8" s="203" t="e">
        <f>VLOOKUP($A8,INICIO_BARRA!$A$6:$R$130,9,FALSE)</f>
        <v>#N/A</v>
      </c>
      <c r="AL8" s="203" t="e">
        <f>VLOOKUP($A8,INICIO_BARRA!$A$6:$R$130,10,FALSE)</f>
        <v>#N/A</v>
      </c>
      <c r="AM8" s="203" t="str">
        <f>IFERROR(VLOOKUP($A8,REPOSICIONES_BARRA!$A$6:$I$130,6,FALSE),"")</f>
        <v/>
      </c>
      <c r="AN8" s="315" t="e">
        <f t="shared" ref="AN8:AN71" si="6">AK8+AM8</f>
        <v>#N/A</v>
      </c>
      <c r="AO8" s="316" t="e">
        <f t="shared" ref="AO8:AO71" si="7">AL8</f>
        <v>#N/A</v>
      </c>
      <c r="AP8" s="317" t="str">
        <f>IFERROR(IFERROR(VLOOKUP($A8,VENTAS!$H$2:$O$201,5,FALSE),"")/$C8,"")</f>
        <v/>
      </c>
      <c r="AQ8" s="111"/>
      <c r="AR8" s="203" t="e">
        <f>VLOOKUP($A8,INICIO_BARRA!$A$6:$R$130,11,FALSE)</f>
        <v>#N/A</v>
      </c>
      <c r="AS8" s="203" t="e">
        <f>VLOOKUP($A8,INICIO_BARRA!$A$6:$R$130,12,FALSE)</f>
        <v>#N/A</v>
      </c>
      <c r="AT8" s="156"/>
      <c r="AU8" s="94" t="str">
        <f>IFERROR(IFERROR(IF(AT8&gt;0,"",AT8*VLOOKUP($A8,'VALOR I.'!$B$6:$K$418,10,FALSE)),"")*$C8,"")</f>
        <v/>
      </c>
      <c r="AV8" s="203" t="e">
        <f>VLOOKUP($A8,INICIO_BARRA!$A$6:$R$130,11,FALSE)</f>
        <v>#N/A</v>
      </c>
      <c r="AW8" s="203" t="e">
        <f>VLOOKUP($A8,INICIO_BARRA!$A$6:$R$130,12,FALSE)</f>
        <v>#N/A</v>
      </c>
      <c r="AX8" s="203" t="str">
        <f>IFERROR(VLOOKUP($A8,REPOSICIONES_BARRA!$A$6:$I$130,7,FALSE),"")</f>
        <v/>
      </c>
      <c r="AY8" s="315" t="e">
        <f t="shared" ref="AY8:AY71" si="8">AV8+AX8</f>
        <v>#N/A</v>
      </c>
      <c r="AZ8" s="316" t="e">
        <f t="shared" ref="AZ8:AZ71" si="9">AW8</f>
        <v>#N/A</v>
      </c>
      <c r="BA8" s="317" t="str">
        <f>IFERROR(IFERROR(VLOOKUP($A8,VENTAS!$H$2:$O$201,6,FALSE),"")/$C8,"")</f>
        <v/>
      </c>
      <c r="BB8" s="111"/>
      <c r="BC8" s="203" t="e">
        <f>VLOOKUP($A8,INICIO_BARRA!$A$6:$R$130,13,FALSE)</f>
        <v>#N/A</v>
      </c>
      <c r="BD8" s="203" t="e">
        <f>VLOOKUP($A8,INICIO_BARRA!$A$6:$R$130,14,FALSE)</f>
        <v>#N/A</v>
      </c>
      <c r="BE8" s="156"/>
      <c r="BF8" s="94" t="str">
        <f>IFERROR(IFERROR(IF(BE8&gt;0,"",BE8*VLOOKUP($A8,'VALOR I.'!$B$6:$K$418,10,FALSE)),"")*$C8,"")</f>
        <v/>
      </c>
      <c r="BG8" s="203" t="e">
        <f>VLOOKUP($A8,INICIO_BARRA!$A$6:$R$130,13,FALSE)</f>
        <v>#N/A</v>
      </c>
      <c r="BH8" s="203" t="e">
        <f>VLOOKUP($A8,INICIO_BARRA!$A$6:$R$130,14,FALSE)</f>
        <v>#N/A</v>
      </c>
      <c r="BI8" s="203" t="str">
        <f>IFERROR(VLOOKUP($A8,REPOSICIONES_BARRA!$A$6:$I$130,8,FALSE),"")</f>
        <v/>
      </c>
      <c r="BJ8" s="315" t="e">
        <f t="shared" ref="BJ8:BJ71" si="10">BG8+BI8</f>
        <v>#N/A</v>
      </c>
      <c r="BK8" s="316" t="e">
        <f t="shared" ref="BK8:BK71" si="11">BH8</f>
        <v>#N/A</v>
      </c>
      <c r="BL8" s="317" t="str">
        <f>IFERROR(IFERROR(VLOOKUP($A8,VENTAS!$H$2:$O$201,7,FALSE),"")/$C8,"")</f>
        <v/>
      </c>
      <c r="BM8" s="111"/>
      <c r="BN8" s="203" t="e">
        <f>VLOOKUP($A8,INICIO_BARRA!$A$6:$R$130,15,FALSE)</f>
        <v>#N/A</v>
      </c>
      <c r="BO8" s="203" t="e">
        <f>VLOOKUP($A8,INICIO_BARRA!$A$6:$R$130,16,FALSE)</f>
        <v>#N/A</v>
      </c>
      <c r="BP8" s="156"/>
      <c r="BQ8" s="94" t="str">
        <f>IFERROR(IFERROR(IF(BP8&gt;0,"",BP8*VLOOKUP($A8,'VALOR I.'!$B$6:$K$418,10,FALSE)),"")*$C8,"")</f>
        <v/>
      </c>
      <c r="BR8" s="203" t="e">
        <f>VLOOKUP($A8,INICIO_BARRA!$A$6:$R$130,15,FALSE)</f>
        <v>#N/A</v>
      </c>
      <c r="BS8" s="203" t="e">
        <f>VLOOKUP($A8,INICIO_BARRA!$A$6:$R$130,16,FALSE)</f>
        <v>#N/A</v>
      </c>
      <c r="BT8" s="203" t="str">
        <f>IFERROR(VLOOKUP($A8,REPOSICIONES_BARRA!$A$6:$I$130,9,FALSE),"")</f>
        <v/>
      </c>
      <c r="BU8" s="315" t="e">
        <f t="shared" ref="BU8:BU70" si="12">BR8+BT8</f>
        <v>#N/A</v>
      </c>
      <c r="BV8" s="316" t="e">
        <f t="shared" ref="BV8:BV70" si="13">BS8</f>
        <v>#N/A</v>
      </c>
      <c r="BW8" s="317" t="str">
        <f>IFERROR(IFERROR(VLOOKUP($A8,VENTAS!$H$2:$O$201,8,FALSE),"")/$C8,"")</f>
        <v/>
      </c>
      <c r="BX8" s="111"/>
      <c r="BY8" s="203" t="e">
        <f>VLOOKUP($A8,INICIO_BARRA!$A$6:$R$130,17,FALSE)</f>
        <v>#N/A</v>
      </c>
      <c r="BZ8" s="203" t="e">
        <f>VLOOKUP($A8,INICIO_BARRA!$A$6:$R$130,18,FALSE)</f>
        <v>#N/A</v>
      </c>
      <c r="CA8" s="156"/>
      <c r="CB8" s="94" t="str">
        <f>IFERROR(IFERROR(IF(CA8&gt;0,"",CA8*VLOOKUP($A8,'VALOR I.'!$B$6:$K$418,10,FALSE)),"")*$C8,"")</f>
        <v/>
      </c>
    </row>
    <row r="9" spans="1:80" s="7" customFormat="1" ht="30" hidden="1" customHeight="1" x14ac:dyDescent="0.45">
      <c r="A9" s="3"/>
      <c r="B9" s="23"/>
      <c r="C9" s="131"/>
      <c r="D9" s="203" t="e">
        <f>VLOOKUP($A9,INICIO_BARRA!$A$6:$R$130,3,FALSE)</f>
        <v>#N/A</v>
      </c>
      <c r="E9" s="203" t="e">
        <f>VLOOKUP($A9,INICIO_BARRA!$A$6:$R$130,4,FALSE)</f>
        <v>#N/A</v>
      </c>
      <c r="F9" s="203" t="str">
        <f>IFERROR(VLOOKUP($A9,REPOSICIONES_BARRA!$A$6:$I$130,3,FALSE),"")</f>
        <v/>
      </c>
      <c r="G9" s="315" t="e">
        <f t="shared" ref="G9:G72" si="14">D9+F9</f>
        <v>#N/A</v>
      </c>
      <c r="H9" s="316" t="e">
        <f t="shared" ref="H9:H72" si="15">E9</f>
        <v>#N/A</v>
      </c>
      <c r="I9" s="317" t="str">
        <f>IFERROR(IFERROR(VLOOKUP($A9,VENTAS!$H$2:$O$201,2,FALSE),"")/$C9,"")</f>
        <v/>
      </c>
      <c r="J9" s="111"/>
      <c r="K9" s="203" t="e">
        <f>VLOOKUP($A9,INICIO_BARRA!$A$6:$R$130,5,FALSE)</f>
        <v>#N/A</v>
      </c>
      <c r="L9" s="203" t="e">
        <f>VLOOKUP($A9,INICIO_BARRA!$A$6:$R$130,6,FALSE)</f>
        <v>#N/A</v>
      </c>
      <c r="M9" s="156"/>
      <c r="N9" s="204" t="str">
        <f>IFERROR(IFERROR(IF(M9&gt;0,"",M9*VLOOKUP($A9,'VALOR I.'!$B$6:$K$418,10,FALSE)),"")*$C9,"")</f>
        <v/>
      </c>
      <c r="O9" s="203" t="e">
        <f>VLOOKUP($A9,INICIO_BARRA!$A$6:$R$130,5,FALSE)</f>
        <v>#N/A</v>
      </c>
      <c r="P9" s="203" t="e">
        <f>VLOOKUP($A9,INICIO_BARRA!$A$6:$R$130,6,FALSE)</f>
        <v>#N/A</v>
      </c>
      <c r="Q9" s="203" t="str">
        <f>IFERROR(VLOOKUP($A9,REPOSICIONES_BARRA!$A$6:$I$130,4,FALSE),"")</f>
        <v/>
      </c>
      <c r="R9" s="315" t="e">
        <f t="shared" si="2"/>
        <v>#N/A</v>
      </c>
      <c r="S9" s="316" t="e">
        <f t="shared" si="3"/>
        <v>#N/A</v>
      </c>
      <c r="T9" s="317" t="str">
        <f>IFERROR(IFERROR(VLOOKUP($A9,VENTAS!$H$2:$O$201,3,FALSE),"")/$C9,"")</f>
        <v/>
      </c>
      <c r="U9" s="111"/>
      <c r="V9" s="203" t="e">
        <f>VLOOKUP($A9,INICIO_BARRA!$A$6:$R$130,7,FALSE)</f>
        <v>#N/A</v>
      </c>
      <c r="W9" s="203" t="e">
        <f>VLOOKUP($A9,INICIO_BARRA!$A$6:$R$130,8,FALSE)</f>
        <v>#N/A</v>
      </c>
      <c r="X9" s="156"/>
      <c r="Y9" s="204" t="str">
        <f>IFERROR(IFERROR(IF(X9&gt;0,"",X9*VLOOKUP($A9,'VALOR I.'!$B$6:$K$418,10,FALSE)),"")*$C9,"")</f>
        <v/>
      </c>
      <c r="Z9" s="203" t="e">
        <f>VLOOKUP($A9,INICIO_BARRA!$A$6:$R$130,7,FALSE)</f>
        <v>#N/A</v>
      </c>
      <c r="AA9" s="203" t="e">
        <f>VLOOKUP($A9,INICIO_BARRA!$A$6:$R$130,8,FALSE)</f>
        <v>#N/A</v>
      </c>
      <c r="AB9" s="203" t="str">
        <f>IFERROR(VLOOKUP($A9,REPOSICIONES_BARRA!$A$6:$I$130,5,FALSE),"")</f>
        <v/>
      </c>
      <c r="AC9" s="315" t="e">
        <f t="shared" si="4"/>
        <v>#N/A</v>
      </c>
      <c r="AD9" s="316" t="e">
        <f t="shared" si="5"/>
        <v>#N/A</v>
      </c>
      <c r="AE9" s="317" t="str">
        <f>IFERROR(IFERROR(VLOOKUP($A9,VENTAS!$H$2:$O$201,4,FALSE),"")/$C9,"")</f>
        <v/>
      </c>
      <c r="AF9" s="111"/>
      <c r="AG9" s="203" t="e">
        <f>VLOOKUP($A9,INICIO_BARRA!$A$6:$R$130,9,FALSE)</f>
        <v>#N/A</v>
      </c>
      <c r="AH9" s="203" t="e">
        <f>VLOOKUP($A9,INICIO_BARRA!$A$6:$R$130,10,FALSE)</f>
        <v>#N/A</v>
      </c>
      <c r="AI9" s="156"/>
      <c r="AJ9" s="94" t="str">
        <f>IFERROR(IFERROR(IF(AI9&gt;0,"",AI9*VLOOKUP($A9,'VALOR I.'!$B$6:$K$418,10,FALSE)),"")*$C9,"")</f>
        <v/>
      </c>
      <c r="AK9" s="203" t="e">
        <f>VLOOKUP($A9,INICIO_BARRA!$A$6:$R$130,9,FALSE)</f>
        <v>#N/A</v>
      </c>
      <c r="AL9" s="203" t="e">
        <f>VLOOKUP($A9,INICIO_BARRA!$A$6:$R$130,10,FALSE)</f>
        <v>#N/A</v>
      </c>
      <c r="AM9" s="203" t="str">
        <f>IFERROR(VLOOKUP($A9,REPOSICIONES_BARRA!$A$6:$I$130,6,FALSE),"")</f>
        <v/>
      </c>
      <c r="AN9" s="315" t="e">
        <f t="shared" si="6"/>
        <v>#N/A</v>
      </c>
      <c r="AO9" s="316" t="e">
        <f t="shared" si="7"/>
        <v>#N/A</v>
      </c>
      <c r="AP9" s="317" t="str">
        <f>IFERROR(IFERROR(VLOOKUP($A9,VENTAS!$H$2:$O$201,5,FALSE),"")/$C9,"")</f>
        <v/>
      </c>
      <c r="AQ9" s="111"/>
      <c r="AR9" s="203" t="e">
        <f>VLOOKUP($A9,INICIO_BARRA!$A$6:$R$130,11,FALSE)</f>
        <v>#N/A</v>
      </c>
      <c r="AS9" s="203" t="e">
        <f>VLOOKUP($A9,INICIO_BARRA!$A$6:$R$130,12,FALSE)</f>
        <v>#N/A</v>
      </c>
      <c r="AT9" s="156"/>
      <c r="AU9" s="94" t="str">
        <f>IFERROR(IFERROR(IF(AT9&gt;0,"",AT9*VLOOKUP($A9,'VALOR I.'!$B$6:$K$418,10,FALSE)),"")*$C9,"")</f>
        <v/>
      </c>
      <c r="AV9" s="203" t="e">
        <f>VLOOKUP($A9,INICIO_BARRA!$A$6:$R$130,11,FALSE)</f>
        <v>#N/A</v>
      </c>
      <c r="AW9" s="203" t="e">
        <f>VLOOKUP($A9,INICIO_BARRA!$A$6:$R$130,12,FALSE)</f>
        <v>#N/A</v>
      </c>
      <c r="AX9" s="203" t="str">
        <f>IFERROR(VLOOKUP($A9,REPOSICIONES_BARRA!$A$6:$I$130,7,FALSE),"")</f>
        <v/>
      </c>
      <c r="AY9" s="315" t="e">
        <f t="shared" si="8"/>
        <v>#N/A</v>
      </c>
      <c r="AZ9" s="316" t="e">
        <f t="shared" si="9"/>
        <v>#N/A</v>
      </c>
      <c r="BA9" s="317" t="str">
        <f>IFERROR(IFERROR(VLOOKUP($A9,VENTAS!$H$2:$O$201,6,FALSE),"")/$C9,"")</f>
        <v/>
      </c>
      <c r="BB9" s="111"/>
      <c r="BC9" s="203" t="e">
        <f>VLOOKUP($A9,INICIO_BARRA!$A$6:$R$130,13,FALSE)</f>
        <v>#N/A</v>
      </c>
      <c r="BD9" s="203" t="e">
        <f>VLOOKUP($A9,INICIO_BARRA!$A$6:$R$130,14,FALSE)</f>
        <v>#N/A</v>
      </c>
      <c r="BE9" s="156"/>
      <c r="BF9" s="94" t="str">
        <f>IFERROR(IFERROR(IF(BE9&gt;0,"",BE9*VLOOKUP($A9,'VALOR I.'!$B$6:$K$418,10,FALSE)),"")*$C9,"")</f>
        <v/>
      </c>
      <c r="BG9" s="203" t="e">
        <f>VLOOKUP($A9,INICIO_BARRA!$A$6:$R$130,13,FALSE)</f>
        <v>#N/A</v>
      </c>
      <c r="BH9" s="203" t="e">
        <f>VLOOKUP($A9,INICIO_BARRA!$A$6:$R$130,14,FALSE)</f>
        <v>#N/A</v>
      </c>
      <c r="BI9" s="203" t="str">
        <f>IFERROR(VLOOKUP($A9,REPOSICIONES_BARRA!$A$6:$I$130,8,FALSE),"")</f>
        <v/>
      </c>
      <c r="BJ9" s="315" t="e">
        <f t="shared" si="10"/>
        <v>#N/A</v>
      </c>
      <c r="BK9" s="316" t="e">
        <f t="shared" si="11"/>
        <v>#N/A</v>
      </c>
      <c r="BL9" s="317" t="str">
        <f>IFERROR(IFERROR(VLOOKUP($A9,VENTAS!$H$2:$O$201,7,FALSE),"")/$C9,"")</f>
        <v/>
      </c>
      <c r="BM9" s="111"/>
      <c r="BN9" s="203" t="e">
        <f>VLOOKUP($A9,INICIO_BARRA!$A$6:$R$130,15,FALSE)</f>
        <v>#N/A</v>
      </c>
      <c r="BO9" s="203" t="e">
        <f>VLOOKUP($A9,INICIO_BARRA!$A$6:$R$130,16,FALSE)</f>
        <v>#N/A</v>
      </c>
      <c r="BP9" s="156"/>
      <c r="BQ9" s="94" t="str">
        <f>IFERROR(IFERROR(IF(BP9&gt;0,"",BP9*VLOOKUP($A9,'VALOR I.'!$B$6:$K$418,10,FALSE)),"")*$C9,"")</f>
        <v/>
      </c>
      <c r="BR9" s="203" t="e">
        <f>VLOOKUP($A9,INICIO_BARRA!$A$6:$R$130,15,FALSE)</f>
        <v>#N/A</v>
      </c>
      <c r="BS9" s="203" t="e">
        <f>VLOOKUP($A9,INICIO_BARRA!$A$6:$R$130,16,FALSE)</f>
        <v>#N/A</v>
      </c>
      <c r="BT9" s="203" t="str">
        <f>IFERROR(VLOOKUP($A9,REPOSICIONES_BARRA!$A$6:$I$130,9,FALSE),"")</f>
        <v/>
      </c>
      <c r="BU9" s="315" t="e">
        <f t="shared" si="12"/>
        <v>#N/A</v>
      </c>
      <c r="BV9" s="316" t="e">
        <f t="shared" si="13"/>
        <v>#N/A</v>
      </c>
      <c r="BW9" s="317" t="str">
        <f>IFERROR(IFERROR(VLOOKUP($A9,VENTAS!$H$2:$O$201,8,FALSE),"")/$C9,"")</f>
        <v/>
      </c>
      <c r="BX9" s="111"/>
      <c r="BY9" s="203" t="e">
        <f>VLOOKUP($A9,INICIO_BARRA!$A$6:$R$130,17,FALSE)</f>
        <v>#N/A</v>
      </c>
      <c r="BZ9" s="203" t="e">
        <f>VLOOKUP($A9,INICIO_BARRA!$A$6:$R$130,18,FALSE)</f>
        <v>#N/A</v>
      </c>
      <c r="CA9" s="156"/>
      <c r="CB9" s="94" t="str">
        <f>IFERROR(IFERROR(IF(CA9&gt;0,"",CA9*VLOOKUP($A9,'VALOR I.'!$B$6:$K$418,10,FALSE)),"")*$C9,"")</f>
        <v/>
      </c>
    </row>
    <row r="10" spans="1:80" s="7" customFormat="1" ht="30" customHeight="1" x14ac:dyDescent="0.3">
      <c r="A10" s="3" t="s">
        <v>213</v>
      </c>
      <c r="B10" s="299" t="s">
        <v>18</v>
      </c>
      <c r="C10" s="131">
        <v>1</v>
      </c>
      <c r="D10" s="203">
        <f>VLOOKUP($A10,INICIO_BARRA!$A$6:$R$130,3,FALSE)</f>
        <v>0</v>
      </c>
      <c r="E10" s="203">
        <f>VLOOKUP($A10,INICIO_BARRA!$A$6:$R$130,4,FALSE)</f>
        <v>0</v>
      </c>
      <c r="F10" s="203">
        <f>IFERROR(VLOOKUP($A10,REPOSICIONES_BARRA!$A$6:$I$130,3,FALSE),"")</f>
        <v>0</v>
      </c>
      <c r="G10" s="315">
        <f t="shared" si="14"/>
        <v>0</v>
      </c>
      <c r="H10" s="316">
        <f t="shared" si="15"/>
        <v>0</v>
      </c>
      <c r="I10" s="317">
        <f>IFERROR(IFERROR(VLOOKUP($A10,VENTAS!$H$2:$O$201,2,FALSE),"")/$C10,"")</f>
        <v>0</v>
      </c>
      <c r="J10" s="318">
        <f t="shared" ref="J10" si="16">IFERROR(G10-I10,"")</f>
        <v>0</v>
      </c>
      <c r="K10" s="203">
        <f>VLOOKUP($A10,INICIO_BARRA!$A$6:$R$130,5,FALSE)</f>
        <v>38</v>
      </c>
      <c r="L10" s="203">
        <f>VLOOKUP($A10,INICIO_BARRA!$A$6:$R$130,6,FALSE)</f>
        <v>0</v>
      </c>
      <c r="M10" s="319">
        <f t="shared" ref="M10" si="17">IFERROR(K10-J10,"")</f>
        <v>38</v>
      </c>
      <c r="N10" s="204" t="str">
        <f>IFERROR(IFERROR(IF(M10&gt;0,"",M10*VLOOKUP($A10,'VALOR I.'!$B$6:$K$418,10,FALSE)),"")*$C10,"")</f>
        <v/>
      </c>
      <c r="O10" s="203">
        <f>VLOOKUP($A10,INICIO_BARRA!$A$6:$R$130,5,FALSE)</f>
        <v>38</v>
      </c>
      <c r="P10" s="203">
        <f>VLOOKUP($A10,INICIO_BARRA!$A$6:$R$130,6,FALSE)</f>
        <v>0</v>
      </c>
      <c r="Q10" s="203">
        <f>IFERROR(VLOOKUP($A10,REPOSICIONES_BARRA!$A$6:$I$130,4,FALSE),"")</f>
        <v>0</v>
      </c>
      <c r="R10" s="315">
        <f t="shared" si="2"/>
        <v>38</v>
      </c>
      <c r="S10" s="316">
        <f t="shared" si="3"/>
        <v>0</v>
      </c>
      <c r="T10" s="317">
        <f>IFERROR(IFERROR(VLOOKUP($A10,VENTAS!$H$2:$O$201,3,FALSE),"")/$C10,"")</f>
        <v>4</v>
      </c>
      <c r="U10" s="318">
        <f t="shared" ref="U10" si="18">IFERROR(R10-T10,"")</f>
        <v>34</v>
      </c>
      <c r="V10" s="203">
        <f>VLOOKUP($A10,INICIO_BARRA!$A$6:$R$130,7,FALSE)</f>
        <v>26</v>
      </c>
      <c r="W10" s="203">
        <f>VLOOKUP($A10,INICIO_BARRA!$A$6:$R$130,8,FALSE)</f>
        <v>0</v>
      </c>
      <c r="X10" s="319">
        <f t="shared" ref="X10" si="19">IFERROR(V10-U10,"")</f>
        <v>-8</v>
      </c>
      <c r="Y10" s="204">
        <f>IFERROR(IFERROR(IF(X10&gt;0,"",X10*VLOOKUP($A10,'VALOR I.'!$B$6:$K$418,10,FALSE)),"")*$C10,"")</f>
        <v>-6841.08</v>
      </c>
      <c r="Z10" s="203">
        <f>VLOOKUP($A10,INICIO_BARRA!$A$6:$R$130,7,FALSE)</f>
        <v>26</v>
      </c>
      <c r="AA10" s="203">
        <f>VLOOKUP($A10,INICIO_BARRA!$A$6:$R$130,8,FALSE)</f>
        <v>0</v>
      </c>
      <c r="AB10" s="203">
        <f>IFERROR(VLOOKUP($A10,REPOSICIONES_BARRA!$A$6:$I$130,5,FALSE),"")</f>
        <v>4</v>
      </c>
      <c r="AC10" s="315">
        <f t="shared" si="4"/>
        <v>30</v>
      </c>
      <c r="AD10" s="316">
        <f t="shared" si="5"/>
        <v>0</v>
      </c>
      <c r="AE10" s="317">
        <f>IFERROR(IFERROR(VLOOKUP($A10,VENTAS!$H$2:$O$201,4,FALSE),"")/$C10,"")</f>
        <v>1</v>
      </c>
      <c r="AF10" s="318">
        <f t="shared" ref="AF10" si="20">IFERROR(AC10-AE10,"")</f>
        <v>29</v>
      </c>
      <c r="AG10" s="203">
        <f>VLOOKUP($A10,INICIO_BARRA!$A$6:$R$130,9,FALSE)</f>
        <v>27</v>
      </c>
      <c r="AH10" s="203">
        <f>VLOOKUP($A10,INICIO_BARRA!$A$6:$R$130,10,FALSE)</f>
        <v>0</v>
      </c>
      <c r="AI10" s="319">
        <f t="shared" ref="AI10" si="21">IFERROR(AG10-AF10,"")</f>
        <v>-2</v>
      </c>
      <c r="AJ10" s="204">
        <f>IFERROR(IFERROR(IF(AI10&gt;0,"",AI10*VLOOKUP($A10,'VALOR I.'!$B$6:$K$418,10,FALSE)),"")*$C10,"")</f>
        <v>-1710.27</v>
      </c>
      <c r="AK10" s="203">
        <f>VLOOKUP($A10,INICIO_BARRA!$A$6:$R$130,9,FALSE)</f>
        <v>27</v>
      </c>
      <c r="AL10" s="203">
        <f>VLOOKUP($A10,INICIO_BARRA!$A$6:$R$130,10,FALSE)</f>
        <v>0</v>
      </c>
      <c r="AM10" s="203">
        <f>IFERROR(VLOOKUP($A10,REPOSICIONES_BARRA!$A$6:$I$130,6,FALSE),"")</f>
        <v>12</v>
      </c>
      <c r="AN10" s="315">
        <f t="shared" si="6"/>
        <v>39</v>
      </c>
      <c r="AO10" s="316">
        <f t="shared" si="7"/>
        <v>0</v>
      </c>
      <c r="AP10" s="317">
        <f>IFERROR(IFERROR(VLOOKUP($A10,VENTAS!$H$2:$O$201,5,FALSE),"")/$C10,"")</f>
        <v>6</v>
      </c>
      <c r="AQ10" s="318">
        <f t="shared" ref="AQ10" si="22">IFERROR(AN10-AP10,"")</f>
        <v>33</v>
      </c>
      <c r="AR10" s="203">
        <f>VLOOKUP($A10,INICIO_BARRA!$A$6:$R$130,11,FALSE)</f>
        <v>29</v>
      </c>
      <c r="AS10" s="203">
        <f>VLOOKUP($A10,INICIO_BARRA!$A$6:$R$130,12,FALSE)</f>
        <v>0</v>
      </c>
      <c r="AT10" s="319">
        <f t="shared" ref="AT10" si="23">IFERROR(AR10-AQ10,"")</f>
        <v>-4</v>
      </c>
      <c r="AU10" s="204">
        <f>IFERROR(IFERROR(IF(AT10&gt;0,"",AT10*VLOOKUP($A10,'VALOR I.'!$B$6:$K$418,10,FALSE)),"")*$C10,"")</f>
        <v>-3420.54</v>
      </c>
      <c r="AV10" s="203">
        <f>VLOOKUP($A10,INICIO_BARRA!$A$6:$R$130,11,FALSE)</f>
        <v>29</v>
      </c>
      <c r="AW10" s="203">
        <f>VLOOKUP($A10,INICIO_BARRA!$A$6:$R$130,12,FALSE)</f>
        <v>0</v>
      </c>
      <c r="AX10" s="203">
        <f>IFERROR(VLOOKUP($A10,REPOSICIONES_BARRA!$A$6:$I$130,7,FALSE),"")</f>
        <v>9</v>
      </c>
      <c r="AY10" s="315">
        <f t="shared" si="8"/>
        <v>38</v>
      </c>
      <c r="AZ10" s="316">
        <f t="shared" si="9"/>
        <v>0</v>
      </c>
      <c r="BA10" s="317">
        <f>IFERROR(IFERROR(VLOOKUP($A10,VENTAS!$H$2:$O$201,6,FALSE),"")/$C10,"")</f>
        <v>3</v>
      </c>
      <c r="BB10" s="318">
        <f t="shared" ref="BB10" si="24">IFERROR(AY10-BA10,"")</f>
        <v>35</v>
      </c>
      <c r="BC10" s="203">
        <f>VLOOKUP($A10,INICIO_BARRA!$A$6:$R$130,13,FALSE)</f>
        <v>19</v>
      </c>
      <c r="BD10" s="203">
        <f>VLOOKUP($A10,INICIO_BARRA!$A$6:$R$130,14,FALSE)</f>
        <v>0</v>
      </c>
      <c r="BE10" s="319">
        <f t="shared" ref="BE10" si="25">IFERROR(BC10-BB10,"")</f>
        <v>-16</v>
      </c>
      <c r="BF10" s="204">
        <f>IFERROR(IFERROR(IF(BE10&gt;0,"",BE10*VLOOKUP($A10,'VALOR I.'!$B$6:$K$418,10,FALSE)),"")*$C10,"")</f>
        <v>-13682.16</v>
      </c>
      <c r="BG10" s="203">
        <f>VLOOKUP($A10,INICIO_BARRA!$A$6:$R$130,13,FALSE)</f>
        <v>19</v>
      </c>
      <c r="BH10" s="203">
        <f>VLOOKUP($A10,INICIO_BARRA!$A$6:$R$130,14,FALSE)</f>
        <v>0</v>
      </c>
      <c r="BI10" s="203">
        <f>IFERROR(VLOOKUP($A10,REPOSICIONES_BARRA!$A$6:$I$130,8,FALSE),"")</f>
        <v>18</v>
      </c>
      <c r="BJ10" s="315">
        <f t="shared" si="10"/>
        <v>37</v>
      </c>
      <c r="BK10" s="316">
        <f t="shared" si="11"/>
        <v>0</v>
      </c>
      <c r="BL10" s="317">
        <f>IFERROR(IFERROR(VLOOKUP($A10,VENTAS!$H$2:$O$201,7,FALSE),"")/$C10,"")</f>
        <v>1</v>
      </c>
      <c r="BM10" s="318">
        <f t="shared" ref="BM10" si="26">IFERROR(BJ10-BL10,"")</f>
        <v>36</v>
      </c>
      <c r="BN10" s="203">
        <f>VLOOKUP($A10,INICIO_BARRA!$A$6:$R$130,15,FALSE)</f>
        <v>30</v>
      </c>
      <c r="BO10" s="203">
        <f>VLOOKUP($A10,INICIO_BARRA!$A$6:$R$130,16,FALSE)</f>
        <v>0</v>
      </c>
      <c r="BP10" s="319">
        <f t="shared" ref="BP10" si="27">IFERROR(BN10-BM10,"")</f>
        <v>-6</v>
      </c>
      <c r="BQ10" s="204">
        <f>IFERROR(IFERROR(IF(BP10&gt;0,"",BP10*VLOOKUP($A10,'VALOR I.'!$B$6:$K$418,10,FALSE)),"")*$C10,"")</f>
        <v>-5130.8099999999995</v>
      </c>
      <c r="BR10" s="203"/>
      <c r="BS10" s="203"/>
      <c r="BT10" s="203"/>
      <c r="BU10" s="315"/>
      <c r="BV10" s="316"/>
      <c r="BW10" s="317"/>
      <c r="BX10" s="318"/>
      <c r="BY10" s="203"/>
      <c r="BZ10" s="203"/>
      <c r="CA10" s="319"/>
      <c r="CB10" s="204"/>
    </row>
    <row r="11" spans="1:80" s="7" customFormat="1" ht="30" hidden="1" customHeight="1" x14ac:dyDescent="0.45">
      <c r="A11" s="3"/>
      <c r="B11" s="23"/>
      <c r="C11" s="131"/>
      <c r="D11" s="203" t="e">
        <f>VLOOKUP($A11,INICIO_BARRA!$A$6:$R$130,3,FALSE)</f>
        <v>#N/A</v>
      </c>
      <c r="E11" s="203" t="e">
        <f>VLOOKUP($A11,INICIO_BARRA!$A$6:$R$130,4,FALSE)</f>
        <v>#N/A</v>
      </c>
      <c r="F11" s="203" t="str">
        <f>IFERROR(VLOOKUP($A11,REPOSICIONES_BARRA!$A$6:$I$130,3,FALSE),"")</f>
        <v/>
      </c>
      <c r="G11" s="315" t="e">
        <f t="shared" si="14"/>
        <v>#N/A</v>
      </c>
      <c r="H11" s="316" t="e">
        <f t="shared" si="15"/>
        <v>#N/A</v>
      </c>
      <c r="I11" s="317" t="str">
        <f>IFERROR(IFERROR(VLOOKUP($A11,VENTAS!$H$2:$O$201,2,FALSE),"")/$C11,"")</f>
        <v/>
      </c>
      <c r="J11" s="111"/>
      <c r="K11" s="203" t="e">
        <f>VLOOKUP($A11,INICIO_BARRA!$A$6:$R$130,5,FALSE)</f>
        <v>#N/A</v>
      </c>
      <c r="L11" s="203" t="e">
        <f>VLOOKUP($A11,INICIO_BARRA!$A$6:$R$130,6,FALSE)</f>
        <v>#N/A</v>
      </c>
      <c r="M11" s="156"/>
      <c r="N11" s="204" t="str">
        <f>IFERROR(IFERROR(IF(M11&gt;0,"",M11*VLOOKUP($A11,'VALOR I.'!$B$6:$K$418,10,FALSE)),"")*$C11,"")</f>
        <v/>
      </c>
      <c r="O11" s="203" t="e">
        <f>VLOOKUP($A11,INICIO_BARRA!$A$6:$R$130,5,FALSE)</f>
        <v>#N/A</v>
      </c>
      <c r="P11" s="203" t="e">
        <f>VLOOKUP($A11,INICIO_BARRA!$A$6:$R$130,6,FALSE)</f>
        <v>#N/A</v>
      </c>
      <c r="Q11" s="203" t="str">
        <f>IFERROR(VLOOKUP($A11,REPOSICIONES_BARRA!$A$6:$I$130,4,FALSE),"")</f>
        <v/>
      </c>
      <c r="R11" s="315" t="e">
        <f t="shared" si="2"/>
        <v>#N/A</v>
      </c>
      <c r="S11" s="316" t="e">
        <f t="shared" si="3"/>
        <v>#N/A</v>
      </c>
      <c r="T11" s="317" t="str">
        <f>IFERROR(IFERROR(VLOOKUP($A11,VENTAS!$H$2:$O$201,3,FALSE),"")/$C11,"")</f>
        <v/>
      </c>
      <c r="U11" s="111"/>
      <c r="V11" s="203" t="e">
        <f>VLOOKUP($A11,INICIO_BARRA!$A$6:$R$130,7,FALSE)</f>
        <v>#N/A</v>
      </c>
      <c r="W11" s="203" t="e">
        <f>VLOOKUP($A11,INICIO_BARRA!$A$6:$R$130,8,FALSE)</f>
        <v>#N/A</v>
      </c>
      <c r="X11" s="156"/>
      <c r="Y11" s="204" t="str">
        <f>IFERROR(IFERROR(IF(X11&gt;0,"",X11*VLOOKUP($A11,'VALOR I.'!$B$6:$K$418,10,FALSE)),"")*$C11,"")</f>
        <v/>
      </c>
      <c r="Z11" s="203" t="e">
        <f>VLOOKUP($A11,INICIO_BARRA!$A$6:$R$130,7,FALSE)</f>
        <v>#N/A</v>
      </c>
      <c r="AA11" s="203" t="e">
        <f>VLOOKUP($A11,INICIO_BARRA!$A$6:$R$130,8,FALSE)</f>
        <v>#N/A</v>
      </c>
      <c r="AB11" s="203" t="str">
        <f>IFERROR(VLOOKUP($A11,REPOSICIONES_BARRA!$A$6:$I$130,5,FALSE),"")</f>
        <v/>
      </c>
      <c r="AC11" s="315" t="e">
        <f t="shared" si="4"/>
        <v>#N/A</v>
      </c>
      <c r="AD11" s="316" t="e">
        <f t="shared" si="5"/>
        <v>#N/A</v>
      </c>
      <c r="AE11" s="317" t="str">
        <f>IFERROR(IFERROR(VLOOKUP($A11,VENTAS!$H$2:$O$201,4,FALSE),"")/$C11,"")</f>
        <v/>
      </c>
      <c r="AF11" s="111"/>
      <c r="AG11" s="203" t="e">
        <f>VLOOKUP($A11,INICIO_BARRA!$A$6:$R$130,9,FALSE)</f>
        <v>#N/A</v>
      </c>
      <c r="AH11" s="203" t="e">
        <f>VLOOKUP($A11,INICIO_BARRA!$A$6:$R$130,10,FALSE)</f>
        <v>#N/A</v>
      </c>
      <c r="AI11" s="156"/>
      <c r="AJ11" s="94" t="str">
        <f>IFERROR(IFERROR(IF(AI11&gt;0,"",AI11*VLOOKUP($A11,'VALOR I.'!$B$6:$K$418,10,FALSE)),"")*$C11,"")</f>
        <v/>
      </c>
      <c r="AK11" s="203" t="e">
        <f>VLOOKUP($A11,INICIO_BARRA!$A$6:$R$130,9,FALSE)</f>
        <v>#N/A</v>
      </c>
      <c r="AL11" s="203" t="e">
        <f>VLOOKUP($A11,INICIO_BARRA!$A$6:$R$130,10,FALSE)</f>
        <v>#N/A</v>
      </c>
      <c r="AM11" s="203" t="str">
        <f>IFERROR(VLOOKUP($A11,REPOSICIONES_BARRA!$A$6:$I$130,6,FALSE),"")</f>
        <v/>
      </c>
      <c r="AN11" s="315" t="e">
        <f t="shared" si="6"/>
        <v>#N/A</v>
      </c>
      <c r="AO11" s="316" t="e">
        <f t="shared" si="7"/>
        <v>#N/A</v>
      </c>
      <c r="AP11" s="317" t="str">
        <f>IFERROR(IFERROR(VLOOKUP($A11,VENTAS!$H$2:$O$201,5,FALSE),"")/$C11,"")</f>
        <v/>
      </c>
      <c r="AQ11" s="111"/>
      <c r="AR11" s="203" t="e">
        <f>VLOOKUP($A11,INICIO_BARRA!$A$6:$R$130,11,FALSE)</f>
        <v>#N/A</v>
      </c>
      <c r="AS11" s="203" t="e">
        <f>VLOOKUP($A11,INICIO_BARRA!$A$6:$R$130,12,FALSE)</f>
        <v>#N/A</v>
      </c>
      <c r="AT11" s="156"/>
      <c r="AU11" s="94" t="str">
        <f>IFERROR(IFERROR(IF(AT11&gt;0,"",AT11*VLOOKUP($A11,'VALOR I.'!$B$6:$K$418,10,FALSE)),"")*$C11,"")</f>
        <v/>
      </c>
      <c r="AV11" s="203" t="e">
        <f>VLOOKUP($A11,INICIO_BARRA!$A$6:$R$130,11,FALSE)</f>
        <v>#N/A</v>
      </c>
      <c r="AW11" s="203" t="e">
        <f>VLOOKUP($A11,INICIO_BARRA!$A$6:$R$130,12,FALSE)</f>
        <v>#N/A</v>
      </c>
      <c r="AX11" s="203" t="str">
        <f>IFERROR(VLOOKUP($A11,REPOSICIONES_BARRA!$A$6:$I$130,7,FALSE),"")</f>
        <v/>
      </c>
      <c r="AY11" s="315" t="e">
        <f t="shared" si="8"/>
        <v>#N/A</v>
      </c>
      <c r="AZ11" s="316" t="e">
        <f t="shared" si="9"/>
        <v>#N/A</v>
      </c>
      <c r="BA11" s="317" t="str">
        <f>IFERROR(IFERROR(VLOOKUP($A11,VENTAS!$H$2:$O$201,6,FALSE),"")/$C11,"")</f>
        <v/>
      </c>
      <c r="BB11" s="111"/>
      <c r="BC11" s="203" t="e">
        <f>VLOOKUP($A11,INICIO_BARRA!$A$6:$R$130,13,FALSE)</f>
        <v>#N/A</v>
      </c>
      <c r="BD11" s="203" t="e">
        <f>VLOOKUP($A11,INICIO_BARRA!$A$6:$R$130,14,FALSE)</f>
        <v>#N/A</v>
      </c>
      <c r="BE11" s="156"/>
      <c r="BF11" s="94" t="str">
        <f>IFERROR(IFERROR(IF(BE11&gt;0,"",BE11*VLOOKUP($A11,'VALOR I.'!$B$6:$K$418,10,FALSE)),"")*$C11,"")</f>
        <v/>
      </c>
      <c r="BG11" s="203" t="e">
        <f>VLOOKUP($A11,INICIO_BARRA!$A$6:$R$130,13,FALSE)</f>
        <v>#N/A</v>
      </c>
      <c r="BH11" s="203" t="e">
        <f>VLOOKUP($A11,INICIO_BARRA!$A$6:$R$130,14,FALSE)</f>
        <v>#N/A</v>
      </c>
      <c r="BI11" s="203" t="str">
        <f>IFERROR(VLOOKUP($A11,REPOSICIONES_BARRA!$A$6:$I$130,8,FALSE),"")</f>
        <v/>
      </c>
      <c r="BJ11" s="315" t="e">
        <f t="shared" si="10"/>
        <v>#N/A</v>
      </c>
      <c r="BK11" s="316" t="e">
        <f t="shared" si="11"/>
        <v>#N/A</v>
      </c>
      <c r="BL11" s="317" t="str">
        <f>IFERROR(IFERROR(VLOOKUP($A11,VENTAS!$H$2:$O$201,7,FALSE),"")/$C11,"")</f>
        <v/>
      </c>
      <c r="BM11" s="111"/>
      <c r="BN11" s="203" t="e">
        <f>VLOOKUP($A11,INICIO_BARRA!$A$6:$R$130,15,FALSE)</f>
        <v>#N/A</v>
      </c>
      <c r="BO11" s="203" t="e">
        <f>VLOOKUP($A11,INICIO_BARRA!$A$6:$R$130,16,FALSE)</f>
        <v>#N/A</v>
      </c>
      <c r="BP11" s="156"/>
      <c r="BQ11" s="94" t="str">
        <f>IFERROR(IFERROR(IF(BP11&gt;0,"",BP11*VLOOKUP($A11,'VALOR I.'!$B$6:$K$418,10,FALSE)),"")*$C11,"")</f>
        <v/>
      </c>
      <c r="BR11" s="203" t="e">
        <f>VLOOKUP($A11,INICIO_BARRA!$A$6:$R$130,15,FALSE)</f>
        <v>#N/A</v>
      </c>
      <c r="BS11" s="203" t="e">
        <f>VLOOKUP($A11,INICIO_BARRA!$A$6:$R$130,16,FALSE)</f>
        <v>#N/A</v>
      </c>
      <c r="BT11" s="203" t="str">
        <f>IFERROR(VLOOKUP($A11,REPOSICIONES_BARRA!$A$6:$I$130,9,FALSE),"")</f>
        <v/>
      </c>
      <c r="BU11" s="315" t="e">
        <f t="shared" si="12"/>
        <v>#N/A</v>
      </c>
      <c r="BV11" s="316" t="e">
        <f t="shared" si="13"/>
        <v>#N/A</v>
      </c>
      <c r="BW11" s="317" t="str">
        <f>IFERROR(IFERROR(VLOOKUP($A11,VENTAS!$H$2:$O$201,8,FALSE),"")/$C11,"")</f>
        <v/>
      </c>
      <c r="BX11" s="111"/>
      <c r="BY11" s="203" t="e">
        <f>VLOOKUP($A11,INICIO_BARRA!$A$6:$R$130,17,FALSE)</f>
        <v>#N/A</v>
      </c>
      <c r="BZ11" s="203" t="e">
        <f>VLOOKUP($A11,INICIO_BARRA!$A$6:$R$130,18,FALSE)</f>
        <v>#N/A</v>
      </c>
      <c r="CA11" s="156"/>
      <c r="CB11" s="94" t="str">
        <f>IFERROR(IFERROR(IF(CA11&gt;0,"",CA11*VLOOKUP($A11,'VALOR I.'!$B$6:$K$418,10,FALSE)),"")*$C11,"")</f>
        <v/>
      </c>
    </row>
    <row r="12" spans="1:80" s="7" customFormat="1" ht="30" hidden="1" customHeight="1" x14ac:dyDescent="0.45">
      <c r="A12" s="3"/>
      <c r="B12" s="24"/>
      <c r="C12" s="132"/>
      <c r="D12" s="203" t="e">
        <f>VLOOKUP($A12,INICIO_BARRA!$A$6:$R$130,3,FALSE)</f>
        <v>#N/A</v>
      </c>
      <c r="E12" s="203" t="e">
        <f>VLOOKUP($A12,INICIO_BARRA!$A$6:$R$130,4,FALSE)</f>
        <v>#N/A</v>
      </c>
      <c r="F12" s="203" t="str">
        <f>IFERROR(VLOOKUP($A12,REPOSICIONES_BARRA!$A$6:$I$130,3,FALSE),"")</f>
        <v/>
      </c>
      <c r="G12" s="315" t="e">
        <f t="shared" si="14"/>
        <v>#N/A</v>
      </c>
      <c r="H12" s="316" t="e">
        <f t="shared" si="15"/>
        <v>#N/A</v>
      </c>
      <c r="I12" s="317" t="str">
        <f>IFERROR(IFERROR(VLOOKUP($A12,VENTAS!$H$2:$O$201,2,FALSE),"")/$C12,"")</f>
        <v/>
      </c>
      <c r="J12" s="111"/>
      <c r="K12" s="203" t="e">
        <f>VLOOKUP($A12,INICIO_BARRA!$A$6:$R$130,5,FALSE)</f>
        <v>#N/A</v>
      </c>
      <c r="L12" s="203" t="e">
        <f>VLOOKUP($A12,INICIO_BARRA!$A$6:$R$130,6,FALSE)</f>
        <v>#N/A</v>
      </c>
      <c r="M12" s="156"/>
      <c r="N12" s="204" t="str">
        <f>IFERROR(IFERROR(IF(M12&gt;0,"",M12*VLOOKUP($A12,'VALOR I.'!$B$6:$K$418,10,FALSE)),"")*$C12,"")</f>
        <v/>
      </c>
      <c r="O12" s="203" t="e">
        <f>VLOOKUP($A12,INICIO_BARRA!$A$6:$R$130,5,FALSE)</f>
        <v>#N/A</v>
      </c>
      <c r="P12" s="203" t="e">
        <f>VLOOKUP($A12,INICIO_BARRA!$A$6:$R$130,6,FALSE)</f>
        <v>#N/A</v>
      </c>
      <c r="Q12" s="203" t="str">
        <f>IFERROR(VLOOKUP($A12,REPOSICIONES_BARRA!$A$6:$I$130,4,FALSE),"")</f>
        <v/>
      </c>
      <c r="R12" s="315" t="e">
        <f t="shared" si="2"/>
        <v>#N/A</v>
      </c>
      <c r="S12" s="316" t="e">
        <f t="shared" si="3"/>
        <v>#N/A</v>
      </c>
      <c r="T12" s="317" t="str">
        <f>IFERROR(IFERROR(VLOOKUP($A12,VENTAS!$H$2:$O$201,3,FALSE),"")/$C12,"")</f>
        <v/>
      </c>
      <c r="U12" s="111"/>
      <c r="V12" s="203" t="e">
        <f>VLOOKUP($A12,INICIO_BARRA!$A$6:$R$130,7,FALSE)</f>
        <v>#N/A</v>
      </c>
      <c r="W12" s="203" t="e">
        <f>VLOOKUP($A12,INICIO_BARRA!$A$6:$R$130,8,FALSE)</f>
        <v>#N/A</v>
      </c>
      <c r="X12" s="156"/>
      <c r="Y12" s="204" t="str">
        <f>IFERROR(IFERROR(IF(X12&gt;0,"",X12*VLOOKUP($A12,'VALOR I.'!$B$6:$K$418,10,FALSE)),"")*$C12,"")</f>
        <v/>
      </c>
      <c r="Z12" s="203" t="e">
        <f>VLOOKUP($A12,INICIO_BARRA!$A$6:$R$130,7,FALSE)</f>
        <v>#N/A</v>
      </c>
      <c r="AA12" s="203" t="e">
        <f>VLOOKUP($A12,INICIO_BARRA!$A$6:$R$130,8,FALSE)</f>
        <v>#N/A</v>
      </c>
      <c r="AB12" s="203" t="str">
        <f>IFERROR(VLOOKUP($A12,REPOSICIONES_BARRA!$A$6:$I$130,5,FALSE),"")</f>
        <v/>
      </c>
      <c r="AC12" s="315" t="e">
        <f t="shared" si="4"/>
        <v>#N/A</v>
      </c>
      <c r="AD12" s="316" t="e">
        <f t="shared" si="5"/>
        <v>#N/A</v>
      </c>
      <c r="AE12" s="317" t="str">
        <f>IFERROR(IFERROR(VLOOKUP($A12,VENTAS!$H$2:$O$201,4,FALSE),"")/$C12,"")</f>
        <v/>
      </c>
      <c r="AF12" s="111"/>
      <c r="AG12" s="203" t="e">
        <f>VLOOKUP($A12,INICIO_BARRA!$A$6:$R$130,9,FALSE)</f>
        <v>#N/A</v>
      </c>
      <c r="AH12" s="203" t="e">
        <f>VLOOKUP($A12,INICIO_BARRA!$A$6:$R$130,10,FALSE)</f>
        <v>#N/A</v>
      </c>
      <c r="AI12" s="156"/>
      <c r="AJ12" s="94" t="str">
        <f>IFERROR(IFERROR(IF(AI12&gt;0,"",AI12*VLOOKUP($A12,'VALOR I.'!$B$6:$K$418,10,FALSE)),"")*$C12,"")</f>
        <v/>
      </c>
      <c r="AK12" s="203" t="e">
        <f>VLOOKUP($A12,INICIO_BARRA!$A$6:$R$130,9,FALSE)</f>
        <v>#N/A</v>
      </c>
      <c r="AL12" s="203" t="e">
        <f>VLOOKUP($A12,INICIO_BARRA!$A$6:$R$130,10,FALSE)</f>
        <v>#N/A</v>
      </c>
      <c r="AM12" s="203" t="str">
        <f>IFERROR(VLOOKUP($A12,REPOSICIONES_BARRA!$A$6:$I$130,6,FALSE),"")</f>
        <v/>
      </c>
      <c r="AN12" s="315" t="e">
        <f t="shared" si="6"/>
        <v>#N/A</v>
      </c>
      <c r="AO12" s="316" t="e">
        <f t="shared" si="7"/>
        <v>#N/A</v>
      </c>
      <c r="AP12" s="317" t="str">
        <f>IFERROR(IFERROR(VLOOKUP($A12,VENTAS!$H$2:$O$201,5,FALSE),"")/$C12,"")</f>
        <v/>
      </c>
      <c r="AQ12" s="111"/>
      <c r="AR12" s="203" t="e">
        <f>VLOOKUP($A12,INICIO_BARRA!$A$6:$R$130,11,FALSE)</f>
        <v>#N/A</v>
      </c>
      <c r="AS12" s="203" t="e">
        <f>VLOOKUP($A12,INICIO_BARRA!$A$6:$R$130,12,FALSE)</f>
        <v>#N/A</v>
      </c>
      <c r="AT12" s="156"/>
      <c r="AU12" s="94" t="str">
        <f>IFERROR(IFERROR(IF(AT12&gt;0,"",AT12*VLOOKUP($A12,'VALOR I.'!$B$6:$K$418,10,FALSE)),"")*$C12,"")</f>
        <v/>
      </c>
      <c r="AV12" s="203" t="e">
        <f>VLOOKUP($A12,INICIO_BARRA!$A$6:$R$130,11,FALSE)</f>
        <v>#N/A</v>
      </c>
      <c r="AW12" s="203" t="e">
        <f>VLOOKUP($A12,INICIO_BARRA!$A$6:$R$130,12,FALSE)</f>
        <v>#N/A</v>
      </c>
      <c r="AX12" s="203" t="str">
        <f>IFERROR(VLOOKUP($A12,REPOSICIONES_BARRA!$A$6:$I$130,7,FALSE),"")</f>
        <v/>
      </c>
      <c r="AY12" s="315" t="e">
        <f t="shared" si="8"/>
        <v>#N/A</v>
      </c>
      <c r="AZ12" s="316" t="e">
        <f t="shared" si="9"/>
        <v>#N/A</v>
      </c>
      <c r="BA12" s="317" t="str">
        <f>IFERROR(IFERROR(VLOOKUP($A12,VENTAS!$H$2:$O$201,6,FALSE),"")/$C12,"")</f>
        <v/>
      </c>
      <c r="BB12" s="111"/>
      <c r="BC12" s="203" t="e">
        <f>VLOOKUP($A12,INICIO_BARRA!$A$6:$R$130,13,FALSE)</f>
        <v>#N/A</v>
      </c>
      <c r="BD12" s="203" t="e">
        <f>VLOOKUP($A12,INICIO_BARRA!$A$6:$R$130,14,FALSE)</f>
        <v>#N/A</v>
      </c>
      <c r="BE12" s="156"/>
      <c r="BF12" s="94" t="str">
        <f>IFERROR(IFERROR(IF(BE12&gt;0,"",BE12*VLOOKUP($A12,'VALOR I.'!$B$6:$K$418,10,FALSE)),"")*$C12,"")</f>
        <v/>
      </c>
      <c r="BG12" s="203" t="e">
        <f>VLOOKUP($A12,INICIO_BARRA!$A$6:$R$130,13,FALSE)</f>
        <v>#N/A</v>
      </c>
      <c r="BH12" s="203" t="e">
        <f>VLOOKUP($A12,INICIO_BARRA!$A$6:$R$130,14,FALSE)</f>
        <v>#N/A</v>
      </c>
      <c r="BI12" s="203" t="str">
        <f>IFERROR(VLOOKUP($A12,REPOSICIONES_BARRA!$A$6:$I$130,8,FALSE),"")</f>
        <v/>
      </c>
      <c r="BJ12" s="315" t="e">
        <f t="shared" si="10"/>
        <v>#N/A</v>
      </c>
      <c r="BK12" s="316" t="e">
        <f t="shared" si="11"/>
        <v>#N/A</v>
      </c>
      <c r="BL12" s="317" t="str">
        <f>IFERROR(IFERROR(VLOOKUP($A12,VENTAS!$H$2:$O$201,7,FALSE),"")/$C12,"")</f>
        <v/>
      </c>
      <c r="BM12" s="111"/>
      <c r="BN12" s="203" t="e">
        <f>VLOOKUP($A12,INICIO_BARRA!$A$6:$R$130,15,FALSE)</f>
        <v>#N/A</v>
      </c>
      <c r="BO12" s="203" t="e">
        <f>VLOOKUP($A12,INICIO_BARRA!$A$6:$R$130,16,FALSE)</f>
        <v>#N/A</v>
      </c>
      <c r="BP12" s="156"/>
      <c r="BQ12" s="94" t="str">
        <f>IFERROR(IFERROR(IF(BP12&gt;0,"",BP12*VLOOKUP($A12,'VALOR I.'!$B$6:$K$418,10,FALSE)),"")*$C12,"")</f>
        <v/>
      </c>
      <c r="BR12" s="203" t="e">
        <f>VLOOKUP($A12,INICIO_BARRA!$A$6:$R$130,15,FALSE)</f>
        <v>#N/A</v>
      </c>
      <c r="BS12" s="203" t="e">
        <f>VLOOKUP($A12,INICIO_BARRA!$A$6:$R$130,16,FALSE)</f>
        <v>#N/A</v>
      </c>
      <c r="BT12" s="203" t="str">
        <f>IFERROR(VLOOKUP($A12,REPOSICIONES_BARRA!$A$6:$I$130,9,FALSE),"")</f>
        <v/>
      </c>
      <c r="BU12" s="315" t="e">
        <f t="shared" si="12"/>
        <v>#N/A</v>
      </c>
      <c r="BV12" s="316" t="e">
        <f t="shared" si="13"/>
        <v>#N/A</v>
      </c>
      <c r="BW12" s="317" t="str">
        <f>IFERROR(IFERROR(VLOOKUP($A12,VENTAS!$H$2:$O$201,8,FALSE),"")/$C12,"")</f>
        <v/>
      </c>
      <c r="BX12" s="111"/>
      <c r="BY12" s="203" t="e">
        <f>VLOOKUP($A12,INICIO_BARRA!$A$6:$R$130,17,FALSE)</f>
        <v>#N/A</v>
      </c>
      <c r="BZ12" s="203" t="e">
        <f>VLOOKUP($A12,INICIO_BARRA!$A$6:$R$130,18,FALSE)</f>
        <v>#N/A</v>
      </c>
      <c r="CA12" s="156"/>
      <c r="CB12" s="94" t="str">
        <f>IFERROR(IFERROR(IF(CA12&gt;0,"",CA12*VLOOKUP($A12,'VALOR I.'!$B$6:$K$418,10,FALSE)),"")*$C12,"")</f>
        <v/>
      </c>
    </row>
    <row r="13" spans="1:80" s="7" customFormat="1" ht="30" hidden="1" customHeight="1" x14ac:dyDescent="0.45">
      <c r="A13" s="3"/>
      <c r="B13" s="22"/>
      <c r="C13" s="130"/>
      <c r="D13" s="203" t="e">
        <f>VLOOKUP($A13,INICIO_BARRA!$A$6:$R$130,3,FALSE)</f>
        <v>#N/A</v>
      </c>
      <c r="E13" s="203" t="e">
        <f>VLOOKUP($A13,INICIO_BARRA!$A$6:$R$130,4,FALSE)</f>
        <v>#N/A</v>
      </c>
      <c r="F13" s="203" t="str">
        <f>IFERROR(VLOOKUP($A13,REPOSICIONES_BARRA!$A$6:$I$130,3,FALSE),"")</f>
        <v/>
      </c>
      <c r="G13" s="315" t="e">
        <f t="shared" si="14"/>
        <v>#N/A</v>
      </c>
      <c r="H13" s="316" t="e">
        <f t="shared" si="15"/>
        <v>#N/A</v>
      </c>
      <c r="I13" s="317" t="str">
        <f>IFERROR(IFERROR(VLOOKUP($A13,VENTAS!$H$2:$O$201,2,FALSE),"")/$C13,"")</f>
        <v/>
      </c>
      <c r="J13" s="111"/>
      <c r="K13" s="203" t="e">
        <f>VLOOKUP($A13,INICIO_BARRA!$A$6:$R$130,5,FALSE)</f>
        <v>#N/A</v>
      </c>
      <c r="L13" s="203" t="e">
        <f>VLOOKUP($A13,INICIO_BARRA!$A$6:$R$130,6,FALSE)</f>
        <v>#N/A</v>
      </c>
      <c r="M13" s="156"/>
      <c r="N13" s="204" t="str">
        <f>IFERROR(IFERROR(IF(M13&gt;0,"",M13*VLOOKUP($A13,'VALOR I.'!$B$6:$K$418,10,FALSE)),"")*$C13,"")</f>
        <v/>
      </c>
      <c r="O13" s="203" t="e">
        <f>VLOOKUP($A13,INICIO_BARRA!$A$6:$R$130,5,FALSE)</f>
        <v>#N/A</v>
      </c>
      <c r="P13" s="203" t="e">
        <f>VLOOKUP($A13,INICIO_BARRA!$A$6:$R$130,6,FALSE)</f>
        <v>#N/A</v>
      </c>
      <c r="Q13" s="203" t="str">
        <f>IFERROR(VLOOKUP($A13,REPOSICIONES_BARRA!$A$6:$I$130,4,FALSE),"")</f>
        <v/>
      </c>
      <c r="R13" s="315" t="e">
        <f t="shared" si="2"/>
        <v>#N/A</v>
      </c>
      <c r="S13" s="316" t="e">
        <f t="shared" si="3"/>
        <v>#N/A</v>
      </c>
      <c r="T13" s="317" t="str">
        <f>IFERROR(IFERROR(VLOOKUP($A13,VENTAS!$H$2:$O$201,3,FALSE),"")/$C13,"")</f>
        <v/>
      </c>
      <c r="U13" s="111"/>
      <c r="V13" s="203" t="e">
        <f>VLOOKUP($A13,INICIO_BARRA!$A$6:$R$130,7,FALSE)</f>
        <v>#N/A</v>
      </c>
      <c r="W13" s="203" t="e">
        <f>VLOOKUP($A13,INICIO_BARRA!$A$6:$R$130,8,FALSE)</f>
        <v>#N/A</v>
      </c>
      <c r="X13" s="156"/>
      <c r="Y13" s="204" t="str">
        <f>IFERROR(IFERROR(IF(X13&gt;0,"",X13*VLOOKUP($A13,'VALOR I.'!$B$6:$K$418,10,FALSE)),"")*$C13,"")</f>
        <v/>
      </c>
      <c r="Z13" s="203" t="e">
        <f>VLOOKUP($A13,INICIO_BARRA!$A$6:$R$130,7,FALSE)</f>
        <v>#N/A</v>
      </c>
      <c r="AA13" s="203" t="e">
        <f>VLOOKUP($A13,INICIO_BARRA!$A$6:$R$130,8,FALSE)</f>
        <v>#N/A</v>
      </c>
      <c r="AB13" s="203" t="str">
        <f>IFERROR(VLOOKUP($A13,REPOSICIONES_BARRA!$A$6:$I$130,5,FALSE),"")</f>
        <v/>
      </c>
      <c r="AC13" s="315" t="e">
        <f t="shared" si="4"/>
        <v>#N/A</v>
      </c>
      <c r="AD13" s="316" t="e">
        <f t="shared" si="5"/>
        <v>#N/A</v>
      </c>
      <c r="AE13" s="317" t="str">
        <f>IFERROR(IFERROR(VLOOKUP($A13,VENTAS!$H$2:$O$201,4,FALSE),"")/$C13,"")</f>
        <v/>
      </c>
      <c r="AF13" s="111"/>
      <c r="AG13" s="203" t="e">
        <f>VLOOKUP($A13,INICIO_BARRA!$A$6:$R$130,9,FALSE)</f>
        <v>#N/A</v>
      </c>
      <c r="AH13" s="203" t="e">
        <f>VLOOKUP($A13,INICIO_BARRA!$A$6:$R$130,10,FALSE)</f>
        <v>#N/A</v>
      </c>
      <c r="AI13" s="156"/>
      <c r="AJ13" s="94" t="str">
        <f>IFERROR(IFERROR(IF(AI13&gt;0,"",AI13*VLOOKUP($A13,'VALOR I.'!$B$6:$K$418,10,FALSE)),"")*$C13,"")</f>
        <v/>
      </c>
      <c r="AK13" s="203" t="e">
        <f>VLOOKUP($A13,INICIO_BARRA!$A$6:$R$130,9,FALSE)</f>
        <v>#N/A</v>
      </c>
      <c r="AL13" s="203" t="e">
        <f>VLOOKUP($A13,INICIO_BARRA!$A$6:$R$130,10,FALSE)</f>
        <v>#N/A</v>
      </c>
      <c r="AM13" s="203" t="str">
        <f>IFERROR(VLOOKUP($A13,REPOSICIONES_BARRA!$A$6:$I$130,6,FALSE),"")</f>
        <v/>
      </c>
      <c r="AN13" s="315" t="e">
        <f t="shared" si="6"/>
        <v>#N/A</v>
      </c>
      <c r="AO13" s="316" t="e">
        <f t="shared" si="7"/>
        <v>#N/A</v>
      </c>
      <c r="AP13" s="317" t="str">
        <f>IFERROR(IFERROR(VLOOKUP($A13,VENTAS!$H$2:$O$201,5,FALSE),"")/$C13,"")</f>
        <v/>
      </c>
      <c r="AQ13" s="111"/>
      <c r="AR13" s="203" t="e">
        <f>VLOOKUP($A13,INICIO_BARRA!$A$6:$R$130,11,FALSE)</f>
        <v>#N/A</v>
      </c>
      <c r="AS13" s="203" t="e">
        <f>VLOOKUP($A13,INICIO_BARRA!$A$6:$R$130,12,FALSE)</f>
        <v>#N/A</v>
      </c>
      <c r="AT13" s="156"/>
      <c r="AU13" s="94" t="str">
        <f>IFERROR(IFERROR(IF(AT13&gt;0,"",AT13*VLOOKUP($A13,'VALOR I.'!$B$6:$K$418,10,FALSE)),"")*$C13,"")</f>
        <v/>
      </c>
      <c r="AV13" s="203" t="e">
        <f>VLOOKUP($A13,INICIO_BARRA!$A$6:$R$130,11,FALSE)</f>
        <v>#N/A</v>
      </c>
      <c r="AW13" s="203" t="e">
        <f>VLOOKUP($A13,INICIO_BARRA!$A$6:$R$130,12,FALSE)</f>
        <v>#N/A</v>
      </c>
      <c r="AX13" s="203" t="str">
        <f>IFERROR(VLOOKUP($A13,REPOSICIONES_BARRA!$A$6:$I$130,7,FALSE),"")</f>
        <v/>
      </c>
      <c r="AY13" s="315" t="e">
        <f t="shared" si="8"/>
        <v>#N/A</v>
      </c>
      <c r="AZ13" s="316" t="e">
        <f t="shared" si="9"/>
        <v>#N/A</v>
      </c>
      <c r="BA13" s="317" t="str">
        <f>IFERROR(IFERROR(VLOOKUP($A13,VENTAS!$H$2:$O$201,6,FALSE),"")/$C13,"")</f>
        <v/>
      </c>
      <c r="BB13" s="111"/>
      <c r="BC13" s="203" t="e">
        <f>VLOOKUP($A13,INICIO_BARRA!$A$6:$R$130,13,FALSE)</f>
        <v>#N/A</v>
      </c>
      <c r="BD13" s="203" t="e">
        <f>VLOOKUP($A13,INICIO_BARRA!$A$6:$R$130,14,FALSE)</f>
        <v>#N/A</v>
      </c>
      <c r="BE13" s="156"/>
      <c r="BF13" s="94" t="str">
        <f>IFERROR(IFERROR(IF(BE13&gt;0,"",BE13*VLOOKUP($A13,'VALOR I.'!$B$6:$K$418,10,FALSE)),"")*$C13,"")</f>
        <v/>
      </c>
      <c r="BG13" s="203" t="e">
        <f>VLOOKUP($A13,INICIO_BARRA!$A$6:$R$130,13,FALSE)</f>
        <v>#N/A</v>
      </c>
      <c r="BH13" s="203" t="e">
        <f>VLOOKUP($A13,INICIO_BARRA!$A$6:$R$130,14,FALSE)</f>
        <v>#N/A</v>
      </c>
      <c r="BI13" s="203" t="str">
        <f>IFERROR(VLOOKUP($A13,REPOSICIONES_BARRA!$A$6:$I$130,8,FALSE),"")</f>
        <v/>
      </c>
      <c r="BJ13" s="315" t="e">
        <f t="shared" si="10"/>
        <v>#N/A</v>
      </c>
      <c r="BK13" s="316" t="e">
        <f t="shared" si="11"/>
        <v>#N/A</v>
      </c>
      <c r="BL13" s="317" t="str">
        <f>IFERROR(IFERROR(VLOOKUP($A13,VENTAS!$H$2:$O$201,7,FALSE),"")/$C13,"")</f>
        <v/>
      </c>
      <c r="BM13" s="111"/>
      <c r="BN13" s="203" t="e">
        <f>VLOOKUP($A13,INICIO_BARRA!$A$6:$R$130,15,FALSE)</f>
        <v>#N/A</v>
      </c>
      <c r="BO13" s="203" t="e">
        <f>VLOOKUP($A13,INICIO_BARRA!$A$6:$R$130,16,FALSE)</f>
        <v>#N/A</v>
      </c>
      <c r="BP13" s="156"/>
      <c r="BQ13" s="94" t="str">
        <f>IFERROR(IFERROR(IF(BP13&gt;0,"",BP13*VLOOKUP($A13,'VALOR I.'!$B$6:$K$418,10,FALSE)),"")*$C13,"")</f>
        <v/>
      </c>
      <c r="BR13" s="203" t="e">
        <f>VLOOKUP($A13,INICIO_BARRA!$A$6:$R$130,15,FALSE)</f>
        <v>#N/A</v>
      </c>
      <c r="BS13" s="203" t="e">
        <f>VLOOKUP($A13,INICIO_BARRA!$A$6:$R$130,16,FALSE)</f>
        <v>#N/A</v>
      </c>
      <c r="BT13" s="203" t="str">
        <f>IFERROR(VLOOKUP($A13,REPOSICIONES_BARRA!$A$6:$I$130,9,FALSE),"")</f>
        <v/>
      </c>
      <c r="BU13" s="315" t="e">
        <f t="shared" si="12"/>
        <v>#N/A</v>
      </c>
      <c r="BV13" s="316" t="e">
        <f t="shared" si="13"/>
        <v>#N/A</v>
      </c>
      <c r="BW13" s="317" t="str">
        <f>IFERROR(IFERROR(VLOOKUP($A13,VENTAS!$H$2:$O$201,8,FALSE),"")/$C13,"")</f>
        <v/>
      </c>
      <c r="BX13" s="111"/>
      <c r="BY13" s="203" t="e">
        <f>VLOOKUP($A13,INICIO_BARRA!$A$6:$R$130,17,FALSE)</f>
        <v>#N/A</v>
      </c>
      <c r="BZ13" s="203" t="e">
        <f>VLOOKUP($A13,INICIO_BARRA!$A$6:$R$130,18,FALSE)</f>
        <v>#N/A</v>
      </c>
      <c r="CA13" s="156"/>
      <c r="CB13" s="94" t="str">
        <f>IFERROR(IFERROR(IF(CA13&gt;0,"",CA13*VLOOKUP($A13,'VALOR I.'!$B$6:$K$418,10,FALSE)),"")*$C13,"")</f>
        <v/>
      </c>
    </row>
    <row r="14" spans="1:80" s="7" customFormat="1" ht="30" hidden="1" customHeight="1" x14ac:dyDescent="0.45">
      <c r="A14" s="3"/>
      <c r="B14" s="22"/>
      <c r="C14" s="130"/>
      <c r="D14" s="203" t="e">
        <f>VLOOKUP($A14,INICIO_BARRA!$A$6:$R$130,3,FALSE)</f>
        <v>#N/A</v>
      </c>
      <c r="E14" s="203" t="e">
        <f>VLOOKUP($A14,INICIO_BARRA!$A$6:$R$130,4,FALSE)</f>
        <v>#N/A</v>
      </c>
      <c r="F14" s="203" t="str">
        <f>IFERROR(VLOOKUP($A14,REPOSICIONES_BARRA!$A$6:$I$130,3,FALSE),"")</f>
        <v/>
      </c>
      <c r="G14" s="315" t="e">
        <f t="shared" si="14"/>
        <v>#N/A</v>
      </c>
      <c r="H14" s="316" t="e">
        <f t="shared" si="15"/>
        <v>#N/A</v>
      </c>
      <c r="I14" s="317" t="str">
        <f>IFERROR(IFERROR(VLOOKUP($A14,VENTAS!$H$2:$O$201,2,FALSE),"")/$C14,"")</f>
        <v/>
      </c>
      <c r="J14" s="111"/>
      <c r="K14" s="203" t="e">
        <f>VLOOKUP($A14,INICIO_BARRA!$A$6:$R$130,5,FALSE)</f>
        <v>#N/A</v>
      </c>
      <c r="L14" s="203" t="e">
        <f>VLOOKUP($A14,INICIO_BARRA!$A$6:$R$130,6,FALSE)</f>
        <v>#N/A</v>
      </c>
      <c r="M14" s="156"/>
      <c r="N14" s="204" t="str">
        <f>IFERROR(IFERROR(IF(M14&gt;0,"",M14*VLOOKUP($A14,'VALOR I.'!$B$6:$K$418,10,FALSE)),"")*$C14,"")</f>
        <v/>
      </c>
      <c r="O14" s="203" t="e">
        <f>VLOOKUP($A14,INICIO_BARRA!$A$6:$R$130,5,FALSE)</f>
        <v>#N/A</v>
      </c>
      <c r="P14" s="203" t="e">
        <f>VLOOKUP($A14,INICIO_BARRA!$A$6:$R$130,6,FALSE)</f>
        <v>#N/A</v>
      </c>
      <c r="Q14" s="203" t="str">
        <f>IFERROR(VLOOKUP($A14,REPOSICIONES_BARRA!$A$6:$I$130,4,FALSE),"")</f>
        <v/>
      </c>
      <c r="R14" s="315" t="e">
        <f t="shared" si="2"/>
        <v>#N/A</v>
      </c>
      <c r="S14" s="316" t="e">
        <f t="shared" si="3"/>
        <v>#N/A</v>
      </c>
      <c r="T14" s="317" t="str">
        <f>IFERROR(IFERROR(VLOOKUP($A14,VENTAS!$H$2:$O$201,3,FALSE),"")/$C14,"")</f>
        <v/>
      </c>
      <c r="U14" s="111"/>
      <c r="V14" s="203" t="e">
        <f>VLOOKUP($A14,INICIO_BARRA!$A$6:$R$130,7,FALSE)</f>
        <v>#N/A</v>
      </c>
      <c r="W14" s="203" t="e">
        <f>VLOOKUP($A14,INICIO_BARRA!$A$6:$R$130,8,FALSE)</f>
        <v>#N/A</v>
      </c>
      <c r="X14" s="156"/>
      <c r="Y14" s="204" t="str">
        <f>IFERROR(IFERROR(IF(X14&gt;0,"",X14*VLOOKUP($A14,'VALOR I.'!$B$6:$K$418,10,FALSE)),"")*$C14,"")</f>
        <v/>
      </c>
      <c r="Z14" s="203" t="e">
        <f>VLOOKUP($A14,INICIO_BARRA!$A$6:$R$130,7,FALSE)</f>
        <v>#N/A</v>
      </c>
      <c r="AA14" s="203" t="e">
        <f>VLOOKUP($A14,INICIO_BARRA!$A$6:$R$130,8,FALSE)</f>
        <v>#N/A</v>
      </c>
      <c r="AB14" s="203" t="str">
        <f>IFERROR(VLOOKUP($A14,REPOSICIONES_BARRA!$A$6:$I$130,5,FALSE),"")</f>
        <v/>
      </c>
      <c r="AC14" s="315" t="e">
        <f t="shared" si="4"/>
        <v>#N/A</v>
      </c>
      <c r="AD14" s="316" t="e">
        <f t="shared" si="5"/>
        <v>#N/A</v>
      </c>
      <c r="AE14" s="317" t="str">
        <f>IFERROR(IFERROR(VLOOKUP($A14,VENTAS!$H$2:$O$201,4,FALSE),"")/$C14,"")</f>
        <v/>
      </c>
      <c r="AF14" s="111"/>
      <c r="AG14" s="203" t="e">
        <f>VLOOKUP($A14,INICIO_BARRA!$A$6:$R$130,9,FALSE)</f>
        <v>#N/A</v>
      </c>
      <c r="AH14" s="203" t="e">
        <f>VLOOKUP($A14,INICIO_BARRA!$A$6:$R$130,10,FALSE)</f>
        <v>#N/A</v>
      </c>
      <c r="AI14" s="156"/>
      <c r="AJ14" s="94" t="str">
        <f>IFERROR(IFERROR(IF(AI14&gt;0,"",AI14*VLOOKUP($A14,'VALOR I.'!$B$6:$K$418,10,FALSE)),"")*$C14,"")</f>
        <v/>
      </c>
      <c r="AK14" s="203" t="e">
        <f>VLOOKUP($A14,INICIO_BARRA!$A$6:$R$130,9,FALSE)</f>
        <v>#N/A</v>
      </c>
      <c r="AL14" s="203" t="e">
        <f>VLOOKUP($A14,INICIO_BARRA!$A$6:$R$130,10,FALSE)</f>
        <v>#N/A</v>
      </c>
      <c r="AM14" s="203" t="str">
        <f>IFERROR(VLOOKUP($A14,REPOSICIONES_BARRA!$A$6:$I$130,6,FALSE),"")</f>
        <v/>
      </c>
      <c r="AN14" s="315" t="e">
        <f t="shared" si="6"/>
        <v>#N/A</v>
      </c>
      <c r="AO14" s="316" t="e">
        <f t="shared" si="7"/>
        <v>#N/A</v>
      </c>
      <c r="AP14" s="317" t="str">
        <f>IFERROR(IFERROR(VLOOKUP($A14,VENTAS!$H$2:$O$201,5,FALSE),"")/$C14,"")</f>
        <v/>
      </c>
      <c r="AQ14" s="111"/>
      <c r="AR14" s="203" t="e">
        <f>VLOOKUP($A14,INICIO_BARRA!$A$6:$R$130,11,FALSE)</f>
        <v>#N/A</v>
      </c>
      <c r="AS14" s="203" t="e">
        <f>VLOOKUP($A14,INICIO_BARRA!$A$6:$R$130,12,FALSE)</f>
        <v>#N/A</v>
      </c>
      <c r="AT14" s="156"/>
      <c r="AU14" s="94" t="str">
        <f>IFERROR(IFERROR(IF(AT14&gt;0,"",AT14*VLOOKUP($A14,'VALOR I.'!$B$6:$K$418,10,FALSE)),"")*$C14,"")</f>
        <v/>
      </c>
      <c r="AV14" s="203" t="e">
        <f>VLOOKUP($A14,INICIO_BARRA!$A$6:$R$130,11,FALSE)</f>
        <v>#N/A</v>
      </c>
      <c r="AW14" s="203" t="e">
        <f>VLOOKUP($A14,INICIO_BARRA!$A$6:$R$130,12,FALSE)</f>
        <v>#N/A</v>
      </c>
      <c r="AX14" s="203" t="str">
        <f>IFERROR(VLOOKUP($A14,REPOSICIONES_BARRA!$A$6:$I$130,7,FALSE),"")</f>
        <v/>
      </c>
      <c r="AY14" s="315" t="e">
        <f t="shared" si="8"/>
        <v>#N/A</v>
      </c>
      <c r="AZ14" s="316" t="e">
        <f t="shared" si="9"/>
        <v>#N/A</v>
      </c>
      <c r="BA14" s="317" t="str">
        <f>IFERROR(IFERROR(VLOOKUP($A14,VENTAS!$H$2:$O$201,6,FALSE),"")/$C14,"")</f>
        <v/>
      </c>
      <c r="BB14" s="111"/>
      <c r="BC14" s="203" t="e">
        <f>VLOOKUP($A14,INICIO_BARRA!$A$6:$R$130,13,FALSE)</f>
        <v>#N/A</v>
      </c>
      <c r="BD14" s="203" t="e">
        <f>VLOOKUP($A14,INICIO_BARRA!$A$6:$R$130,14,FALSE)</f>
        <v>#N/A</v>
      </c>
      <c r="BE14" s="156"/>
      <c r="BF14" s="94" t="str">
        <f>IFERROR(IFERROR(IF(BE14&gt;0,"",BE14*VLOOKUP($A14,'VALOR I.'!$B$6:$K$418,10,FALSE)),"")*$C14,"")</f>
        <v/>
      </c>
      <c r="BG14" s="203" t="e">
        <f>VLOOKUP($A14,INICIO_BARRA!$A$6:$R$130,13,FALSE)</f>
        <v>#N/A</v>
      </c>
      <c r="BH14" s="203" t="e">
        <f>VLOOKUP($A14,INICIO_BARRA!$A$6:$R$130,14,FALSE)</f>
        <v>#N/A</v>
      </c>
      <c r="BI14" s="203" t="str">
        <f>IFERROR(VLOOKUP($A14,REPOSICIONES_BARRA!$A$6:$I$130,8,FALSE),"")</f>
        <v/>
      </c>
      <c r="BJ14" s="315" t="e">
        <f t="shared" si="10"/>
        <v>#N/A</v>
      </c>
      <c r="BK14" s="316" t="e">
        <f t="shared" si="11"/>
        <v>#N/A</v>
      </c>
      <c r="BL14" s="317" t="str">
        <f>IFERROR(IFERROR(VLOOKUP($A14,VENTAS!$H$2:$O$201,7,FALSE),"")/$C14,"")</f>
        <v/>
      </c>
      <c r="BM14" s="111"/>
      <c r="BN14" s="203" t="e">
        <f>VLOOKUP($A14,INICIO_BARRA!$A$6:$R$130,15,FALSE)</f>
        <v>#N/A</v>
      </c>
      <c r="BO14" s="203" t="e">
        <f>VLOOKUP($A14,INICIO_BARRA!$A$6:$R$130,16,FALSE)</f>
        <v>#N/A</v>
      </c>
      <c r="BP14" s="156"/>
      <c r="BQ14" s="94" t="str">
        <f>IFERROR(IFERROR(IF(BP14&gt;0,"",BP14*VLOOKUP($A14,'VALOR I.'!$B$6:$K$418,10,FALSE)),"")*$C14,"")</f>
        <v/>
      </c>
      <c r="BR14" s="203" t="e">
        <f>VLOOKUP($A14,INICIO_BARRA!$A$6:$R$130,15,FALSE)</f>
        <v>#N/A</v>
      </c>
      <c r="BS14" s="203" t="e">
        <f>VLOOKUP($A14,INICIO_BARRA!$A$6:$R$130,16,FALSE)</f>
        <v>#N/A</v>
      </c>
      <c r="BT14" s="203" t="str">
        <f>IFERROR(VLOOKUP($A14,REPOSICIONES_BARRA!$A$6:$I$130,9,FALSE),"")</f>
        <v/>
      </c>
      <c r="BU14" s="315" t="e">
        <f t="shared" si="12"/>
        <v>#N/A</v>
      </c>
      <c r="BV14" s="316" t="e">
        <f t="shared" si="13"/>
        <v>#N/A</v>
      </c>
      <c r="BW14" s="317" t="str">
        <f>IFERROR(IFERROR(VLOOKUP($A14,VENTAS!$H$2:$O$201,8,FALSE),"")/$C14,"")</f>
        <v/>
      </c>
      <c r="BX14" s="111"/>
      <c r="BY14" s="203" t="e">
        <f>VLOOKUP($A14,INICIO_BARRA!$A$6:$R$130,17,FALSE)</f>
        <v>#N/A</v>
      </c>
      <c r="BZ14" s="203" t="e">
        <f>VLOOKUP($A14,INICIO_BARRA!$A$6:$R$130,18,FALSE)</f>
        <v>#N/A</v>
      </c>
      <c r="CA14" s="156"/>
      <c r="CB14" s="94" t="str">
        <f>IFERROR(IFERROR(IF(CA14&gt;0,"",CA14*VLOOKUP($A14,'VALOR I.'!$B$6:$K$418,10,FALSE)),"")*$C14,"")</f>
        <v/>
      </c>
    </row>
    <row r="15" spans="1:80" s="7" customFormat="1" ht="30" hidden="1" customHeight="1" x14ac:dyDescent="0.45">
      <c r="A15" s="3"/>
      <c r="B15" s="22"/>
      <c r="C15" s="130"/>
      <c r="D15" s="203" t="e">
        <f>VLOOKUP($A15,INICIO_BARRA!$A$6:$R$130,3,FALSE)</f>
        <v>#N/A</v>
      </c>
      <c r="E15" s="203" t="e">
        <f>VLOOKUP($A15,INICIO_BARRA!$A$6:$R$130,4,FALSE)</f>
        <v>#N/A</v>
      </c>
      <c r="F15" s="203" t="str">
        <f>IFERROR(VLOOKUP($A15,REPOSICIONES_BARRA!$A$6:$I$130,3,FALSE),"")</f>
        <v/>
      </c>
      <c r="G15" s="315" t="e">
        <f t="shared" si="14"/>
        <v>#N/A</v>
      </c>
      <c r="H15" s="316" t="e">
        <f t="shared" si="15"/>
        <v>#N/A</v>
      </c>
      <c r="I15" s="317" t="str">
        <f>IFERROR(IFERROR(VLOOKUP($A15,VENTAS!$H$2:$O$201,2,FALSE),"")/$C15,"")</f>
        <v/>
      </c>
      <c r="J15" s="111"/>
      <c r="K15" s="203" t="e">
        <f>VLOOKUP($A15,INICIO_BARRA!$A$6:$R$130,5,FALSE)</f>
        <v>#N/A</v>
      </c>
      <c r="L15" s="203" t="e">
        <f>VLOOKUP($A15,INICIO_BARRA!$A$6:$R$130,6,FALSE)</f>
        <v>#N/A</v>
      </c>
      <c r="M15" s="156"/>
      <c r="N15" s="204" t="str">
        <f>IFERROR(IFERROR(IF(M15&gt;0,"",M15*VLOOKUP($A15,'VALOR I.'!$B$6:$K$418,10,FALSE)),"")*$C15,"")</f>
        <v/>
      </c>
      <c r="O15" s="203" t="e">
        <f>VLOOKUP($A15,INICIO_BARRA!$A$6:$R$130,5,FALSE)</f>
        <v>#N/A</v>
      </c>
      <c r="P15" s="203" t="e">
        <f>VLOOKUP($A15,INICIO_BARRA!$A$6:$R$130,6,FALSE)</f>
        <v>#N/A</v>
      </c>
      <c r="Q15" s="203" t="str">
        <f>IFERROR(VLOOKUP($A15,REPOSICIONES_BARRA!$A$6:$I$130,4,FALSE),"")</f>
        <v/>
      </c>
      <c r="R15" s="315" t="e">
        <f t="shared" si="2"/>
        <v>#N/A</v>
      </c>
      <c r="S15" s="316" t="e">
        <f t="shared" si="3"/>
        <v>#N/A</v>
      </c>
      <c r="T15" s="317" t="str">
        <f>IFERROR(IFERROR(VLOOKUP($A15,VENTAS!$H$2:$O$201,3,FALSE),"")/$C15,"")</f>
        <v/>
      </c>
      <c r="U15" s="111"/>
      <c r="V15" s="203" t="e">
        <f>VLOOKUP($A15,INICIO_BARRA!$A$6:$R$130,7,FALSE)</f>
        <v>#N/A</v>
      </c>
      <c r="W15" s="203" t="e">
        <f>VLOOKUP($A15,INICIO_BARRA!$A$6:$R$130,8,FALSE)</f>
        <v>#N/A</v>
      </c>
      <c r="X15" s="156"/>
      <c r="Y15" s="204" t="str">
        <f>IFERROR(IFERROR(IF(X15&gt;0,"",X15*VLOOKUP($A15,'VALOR I.'!$B$6:$K$418,10,FALSE)),"")*$C15,"")</f>
        <v/>
      </c>
      <c r="Z15" s="203" t="e">
        <f>VLOOKUP($A15,INICIO_BARRA!$A$6:$R$130,7,FALSE)</f>
        <v>#N/A</v>
      </c>
      <c r="AA15" s="203" t="e">
        <f>VLOOKUP($A15,INICIO_BARRA!$A$6:$R$130,8,FALSE)</f>
        <v>#N/A</v>
      </c>
      <c r="AB15" s="203" t="str">
        <f>IFERROR(VLOOKUP($A15,REPOSICIONES_BARRA!$A$6:$I$130,5,FALSE),"")</f>
        <v/>
      </c>
      <c r="AC15" s="315" t="e">
        <f t="shared" si="4"/>
        <v>#N/A</v>
      </c>
      <c r="AD15" s="316" t="e">
        <f t="shared" si="5"/>
        <v>#N/A</v>
      </c>
      <c r="AE15" s="317" t="str">
        <f>IFERROR(IFERROR(VLOOKUP($A15,VENTAS!$H$2:$O$201,4,FALSE),"")/$C15,"")</f>
        <v/>
      </c>
      <c r="AF15" s="111"/>
      <c r="AG15" s="203" t="e">
        <f>VLOOKUP($A15,INICIO_BARRA!$A$6:$R$130,9,FALSE)</f>
        <v>#N/A</v>
      </c>
      <c r="AH15" s="203" t="e">
        <f>VLOOKUP($A15,INICIO_BARRA!$A$6:$R$130,10,FALSE)</f>
        <v>#N/A</v>
      </c>
      <c r="AI15" s="156"/>
      <c r="AJ15" s="94" t="str">
        <f>IFERROR(IFERROR(IF(AI15&gt;0,"",AI15*VLOOKUP($A15,'VALOR I.'!$B$6:$K$418,10,FALSE)),"")*$C15,"")</f>
        <v/>
      </c>
      <c r="AK15" s="203" t="e">
        <f>VLOOKUP($A15,INICIO_BARRA!$A$6:$R$130,9,FALSE)</f>
        <v>#N/A</v>
      </c>
      <c r="AL15" s="203" t="e">
        <f>VLOOKUP($A15,INICIO_BARRA!$A$6:$R$130,10,FALSE)</f>
        <v>#N/A</v>
      </c>
      <c r="AM15" s="203" t="str">
        <f>IFERROR(VLOOKUP($A15,REPOSICIONES_BARRA!$A$6:$I$130,6,FALSE),"")</f>
        <v/>
      </c>
      <c r="AN15" s="315" t="e">
        <f t="shared" si="6"/>
        <v>#N/A</v>
      </c>
      <c r="AO15" s="316" t="e">
        <f t="shared" si="7"/>
        <v>#N/A</v>
      </c>
      <c r="AP15" s="317" t="str">
        <f>IFERROR(IFERROR(VLOOKUP($A15,VENTAS!$H$2:$O$201,5,FALSE),"")/$C15,"")</f>
        <v/>
      </c>
      <c r="AQ15" s="111"/>
      <c r="AR15" s="203" t="e">
        <f>VLOOKUP($A15,INICIO_BARRA!$A$6:$R$130,11,FALSE)</f>
        <v>#N/A</v>
      </c>
      <c r="AS15" s="203" t="e">
        <f>VLOOKUP($A15,INICIO_BARRA!$A$6:$R$130,12,FALSE)</f>
        <v>#N/A</v>
      </c>
      <c r="AT15" s="156"/>
      <c r="AU15" s="94" t="str">
        <f>IFERROR(IFERROR(IF(AT15&gt;0,"",AT15*VLOOKUP($A15,'VALOR I.'!$B$6:$K$418,10,FALSE)),"")*$C15,"")</f>
        <v/>
      </c>
      <c r="AV15" s="203" t="e">
        <f>VLOOKUP($A15,INICIO_BARRA!$A$6:$R$130,11,FALSE)</f>
        <v>#N/A</v>
      </c>
      <c r="AW15" s="203" t="e">
        <f>VLOOKUP($A15,INICIO_BARRA!$A$6:$R$130,12,FALSE)</f>
        <v>#N/A</v>
      </c>
      <c r="AX15" s="203" t="str">
        <f>IFERROR(VLOOKUP($A15,REPOSICIONES_BARRA!$A$6:$I$130,7,FALSE),"")</f>
        <v/>
      </c>
      <c r="AY15" s="315" t="e">
        <f t="shared" si="8"/>
        <v>#N/A</v>
      </c>
      <c r="AZ15" s="316" t="e">
        <f t="shared" si="9"/>
        <v>#N/A</v>
      </c>
      <c r="BA15" s="317" t="str">
        <f>IFERROR(IFERROR(VLOOKUP($A15,VENTAS!$H$2:$O$201,6,FALSE),"")/$C15,"")</f>
        <v/>
      </c>
      <c r="BB15" s="111"/>
      <c r="BC15" s="203" t="e">
        <f>VLOOKUP($A15,INICIO_BARRA!$A$6:$R$130,13,FALSE)</f>
        <v>#N/A</v>
      </c>
      <c r="BD15" s="203" t="e">
        <f>VLOOKUP($A15,INICIO_BARRA!$A$6:$R$130,14,FALSE)</f>
        <v>#N/A</v>
      </c>
      <c r="BE15" s="156"/>
      <c r="BF15" s="94" t="str">
        <f>IFERROR(IFERROR(IF(BE15&gt;0,"",BE15*VLOOKUP($A15,'VALOR I.'!$B$6:$K$418,10,FALSE)),"")*$C15,"")</f>
        <v/>
      </c>
      <c r="BG15" s="203" t="e">
        <f>VLOOKUP($A15,INICIO_BARRA!$A$6:$R$130,13,FALSE)</f>
        <v>#N/A</v>
      </c>
      <c r="BH15" s="203" t="e">
        <f>VLOOKUP($A15,INICIO_BARRA!$A$6:$R$130,14,FALSE)</f>
        <v>#N/A</v>
      </c>
      <c r="BI15" s="203" t="str">
        <f>IFERROR(VLOOKUP($A15,REPOSICIONES_BARRA!$A$6:$I$130,8,FALSE),"")</f>
        <v/>
      </c>
      <c r="BJ15" s="315" t="e">
        <f t="shared" si="10"/>
        <v>#N/A</v>
      </c>
      <c r="BK15" s="316" t="e">
        <f t="shared" si="11"/>
        <v>#N/A</v>
      </c>
      <c r="BL15" s="317" t="str">
        <f>IFERROR(IFERROR(VLOOKUP($A15,VENTAS!$H$2:$O$201,7,FALSE),"")/$C15,"")</f>
        <v/>
      </c>
      <c r="BM15" s="111"/>
      <c r="BN15" s="203" t="e">
        <f>VLOOKUP($A15,INICIO_BARRA!$A$6:$R$130,15,FALSE)</f>
        <v>#N/A</v>
      </c>
      <c r="BO15" s="203" t="e">
        <f>VLOOKUP($A15,INICIO_BARRA!$A$6:$R$130,16,FALSE)</f>
        <v>#N/A</v>
      </c>
      <c r="BP15" s="156"/>
      <c r="BQ15" s="94" t="str">
        <f>IFERROR(IFERROR(IF(BP15&gt;0,"",BP15*VLOOKUP($A15,'VALOR I.'!$B$6:$K$418,10,FALSE)),"")*$C15,"")</f>
        <v/>
      </c>
      <c r="BR15" s="203" t="e">
        <f>VLOOKUP($A15,INICIO_BARRA!$A$6:$R$130,15,FALSE)</f>
        <v>#N/A</v>
      </c>
      <c r="BS15" s="203" t="e">
        <f>VLOOKUP($A15,INICIO_BARRA!$A$6:$R$130,16,FALSE)</f>
        <v>#N/A</v>
      </c>
      <c r="BT15" s="203" t="str">
        <f>IFERROR(VLOOKUP($A15,REPOSICIONES_BARRA!$A$6:$I$130,9,FALSE),"")</f>
        <v/>
      </c>
      <c r="BU15" s="315" t="e">
        <f t="shared" si="12"/>
        <v>#N/A</v>
      </c>
      <c r="BV15" s="316" t="e">
        <f t="shared" si="13"/>
        <v>#N/A</v>
      </c>
      <c r="BW15" s="317" t="str">
        <f>IFERROR(IFERROR(VLOOKUP($A15,VENTAS!$H$2:$O$201,8,FALSE),"")/$C15,"")</f>
        <v/>
      </c>
      <c r="BX15" s="111"/>
      <c r="BY15" s="203" t="e">
        <f>VLOOKUP($A15,INICIO_BARRA!$A$6:$R$130,17,FALSE)</f>
        <v>#N/A</v>
      </c>
      <c r="BZ15" s="203" t="e">
        <f>VLOOKUP($A15,INICIO_BARRA!$A$6:$R$130,18,FALSE)</f>
        <v>#N/A</v>
      </c>
      <c r="CA15" s="156"/>
      <c r="CB15" s="94" t="str">
        <f>IFERROR(IFERROR(IF(CA15&gt;0,"",CA15*VLOOKUP($A15,'VALOR I.'!$B$6:$K$418,10,FALSE)),"")*$C15,"")</f>
        <v/>
      </c>
    </row>
    <row r="16" spans="1:80" s="7" customFormat="1" ht="30" hidden="1" customHeight="1" x14ac:dyDescent="0.45">
      <c r="A16" s="3"/>
      <c r="B16" s="23"/>
      <c r="C16" s="131"/>
      <c r="D16" s="203" t="e">
        <f>VLOOKUP($A16,INICIO_BARRA!$A$6:$R$130,3,FALSE)</f>
        <v>#N/A</v>
      </c>
      <c r="E16" s="203" t="e">
        <f>VLOOKUP($A16,INICIO_BARRA!$A$6:$R$130,4,FALSE)</f>
        <v>#N/A</v>
      </c>
      <c r="F16" s="203" t="str">
        <f>IFERROR(VLOOKUP($A16,REPOSICIONES_BARRA!$A$6:$I$130,3,FALSE),"")</f>
        <v/>
      </c>
      <c r="G16" s="315" t="e">
        <f t="shared" si="14"/>
        <v>#N/A</v>
      </c>
      <c r="H16" s="316" t="e">
        <f t="shared" si="15"/>
        <v>#N/A</v>
      </c>
      <c r="I16" s="317" t="str">
        <f>IFERROR(IFERROR(VLOOKUP($A16,VENTAS!$H$2:$O$201,2,FALSE),"")/$C16,"")</f>
        <v/>
      </c>
      <c r="J16" s="111"/>
      <c r="K16" s="203" t="e">
        <f>VLOOKUP($A16,INICIO_BARRA!$A$6:$R$130,5,FALSE)</f>
        <v>#N/A</v>
      </c>
      <c r="L16" s="203" t="e">
        <f>VLOOKUP($A16,INICIO_BARRA!$A$6:$R$130,6,FALSE)</f>
        <v>#N/A</v>
      </c>
      <c r="M16" s="156"/>
      <c r="N16" s="204" t="str">
        <f>IFERROR(IFERROR(IF(M16&gt;0,"",M16*VLOOKUP($A16,'VALOR I.'!$B$6:$K$418,10,FALSE)),"")*$C16,"")</f>
        <v/>
      </c>
      <c r="O16" s="203" t="e">
        <f>VLOOKUP($A16,INICIO_BARRA!$A$6:$R$130,5,FALSE)</f>
        <v>#N/A</v>
      </c>
      <c r="P16" s="203" t="e">
        <f>VLOOKUP($A16,INICIO_BARRA!$A$6:$R$130,6,FALSE)</f>
        <v>#N/A</v>
      </c>
      <c r="Q16" s="203" t="str">
        <f>IFERROR(VLOOKUP($A16,REPOSICIONES_BARRA!$A$6:$I$130,4,FALSE),"")</f>
        <v/>
      </c>
      <c r="R16" s="315" t="e">
        <f t="shared" si="2"/>
        <v>#N/A</v>
      </c>
      <c r="S16" s="316" t="e">
        <f t="shared" si="3"/>
        <v>#N/A</v>
      </c>
      <c r="T16" s="317" t="str">
        <f>IFERROR(IFERROR(VLOOKUP($A16,VENTAS!$H$2:$O$201,3,FALSE),"")/$C16,"")</f>
        <v/>
      </c>
      <c r="U16" s="111"/>
      <c r="V16" s="203" t="e">
        <f>VLOOKUP($A16,INICIO_BARRA!$A$6:$R$130,7,FALSE)</f>
        <v>#N/A</v>
      </c>
      <c r="W16" s="203" t="e">
        <f>VLOOKUP($A16,INICIO_BARRA!$A$6:$R$130,8,FALSE)</f>
        <v>#N/A</v>
      </c>
      <c r="X16" s="156"/>
      <c r="Y16" s="204" t="str">
        <f>IFERROR(IFERROR(IF(X16&gt;0,"",X16*VLOOKUP($A16,'VALOR I.'!$B$6:$K$418,10,FALSE)),"")*$C16,"")</f>
        <v/>
      </c>
      <c r="Z16" s="203" t="e">
        <f>VLOOKUP($A16,INICIO_BARRA!$A$6:$R$130,7,FALSE)</f>
        <v>#N/A</v>
      </c>
      <c r="AA16" s="203" t="e">
        <f>VLOOKUP($A16,INICIO_BARRA!$A$6:$R$130,8,FALSE)</f>
        <v>#N/A</v>
      </c>
      <c r="AB16" s="203" t="str">
        <f>IFERROR(VLOOKUP($A16,REPOSICIONES_BARRA!$A$6:$I$130,5,FALSE),"")</f>
        <v/>
      </c>
      <c r="AC16" s="315" t="e">
        <f t="shared" si="4"/>
        <v>#N/A</v>
      </c>
      <c r="AD16" s="316" t="e">
        <f t="shared" si="5"/>
        <v>#N/A</v>
      </c>
      <c r="AE16" s="317" t="str">
        <f>IFERROR(IFERROR(VLOOKUP($A16,VENTAS!$H$2:$O$201,4,FALSE),"")/$C16,"")</f>
        <v/>
      </c>
      <c r="AF16" s="111"/>
      <c r="AG16" s="203" t="e">
        <f>VLOOKUP($A16,INICIO_BARRA!$A$6:$R$130,9,FALSE)</f>
        <v>#N/A</v>
      </c>
      <c r="AH16" s="203" t="e">
        <f>VLOOKUP($A16,INICIO_BARRA!$A$6:$R$130,10,FALSE)</f>
        <v>#N/A</v>
      </c>
      <c r="AI16" s="156"/>
      <c r="AJ16" s="94" t="str">
        <f>IFERROR(IFERROR(IF(AI16&gt;0,"",AI16*VLOOKUP($A16,'VALOR I.'!$B$6:$K$418,10,FALSE)),"")*$C16,"")</f>
        <v/>
      </c>
      <c r="AK16" s="203" t="e">
        <f>VLOOKUP($A16,INICIO_BARRA!$A$6:$R$130,9,FALSE)</f>
        <v>#N/A</v>
      </c>
      <c r="AL16" s="203" t="e">
        <f>VLOOKUP($A16,INICIO_BARRA!$A$6:$R$130,10,FALSE)</f>
        <v>#N/A</v>
      </c>
      <c r="AM16" s="203" t="str">
        <f>IFERROR(VLOOKUP($A16,REPOSICIONES_BARRA!$A$6:$I$130,6,FALSE),"")</f>
        <v/>
      </c>
      <c r="AN16" s="315" t="e">
        <f t="shared" si="6"/>
        <v>#N/A</v>
      </c>
      <c r="AO16" s="316" t="e">
        <f t="shared" si="7"/>
        <v>#N/A</v>
      </c>
      <c r="AP16" s="317" t="str">
        <f>IFERROR(IFERROR(VLOOKUP($A16,VENTAS!$H$2:$O$201,5,FALSE),"")/$C16,"")</f>
        <v/>
      </c>
      <c r="AQ16" s="111"/>
      <c r="AR16" s="203" t="e">
        <f>VLOOKUP($A16,INICIO_BARRA!$A$6:$R$130,11,FALSE)</f>
        <v>#N/A</v>
      </c>
      <c r="AS16" s="203" t="e">
        <f>VLOOKUP($A16,INICIO_BARRA!$A$6:$R$130,12,FALSE)</f>
        <v>#N/A</v>
      </c>
      <c r="AT16" s="156"/>
      <c r="AU16" s="94" t="str">
        <f>IFERROR(IFERROR(IF(AT16&gt;0,"",AT16*VLOOKUP($A16,'VALOR I.'!$B$6:$K$418,10,FALSE)),"")*$C16,"")</f>
        <v/>
      </c>
      <c r="AV16" s="203" t="e">
        <f>VLOOKUP($A16,INICIO_BARRA!$A$6:$R$130,11,FALSE)</f>
        <v>#N/A</v>
      </c>
      <c r="AW16" s="203" t="e">
        <f>VLOOKUP($A16,INICIO_BARRA!$A$6:$R$130,12,FALSE)</f>
        <v>#N/A</v>
      </c>
      <c r="AX16" s="203" t="str">
        <f>IFERROR(VLOOKUP($A16,REPOSICIONES_BARRA!$A$6:$I$130,7,FALSE),"")</f>
        <v/>
      </c>
      <c r="AY16" s="315" t="e">
        <f t="shared" si="8"/>
        <v>#N/A</v>
      </c>
      <c r="AZ16" s="316" t="e">
        <f t="shared" si="9"/>
        <v>#N/A</v>
      </c>
      <c r="BA16" s="317" t="str">
        <f>IFERROR(IFERROR(VLOOKUP($A16,VENTAS!$H$2:$O$201,6,FALSE),"")/$C16,"")</f>
        <v/>
      </c>
      <c r="BB16" s="111"/>
      <c r="BC16" s="203" t="e">
        <f>VLOOKUP($A16,INICIO_BARRA!$A$6:$R$130,13,FALSE)</f>
        <v>#N/A</v>
      </c>
      <c r="BD16" s="203" t="e">
        <f>VLOOKUP($A16,INICIO_BARRA!$A$6:$R$130,14,FALSE)</f>
        <v>#N/A</v>
      </c>
      <c r="BE16" s="156"/>
      <c r="BF16" s="94" t="str">
        <f>IFERROR(IFERROR(IF(BE16&gt;0,"",BE16*VLOOKUP($A16,'VALOR I.'!$B$6:$K$418,10,FALSE)),"")*$C16,"")</f>
        <v/>
      </c>
      <c r="BG16" s="203" t="e">
        <f>VLOOKUP($A16,INICIO_BARRA!$A$6:$R$130,13,FALSE)</f>
        <v>#N/A</v>
      </c>
      <c r="BH16" s="203" t="e">
        <f>VLOOKUP($A16,INICIO_BARRA!$A$6:$R$130,14,FALSE)</f>
        <v>#N/A</v>
      </c>
      <c r="BI16" s="203" t="str">
        <f>IFERROR(VLOOKUP($A16,REPOSICIONES_BARRA!$A$6:$I$130,8,FALSE),"")</f>
        <v/>
      </c>
      <c r="BJ16" s="315" t="e">
        <f t="shared" si="10"/>
        <v>#N/A</v>
      </c>
      <c r="BK16" s="316" t="e">
        <f t="shared" si="11"/>
        <v>#N/A</v>
      </c>
      <c r="BL16" s="317" t="str">
        <f>IFERROR(IFERROR(VLOOKUP($A16,VENTAS!$H$2:$O$201,7,FALSE),"")/$C16,"")</f>
        <v/>
      </c>
      <c r="BM16" s="111"/>
      <c r="BN16" s="203" t="e">
        <f>VLOOKUP($A16,INICIO_BARRA!$A$6:$R$130,15,FALSE)</f>
        <v>#N/A</v>
      </c>
      <c r="BO16" s="203" t="e">
        <f>VLOOKUP($A16,INICIO_BARRA!$A$6:$R$130,16,FALSE)</f>
        <v>#N/A</v>
      </c>
      <c r="BP16" s="156"/>
      <c r="BQ16" s="94" t="str">
        <f>IFERROR(IFERROR(IF(BP16&gt;0,"",BP16*VLOOKUP($A16,'VALOR I.'!$B$6:$K$418,10,FALSE)),"")*$C16,"")</f>
        <v/>
      </c>
      <c r="BR16" s="203" t="e">
        <f>VLOOKUP($A16,INICIO_BARRA!$A$6:$R$130,15,FALSE)</f>
        <v>#N/A</v>
      </c>
      <c r="BS16" s="203" t="e">
        <f>VLOOKUP($A16,INICIO_BARRA!$A$6:$R$130,16,FALSE)</f>
        <v>#N/A</v>
      </c>
      <c r="BT16" s="203" t="str">
        <f>IFERROR(VLOOKUP($A16,REPOSICIONES_BARRA!$A$6:$I$130,9,FALSE),"")</f>
        <v/>
      </c>
      <c r="BU16" s="315" t="e">
        <f t="shared" si="12"/>
        <v>#N/A</v>
      </c>
      <c r="BV16" s="316" t="e">
        <f t="shared" si="13"/>
        <v>#N/A</v>
      </c>
      <c r="BW16" s="317" t="str">
        <f>IFERROR(IFERROR(VLOOKUP($A16,VENTAS!$H$2:$O$201,8,FALSE),"")/$C16,"")</f>
        <v/>
      </c>
      <c r="BX16" s="111"/>
      <c r="BY16" s="203" t="e">
        <f>VLOOKUP($A16,INICIO_BARRA!$A$6:$R$130,17,FALSE)</f>
        <v>#N/A</v>
      </c>
      <c r="BZ16" s="203" t="e">
        <f>VLOOKUP($A16,INICIO_BARRA!$A$6:$R$130,18,FALSE)</f>
        <v>#N/A</v>
      </c>
      <c r="CA16" s="156"/>
      <c r="CB16" s="94" t="str">
        <f>IFERROR(IFERROR(IF(CA16&gt;0,"",CA16*VLOOKUP($A16,'VALOR I.'!$B$6:$K$418,10,FALSE)),"")*$C16,"")</f>
        <v/>
      </c>
    </row>
    <row r="17" spans="1:80" s="7" customFormat="1" ht="30" hidden="1" customHeight="1" x14ac:dyDescent="0.45">
      <c r="A17" s="3"/>
      <c r="B17" s="26"/>
      <c r="C17" s="133"/>
      <c r="D17" s="203" t="e">
        <f>VLOOKUP($A17,INICIO_BARRA!$A$6:$R$130,3,FALSE)</f>
        <v>#N/A</v>
      </c>
      <c r="E17" s="203" t="e">
        <f>VLOOKUP($A17,INICIO_BARRA!$A$6:$R$130,4,FALSE)</f>
        <v>#N/A</v>
      </c>
      <c r="F17" s="203" t="str">
        <f>IFERROR(VLOOKUP($A17,REPOSICIONES_BARRA!$A$6:$I$130,3,FALSE),"")</f>
        <v/>
      </c>
      <c r="G17" s="315" t="e">
        <f t="shared" si="14"/>
        <v>#N/A</v>
      </c>
      <c r="H17" s="316" t="e">
        <f t="shared" si="15"/>
        <v>#N/A</v>
      </c>
      <c r="I17" s="317" t="str">
        <f>IFERROR(IFERROR(VLOOKUP($A17,VENTAS!$H$2:$O$201,2,FALSE),"")/$C17,"")</f>
        <v/>
      </c>
      <c r="J17" s="111"/>
      <c r="K17" s="203" t="e">
        <f>VLOOKUP($A17,INICIO_BARRA!$A$6:$R$130,5,FALSE)</f>
        <v>#N/A</v>
      </c>
      <c r="L17" s="203" t="e">
        <f>VLOOKUP($A17,INICIO_BARRA!$A$6:$R$130,6,FALSE)</f>
        <v>#N/A</v>
      </c>
      <c r="M17" s="156"/>
      <c r="N17" s="204" t="str">
        <f>IFERROR(IFERROR(IF(M17&gt;0,"",M17*VLOOKUP($A17,'VALOR I.'!$B$6:$K$418,10,FALSE)),"")*$C17,"")</f>
        <v/>
      </c>
      <c r="O17" s="203" t="e">
        <f>VLOOKUP($A17,INICIO_BARRA!$A$6:$R$130,5,FALSE)</f>
        <v>#N/A</v>
      </c>
      <c r="P17" s="203" t="e">
        <f>VLOOKUP($A17,INICIO_BARRA!$A$6:$R$130,6,FALSE)</f>
        <v>#N/A</v>
      </c>
      <c r="Q17" s="203" t="str">
        <f>IFERROR(VLOOKUP($A17,REPOSICIONES_BARRA!$A$6:$I$130,4,FALSE),"")</f>
        <v/>
      </c>
      <c r="R17" s="315" t="e">
        <f t="shared" si="2"/>
        <v>#N/A</v>
      </c>
      <c r="S17" s="316" t="e">
        <f t="shared" si="3"/>
        <v>#N/A</v>
      </c>
      <c r="T17" s="317" t="str">
        <f>IFERROR(IFERROR(VLOOKUP($A17,VENTAS!$H$2:$O$201,3,FALSE),"")/$C17,"")</f>
        <v/>
      </c>
      <c r="U17" s="111"/>
      <c r="V17" s="203" t="e">
        <f>VLOOKUP($A17,INICIO_BARRA!$A$6:$R$130,7,FALSE)</f>
        <v>#N/A</v>
      </c>
      <c r="W17" s="203" t="e">
        <f>VLOOKUP($A17,INICIO_BARRA!$A$6:$R$130,8,FALSE)</f>
        <v>#N/A</v>
      </c>
      <c r="X17" s="156"/>
      <c r="Y17" s="204" t="str">
        <f>IFERROR(IFERROR(IF(X17&gt;0,"",X17*VLOOKUP($A17,'VALOR I.'!$B$6:$K$418,10,FALSE)),"")*$C17,"")</f>
        <v/>
      </c>
      <c r="Z17" s="203" t="e">
        <f>VLOOKUP($A17,INICIO_BARRA!$A$6:$R$130,7,FALSE)</f>
        <v>#N/A</v>
      </c>
      <c r="AA17" s="203" t="e">
        <f>VLOOKUP($A17,INICIO_BARRA!$A$6:$R$130,8,FALSE)</f>
        <v>#N/A</v>
      </c>
      <c r="AB17" s="203" t="str">
        <f>IFERROR(VLOOKUP($A17,REPOSICIONES_BARRA!$A$6:$I$130,5,FALSE),"")</f>
        <v/>
      </c>
      <c r="AC17" s="315" t="e">
        <f t="shared" si="4"/>
        <v>#N/A</v>
      </c>
      <c r="AD17" s="316" t="e">
        <f t="shared" si="5"/>
        <v>#N/A</v>
      </c>
      <c r="AE17" s="317" t="str">
        <f>IFERROR(IFERROR(VLOOKUP($A17,VENTAS!$H$2:$O$201,4,FALSE),"")/$C17,"")</f>
        <v/>
      </c>
      <c r="AF17" s="111"/>
      <c r="AG17" s="203" t="e">
        <f>VLOOKUP($A17,INICIO_BARRA!$A$6:$R$130,9,FALSE)</f>
        <v>#N/A</v>
      </c>
      <c r="AH17" s="203" t="e">
        <f>VLOOKUP($A17,INICIO_BARRA!$A$6:$R$130,10,FALSE)</f>
        <v>#N/A</v>
      </c>
      <c r="AI17" s="156"/>
      <c r="AJ17" s="94" t="str">
        <f>IFERROR(IFERROR(IF(AI17&gt;0,"",AI17*VLOOKUP($A17,'VALOR I.'!$B$6:$K$418,10,FALSE)),"")*$C17,"")</f>
        <v/>
      </c>
      <c r="AK17" s="203" t="e">
        <f>VLOOKUP($A17,INICIO_BARRA!$A$6:$R$130,9,FALSE)</f>
        <v>#N/A</v>
      </c>
      <c r="AL17" s="203" t="e">
        <f>VLOOKUP($A17,INICIO_BARRA!$A$6:$R$130,10,FALSE)</f>
        <v>#N/A</v>
      </c>
      <c r="AM17" s="203" t="str">
        <f>IFERROR(VLOOKUP($A17,REPOSICIONES_BARRA!$A$6:$I$130,6,FALSE),"")</f>
        <v/>
      </c>
      <c r="AN17" s="315" t="e">
        <f t="shared" si="6"/>
        <v>#N/A</v>
      </c>
      <c r="AO17" s="316" t="e">
        <f t="shared" si="7"/>
        <v>#N/A</v>
      </c>
      <c r="AP17" s="317" t="str">
        <f>IFERROR(IFERROR(VLOOKUP($A17,VENTAS!$H$2:$O$201,5,FALSE),"")/$C17,"")</f>
        <v/>
      </c>
      <c r="AQ17" s="111"/>
      <c r="AR17" s="203" t="e">
        <f>VLOOKUP($A17,INICIO_BARRA!$A$6:$R$130,11,FALSE)</f>
        <v>#N/A</v>
      </c>
      <c r="AS17" s="203" t="e">
        <f>VLOOKUP($A17,INICIO_BARRA!$A$6:$R$130,12,FALSE)</f>
        <v>#N/A</v>
      </c>
      <c r="AT17" s="156"/>
      <c r="AU17" s="94" t="str">
        <f>IFERROR(IFERROR(IF(AT17&gt;0,"",AT17*VLOOKUP($A17,'VALOR I.'!$B$6:$K$418,10,FALSE)),"")*$C17,"")</f>
        <v/>
      </c>
      <c r="AV17" s="203" t="e">
        <f>VLOOKUP($A17,INICIO_BARRA!$A$6:$R$130,11,FALSE)</f>
        <v>#N/A</v>
      </c>
      <c r="AW17" s="203" t="e">
        <f>VLOOKUP($A17,INICIO_BARRA!$A$6:$R$130,12,FALSE)</f>
        <v>#N/A</v>
      </c>
      <c r="AX17" s="203" t="str">
        <f>IFERROR(VLOOKUP($A17,REPOSICIONES_BARRA!$A$6:$I$130,7,FALSE),"")</f>
        <v/>
      </c>
      <c r="AY17" s="315" t="e">
        <f t="shared" si="8"/>
        <v>#N/A</v>
      </c>
      <c r="AZ17" s="316" t="e">
        <f t="shared" si="9"/>
        <v>#N/A</v>
      </c>
      <c r="BA17" s="317" t="str">
        <f>IFERROR(IFERROR(VLOOKUP($A17,VENTAS!$H$2:$O$201,6,FALSE),"")/$C17,"")</f>
        <v/>
      </c>
      <c r="BB17" s="111"/>
      <c r="BC17" s="203" t="e">
        <f>VLOOKUP($A17,INICIO_BARRA!$A$6:$R$130,13,FALSE)</f>
        <v>#N/A</v>
      </c>
      <c r="BD17" s="203" t="e">
        <f>VLOOKUP($A17,INICIO_BARRA!$A$6:$R$130,14,FALSE)</f>
        <v>#N/A</v>
      </c>
      <c r="BE17" s="156"/>
      <c r="BF17" s="94" t="str">
        <f>IFERROR(IFERROR(IF(BE17&gt;0,"",BE17*VLOOKUP($A17,'VALOR I.'!$B$6:$K$418,10,FALSE)),"")*$C17,"")</f>
        <v/>
      </c>
      <c r="BG17" s="203" t="e">
        <f>VLOOKUP($A17,INICIO_BARRA!$A$6:$R$130,13,FALSE)</f>
        <v>#N/A</v>
      </c>
      <c r="BH17" s="203" t="e">
        <f>VLOOKUP($A17,INICIO_BARRA!$A$6:$R$130,14,FALSE)</f>
        <v>#N/A</v>
      </c>
      <c r="BI17" s="203" t="str">
        <f>IFERROR(VLOOKUP($A17,REPOSICIONES_BARRA!$A$6:$I$130,8,FALSE),"")</f>
        <v/>
      </c>
      <c r="BJ17" s="315" t="e">
        <f t="shared" si="10"/>
        <v>#N/A</v>
      </c>
      <c r="BK17" s="316" t="e">
        <f t="shared" si="11"/>
        <v>#N/A</v>
      </c>
      <c r="BL17" s="317" t="str">
        <f>IFERROR(IFERROR(VLOOKUP($A17,VENTAS!$H$2:$O$201,7,FALSE),"")/$C17,"")</f>
        <v/>
      </c>
      <c r="BM17" s="111"/>
      <c r="BN17" s="203" t="e">
        <f>VLOOKUP($A17,INICIO_BARRA!$A$6:$R$130,15,FALSE)</f>
        <v>#N/A</v>
      </c>
      <c r="BO17" s="203" t="e">
        <f>VLOOKUP($A17,INICIO_BARRA!$A$6:$R$130,16,FALSE)</f>
        <v>#N/A</v>
      </c>
      <c r="BP17" s="156"/>
      <c r="BQ17" s="94" t="str">
        <f>IFERROR(IFERROR(IF(BP17&gt;0,"",BP17*VLOOKUP($A17,'VALOR I.'!$B$6:$K$418,10,FALSE)),"")*$C17,"")</f>
        <v/>
      </c>
      <c r="BR17" s="203" t="e">
        <f>VLOOKUP($A17,INICIO_BARRA!$A$6:$R$130,15,FALSE)</f>
        <v>#N/A</v>
      </c>
      <c r="BS17" s="203" t="e">
        <f>VLOOKUP($A17,INICIO_BARRA!$A$6:$R$130,16,FALSE)</f>
        <v>#N/A</v>
      </c>
      <c r="BT17" s="203" t="str">
        <f>IFERROR(VLOOKUP($A17,REPOSICIONES_BARRA!$A$6:$I$130,9,FALSE),"")</f>
        <v/>
      </c>
      <c r="BU17" s="315" t="e">
        <f t="shared" si="12"/>
        <v>#N/A</v>
      </c>
      <c r="BV17" s="316" t="e">
        <f t="shared" si="13"/>
        <v>#N/A</v>
      </c>
      <c r="BW17" s="317" t="str">
        <f>IFERROR(IFERROR(VLOOKUP($A17,VENTAS!$H$2:$O$201,8,FALSE),"")/$C17,"")</f>
        <v/>
      </c>
      <c r="BX17" s="111"/>
      <c r="BY17" s="203" t="e">
        <f>VLOOKUP($A17,INICIO_BARRA!$A$6:$R$130,17,FALSE)</f>
        <v>#N/A</v>
      </c>
      <c r="BZ17" s="203" t="e">
        <f>VLOOKUP($A17,INICIO_BARRA!$A$6:$R$130,18,FALSE)</f>
        <v>#N/A</v>
      </c>
      <c r="CA17" s="156"/>
      <c r="CB17" s="94" t="str">
        <f>IFERROR(IFERROR(IF(CA17&gt;0,"",CA17*VLOOKUP($A17,'VALOR I.'!$B$6:$K$418,10,FALSE)),"")*$C17,"")</f>
        <v/>
      </c>
    </row>
    <row r="18" spans="1:80" s="7" customFormat="1" ht="30" hidden="1" customHeight="1" x14ac:dyDescent="0.3">
      <c r="A18" s="3"/>
      <c r="B18" s="27"/>
      <c r="C18" s="127"/>
      <c r="D18" s="203" t="e">
        <f>VLOOKUP($A18,INICIO_BARRA!$A$6:$R$130,3,FALSE)</f>
        <v>#N/A</v>
      </c>
      <c r="E18" s="203" t="e">
        <f>VLOOKUP($A18,INICIO_BARRA!$A$6:$R$130,4,FALSE)</f>
        <v>#N/A</v>
      </c>
      <c r="F18" s="203" t="str">
        <f>IFERROR(VLOOKUP($A18,REPOSICIONES_BARRA!$A$6:$I$130,3,FALSE),"")</f>
        <v/>
      </c>
      <c r="G18" s="315" t="e">
        <f t="shared" si="14"/>
        <v>#N/A</v>
      </c>
      <c r="H18" s="316" t="e">
        <f t="shared" si="15"/>
        <v>#N/A</v>
      </c>
      <c r="I18" s="317" t="str">
        <f>IFERROR(IFERROR(VLOOKUP($A18,VENTAS!$H$2:$O$201,2,FALSE),"")/$C18,"")</f>
        <v/>
      </c>
      <c r="J18" s="111"/>
      <c r="K18" s="203" t="e">
        <f>VLOOKUP($A18,INICIO_BARRA!$A$6:$R$130,5,FALSE)</f>
        <v>#N/A</v>
      </c>
      <c r="L18" s="203" t="e">
        <f>VLOOKUP($A18,INICIO_BARRA!$A$6:$R$130,6,FALSE)</f>
        <v>#N/A</v>
      </c>
      <c r="M18" s="156"/>
      <c r="N18" s="204" t="str">
        <f>IFERROR(IFERROR(IF(M18&gt;0,"",M18*VLOOKUP($A18,'VALOR I.'!$B$6:$K$418,10,FALSE)),"")*$C18,"")</f>
        <v/>
      </c>
      <c r="O18" s="203" t="e">
        <f>VLOOKUP($A18,INICIO_BARRA!$A$6:$R$130,5,FALSE)</f>
        <v>#N/A</v>
      </c>
      <c r="P18" s="203" t="e">
        <f>VLOOKUP($A18,INICIO_BARRA!$A$6:$R$130,6,FALSE)</f>
        <v>#N/A</v>
      </c>
      <c r="Q18" s="203" t="str">
        <f>IFERROR(VLOOKUP($A18,REPOSICIONES_BARRA!$A$6:$I$130,4,FALSE),"")</f>
        <v/>
      </c>
      <c r="R18" s="315" t="e">
        <f t="shared" si="2"/>
        <v>#N/A</v>
      </c>
      <c r="S18" s="316" t="e">
        <f t="shared" si="3"/>
        <v>#N/A</v>
      </c>
      <c r="T18" s="317" t="str">
        <f>IFERROR(IFERROR(VLOOKUP($A18,VENTAS!$H$2:$O$201,3,FALSE),"")/$C18,"")</f>
        <v/>
      </c>
      <c r="U18" s="111"/>
      <c r="V18" s="203" t="e">
        <f>VLOOKUP($A18,INICIO_BARRA!$A$6:$R$130,7,FALSE)</f>
        <v>#N/A</v>
      </c>
      <c r="W18" s="203" t="e">
        <f>VLOOKUP($A18,INICIO_BARRA!$A$6:$R$130,8,FALSE)</f>
        <v>#N/A</v>
      </c>
      <c r="X18" s="156"/>
      <c r="Y18" s="204" t="str">
        <f>IFERROR(IFERROR(IF(X18&gt;0,"",X18*VLOOKUP($A18,'VALOR I.'!$B$6:$K$418,10,FALSE)),"")*$C18,"")</f>
        <v/>
      </c>
      <c r="Z18" s="203" t="e">
        <f>VLOOKUP($A18,INICIO_BARRA!$A$6:$R$130,7,FALSE)</f>
        <v>#N/A</v>
      </c>
      <c r="AA18" s="203" t="e">
        <f>VLOOKUP($A18,INICIO_BARRA!$A$6:$R$130,8,FALSE)</f>
        <v>#N/A</v>
      </c>
      <c r="AB18" s="203" t="str">
        <f>IFERROR(VLOOKUP($A18,REPOSICIONES_BARRA!$A$6:$I$130,5,FALSE),"")</f>
        <v/>
      </c>
      <c r="AC18" s="315" t="e">
        <f t="shared" si="4"/>
        <v>#N/A</v>
      </c>
      <c r="AD18" s="316" t="e">
        <f t="shared" si="5"/>
        <v>#N/A</v>
      </c>
      <c r="AE18" s="317" t="str">
        <f>IFERROR(IFERROR(VLOOKUP($A18,VENTAS!$H$2:$O$201,4,FALSE),"")/$C18,"")</f>
        <v/>
      </c>
      <c r="AF18" s="111"/>
      <c r="AG18" s="203" t="e">
        <f>VLOOKUP($A18,INICIO_BARRA!$A$6:$R$130,9,FALSE)</f>
        <v>#N/A</v>
      </c>
      <c r="AH18" s="203" t="e">
        <f>VLOOKUP($A18,INICIO_BARRA!$A$6:$R$130,10,FALSE)</f>
        <v>#N/A</v>
      </c>
      <c r="AI18" s="156"/>
      <c r="AJ18" s="94" t="str">
        <f>IFERROR(IFERROR(IF(AI18&gt;0,"",AI18*VLOOKUP($A18,'VALOR I.'!$B$6:$K$418,10,FALSE)),"")*$C18,"")</f>
        <v/>
      </c>
      <c r="AK18" s="203" t="e">
        <f>VLOOKUP($A18,INICIO_BARRA!$A$6:$R$130,9,FALSE)</f>
        <v>#N/A</v>
      </c>
      <c r="AL18" s="203" t="e">
        <f>VLOOKUP($A18,INICIO_BARRA!$A$6:$R$130,10,FALSE)</f>
        <v>#N/A</v>
      </c>
      <c r="AM18" s="203" t="str">
        <f>IFERROR(VLOOKUP($A18,REPOSICIONES_BARRA!$A$6:$I$130,6,FALSE),"")</f>
        <v/>
      </c>
      <c r="AN18" s="315" t="e">
        <f t="shared" si="6"/>
        <v>#N/A</v>
      </c>
      <c r="AO18" s="316" t="e">
        <f t="shared" si="7"/>
        <v>#N/A</v>
      </c>
      <c r="AP18" s="317" t="str">
        <f>IFERROR(IFERROR(VLOOKUP($A18,VENTAS!$H$2:$O$201,5,FALSE),"")/$C18,"")</f>
        <v/>
      </c>
      <c r="AQ18" s="111"/>
      <c r="AR18" s="203" t="e">
        <f>VLOOKUP($A18,INICIO_BARRA!$A$6:$R$130,11,FALSE)</f>
        <v>#N/A</v>
      </c>
      <c r="AS18" s="203" t="e">
        <f>VLOOKUP($A18,INICIO_BARRA!$A$6:$R$130,12,FALSE)</f>
        <v>#N/A</v>
      </c>
      <c r="AT18" s="156"/>
      <c r="AU18" s="94" t="str">
        <f>IFERROR(IFERROR(IF(AT18&gt;0,"",AT18*VLOOKUP($A18,'VALOR I.'!$B$6:$K$418,10,FALSE)),"")*$C18,"")</f>
        <v/>
      </c>
      <c r="AV18" s="203" t="e">
        <f>VLOOKUP($A18,INICIO_BARRA!$A$6:$R$130,11,FALSE)</f>
        <v>#N/A</v>
      </c>
      <c r="AW18" s="203" t="e">
        <f>VLOOKUP($A18,INICIO_BARRA!$A$6:$R$130,12,FALSE)</f>
        <v>#N/A</v>
      </c>
      <c r="AX18" s="203" t="str">
        <f>IFERROR(VLOOKUP($A18,REPOSICIONES_BARRA!$A$6:$I$130,7,FALSE),"")</f>
        <v/>
      </c>
      <c r="AY18" s="315" t="e">
        <f t="shared" si="8"/>
        <v>#N/A</v>
      </c>
      <c r="AZ18" s="316" t="e">
        <f t="shared" si="9"/>
        <v>#N/A</v>
      </c>
      <c r="BA18" s="317" t="str">
        <f>IFERROR(IFERROR(VLOOKUP($A18,VENTAS!$H$2:$O$201,6,FALSE),"")/$C18,"")</f>
        <v/>
      </c>
      <c r="BB18" s="111"/>
      <c r="BC18" s="203" t="e">
        <f>VLOOKUP($A18,INICIO_BARRA!$A$6:$R$130,13,FALSE)</f>
        <v>#N/A</v>
      </c>
      <c r="BD18" s="203" t="e">
        <f>VLOOKUP($A18,INICIO_BARRA!$A$6:$R$130,14,FALSE)</f>
        <v>#N/A</v>
      </c>
      <c r="BE18" s="156"/>
      <c r="BF18" s="94" t="str">
        <f>IFERROR(IFERROR(IF(BE18&gt;0,"",BE18*VLOOKUP($A18,'VALOR I.'!$B$6:$K$418,10,FALSE)),"")*$C18,"")</f>
        <v/>
      </c>
      <c r="BG18" s="203" t="e">
        <f>VLOOKUP($A18,INICIO_BARRA!$A$6:$R$130,13,FALSE)</f>
        <v>#N/A</v>
      </c>
      <c r="BH18" s="203" t="e">
        <f>VLOOKUP($A18,INICIO_BARRA!$A$6:$R$130,14,FALSE)</f>
        <v>#N/A</v>
      </c>
      <c r="BI18" s="203" t="str">
        <f>IFERROR(VLOOKUP($A18,REPOSICIONES_BARRA!$A$6:$I$130,8,FALSE),"")</f>
        <v/>
      </c>
      <c r="BJ18" s="315" t="e">
        <f t="shared" si="10"/>
        <v>#N/A</v>
      </c>
      <c r="BK18" s="316" t="e">
        <f t="shared" si="11"/>
        <v>#N/A</v>
      </c>
      <c r="BL18" s="317" t="str">
        <f>IFERROR(IFERROR(VLOOKUP($A18,VENTAS!$H$2:$O$201,7,FALSE),"")/$C18,"")</f>
        <v/>
      </c>
      <c r="BM18" s="111"/>
      <c r="BN18" s="203" t="e">
        <f>VLOOKUP($A18,INICIO_BARRA!$A$6:$R$130,15,FALSE)</f>
        <v>#N/A</v>
      </c>
      <c r="BO18" s="203" t="e">
        <f>VLOOKUP($A18,INICIO_BARRA!$A$6:$R$130,16,FALSE)</f>
        <v>#N/A</v>
      </c>
      <c r="BP18" s="156"/>
      <c r="BQ18" s="94" t="str">
        <f>IFERROR(IFERROR(IF(BP18&gt;0,"",BP18*VLOOKUP($A18,'VALOR I.'!$B$6:$K$418,10,FALSE)),"")*$C18,"")</f>
        <v/>
      </c>
      <c r="BR18" s="203" t="e">
        <f>VLOOKUP($A18,INICIO_BARRA!$A$6:$R$130,15,FALSE)</f>
        <v>#N/A</v>
      </c>
      <c r="BS18" s="203" t="e">
        <f>VLOOKUP($A18,INICIO_BARRA!$A$6:$R$130,16,FALSE)</f>
        <v>#N/A</v>
      </c>
      <c r="BT18" s="203" t="str">
        <f>IFERROR(VLOOKUP($A18,REPOSICIONES_BARRA!$A$6:$I$130,9,FALSE),"")</f>
        <v/>
      </c>
      <c r="BU18" s="315" t="e">
        <f t="shared" si="12"/>
        <v>#N/A</v>
      </c>
      <c r="BV18" s="316" t="e">
        <f t="shared" si="13"/>
        <v>#N/A</v>
      </c>
      <c r="BW18" s="317" t="str">
        <f>IFERROR(IFERROR(VLOOKUP($A18,VENTAS!$H$2:$O$201,8,FALSE),"")/$C18,"")</f>
        <v/>
      </c>
      <c r="BX18" s="111"/>
      <c r="BY18" s="203" t="e">
        <f>VLOOKUP($A18,INICIO_BARRA!$A$6:$R$130,17,FALSE)</f>
        <v>#N/A</v>
      </c>
      <c r="BZ18" s="203" t="e">
        <f>VLOOKUP($A18,INICIO_BARRA!$A$6:$R$130,18,FALSE)</f>
        <v>#N/A</v>
      </c>
      <c r="CA18" s="156"/>
      <c r="CB18" s="94" t="str">
        <f>IFERROR(IFERROR(IF(CA18&gt;0,"",CA18*VLOOKUP($A18,'VALOR I.'!$B$6:$K$418,10,FALSE)),"")*$C18,"")</f>
        <v/>
      </c>
    </row>
    <row r="19" spans="1:80" s="7" customFormat="1" ht="30" hidden="1" customHeight="1" x14ac:dyDescent="0.45">
      <c r="A19" s="3"/>
      <c r="B19" s="28"/>
      <c r="C19" s="127"/>
      <c r="D19" s="203" t="e">
        <f>VLOOKUP($A19,INICIO_BARRA!$A$6:$R$130,3,FALSE)</f>
        <v>#N/A</v>
      </c>
      <c r="E19" s="203" t="e">
        <f>VLOOKUP($A19,INICIO_BARRA!$A$6:$R$130,4,FALSE)</f>
        <v>#N/A</v>
      </c>
      <c r="F19" s="203" t="str">
        <f>IFERROR(VLOOKUP($A19,REPOSICIONES_BARRA!$A$6:$I$130,3,FALSE),"")</f>
        <v/>
      </c>
      <c r="G19" s="315" t="e">
        <f t="shared" si="14"/>
        <v>#N/A</v>
      </c>
      <c r="H19" s="316" t="e">
        <f t="shared" si="15"/>
        <v>#N/A</v>
      </c>
      <c r="I19" s="317" t="str">
        <f>IFERROR(IFERROR(VLOOKUP($A19,VENTAS!$H$2:$O$201,2,FALSE),"")/$C19,"")</f>
        <v/>
      </c>
      <c r="J19" s="111"/>
      <c r="K19" s="203" t="e">
        <f>VLOOKUP($A19,INICIO_BARRA!$A$6:$R$130,5,FALSE)</f>
        <v>#N/A</v>
      </c>
      <c r="L19" s="203" t="e">
        <f>VLOOKUP($A19,INICIO_BARRA!$A$6:$R$130,6,FALSE)</f>
        <v>#N/A</v>
      </c>
      <c r="M19" s="156"/>
      <c r="N19" s="204" t="str">
        <f>IFERROR(IFERROR(IF(M19&gt;0,"",M19*VLOOKUP($A19,'VALOR I.'!$B$6:$K$418,10,FALSE)),"")*$C19,"")</f>
        <v/>
      </c>
      <c r="O19" s="203" t="e">
        <f>VLOOKUP($A19,INICIO_BARRA!$A$6:$R$130,5,FALSE)</f>
        <v>#N/A</v>
      </c>
      <c r="P19" s="203" t="e">
        <f>VLOOKUP($A19,INICIO_BARRA!$A$6:$R$130,6,FALSE)</f>
        <v>#N/A</v>
      </c>
      <c r="Q19" s="203" t="str">
        <f>IFERROR(VLOOKUP($A19,REPOSICIONES_BARRA!$A$6:$I$130,4,FALSE),"")</f>
        <v/>
      </c>
      <c r="R19" s="315" t="e">
        <f t="shared" si="2"/>
        <v>#N/A</v>
      </c>
      <c r="S19" s="316" t="e">
        <f t="shared" si="3"/>
        <v>#N/A</v>
      </c>
      <c r="T19" s="317" t="str">
        <f>IFERROR(IFERROR(VLOOKUP($A19,VENTAS!$H$2:$O$201,3,FALSE),"")/$C19,"")</f>
        <v/>
      </c>
      <c r="U19" s="111"/>
      <c r="V19" s="203" t="e">
        <f>VLOOKUP($A19,INICIO_BARRA!$A$6:$R$130,7,FALSE)</f>
        <v>#N/A</v>
      </c>
      <c r="W19" s="203" t="e">
        <f>VLOOKUP($A19,INICIO_BARRA!$A$6:$R$130,8,FALSE)</f>
        <v>#N/A</v>
      </c>
      <c r="X19" s="156"/>
      <c r="Y19" s="204" t="str">
        <f>IFERROR(IFERROR(IF(X19&gt;0,"",X19*VLOOKUP($A19,'VALOR I.'!$B$6:$K$418,10,FALSE)),"")*$C19,"")</f>
        <v/>
      </c>
      <c r="Z19" s="203" t="e">
        <f>VLOOKUP($A19,INICIO_BARRA!$A$6:$R$130,7,FALSE)</f>
        <v>#N/A</v>
      </c>
      <c r="AA19" s="203" t="e">
        <f>VLOOKUP($A19,INICIO_BARRA!$A$6:$R$130,8,FALSE)</f>
        <v>#N/A</v>
      </c>
      <c r="AB19" s="203" t="str">
        <f>IFERROR(VLOOKUP($A19,REPOSICIONES_BARRA!$A$6:$I$130,5,FALSE),"")</f>
        <v/>
      </c>
      <c r="AC19" s="315" t="e">
        <f t="shared" si="4"/>
        <v>#N/A</v>
      </c>
      <c r="AD19" s="316" t="e">
        <f t="shared" si="5"/>
        <v>#N/A</v>
      </c>
      <c r="AE19" s="317" t="str">
        <f>IFERROR(IFERROR(VLOOKUP($A19,VENTAS!$H$2:$O$201,4,FALSE),"")/$C19,"")</f>
        <v/>
      </c>
      <c r="AF19" s="111"/>
      <c r="AG19" s="203" t="e">
        <f>VLOOKUP($A19,INICIO_BARRA!$A$6:$R$130,9,FALSE)</f>
        <v>#N/A</v>
      </c>
      <c r="AH19" s="203" t="e">
        <f>VLOOKUP($A19,INICIO_BARRA!$A$6:$R$130,10,FALSE)</f>
        <v>#N/A</v>
      </c>
      <c r="AI19" s="156"/>
      <c r="AJ19" s="94" t="str">
        <f>IFERROR(IFERROR(IF(AI19&gt;0,"",AI19*VLOOKUP($A19,'VALOR I.'!$B$6:$K$418,10,FALSE)),"")*$C19,"")</f>
        <v/>
      </c>
      <c r="AK19" s="203" t="e">
        <f>VLOOKUP($A19,INICIO_BARRA!$A$6:$R$130,9,FALSE)</f>
        <v>#N/A</v>
      </c>
      <c r="AL19" s="203" t="e">
        <f>VLOOKUP($A19,INICIO_BARRA!$A$6:$R$130,10,FALSE)</f>
        <v>#N/A</v>
      </c>
      <c r="AM19" s="203" t="str">
        <f>IFERROR(VLOOKUP($A19,REPOSICIONES_BARRA!$A$6:$I$130,6,FALSE),"")</f>
        <v/>
      </c>
      <c r="AN19" s="315" t="e">
        <f t="shared" si="6"/>
        <v>#N/A</v>
      </c>
      <c r="AO19" s="316" t="e">
        <f t="shared" si="7"/>
        <v>#N/A</v>
      </c>
      <c r="AP19" s="317" t="str">
        <f>IFERROR(IFERROR(VLOOKUP($A19,VENTAS!$H$2:$O$201,5,FALSE),"")/$C19,"")</f>
        <v/>
      </c>
      <c r="AQ19" s="111"/>
      <c r="AR19" s="203" t="e">
        <f>VLOOKUP($A19,INICIO_BARRA!$A$6:$R$130,11,FALSE)</f>
        <v>#N/A</v>
      </c>
      <c r="AS19" s="203" t="e">
        <f>VLOOKUP($A19,INICIO_BARRA!$A$6:$R$130,12,FALSE)</f>
        <v>#N/A</v>
      </c>
      <c r="AT19" s="156"/>
      <c r="AU19" s="94" t="str">
        <f>IFERROR(IFERROR(IF(AT19&gt;0,"",AT19*VLOOKUP($A19,'VALOR I.'!$B$6:$K$418,10,FALSE)),"")*$C19,"")</f>
        <v/>
      </c>
      <c r="AV19" s="203" t="e">
        <f>VLOOKUP($A19,INICIO_BARRA!$A$6:$R$130,11,FALSE)</f>
        <v>#N/A</v>
      </c>
      <c r="AW19" s="203" t="e">
        <f>VLOOKUP($A19,INICIO_BARRA!$A$6:$R$130,12,FALSE)</f>
        <v>#N/A</v>
      </c>
      <c r="AX19" s="203" t="str">
        <f>IFERROR(VLOOKUP($A19,REPOSICIONES_BARRA!$A$6:$I$130,7,FALSE),"")</f>
        <v/>
      </c>
      <c r="AY19" s="315" t="e">
        <f t="shared" si="8"/>
        <v>#N/A</v>
      </c>
      <c r="AZ19" s="316" t="e">
        <f t="shared" si="9"/>
        <v>#N/A</v>
      </c>
      <c r="BA19" s="317" t="str">
        <f>IFERROR(IFERROR(VLOOKUP($A19,VENTAS!$H$2:$O$201,6,FALSE),"")/$C19,"")</f>
        <v/>
      </c>
      <c r="BB19" s="111"/>
      <c r="BC19" s="203" t="e">
        <f>VLOOKUP($A19,INICIO_BARRA!$A$6:$R$130,13,FALSE)</f>
        <v>#N/A</v>
      </c>
      <c r="BD19" s="203" t="e">
        <f>VLOOKUP($A19,INICIO_BARRA!$A$6:$R$130,14,FALSE)</f>
        <v>#N/A</v>
      </c>
      <c r="BE19" s="156"/>
      <c r="BF19" s="94" t="str">
        <f>IFERROR(IFERROR(IF(BE19&gt;0,"",BE19*VLOOKUP($A19,'VALOR I.'!$B$6:$K$418,10,FALSE)),"")*$C19,"")</f>
        <v/>
      </c>
      <c r="BG19" s="203" t="e">
        <f>VLOOKUP($A19,INICIO_BARRA!$A$6:$R$130,13,FALSE)</f>
        <v>#N/A</v>
      </c>
      <c r="BH19" s="203" t="e">
        <f>VLOOKUP($A19,INICIO_BARRA!$A$6:$R$130,14,FALSE)</f>
        <v>#N/A</v>
      </c>
      <c r="BI19" s="203" t="str">
        <f>IFERROR(VLOOKUP($A19,REPOSICIONES_BARRA!$A$6:$I$130,8,FALSE),"")</f>
        <v/>
      </c>
      <c r="BJ19" s="315" t="e">
        <f t="shared" si="10"/>
        <v>#N/A</v>
      </c>
      <c r="BK19" s="316" t="e">
        <f t="shared" si="11"/>
        <v>#N/A</v>
      </c>
      <c r="BL19" s="317" t="str">
        <f>IFERROR(IFERROR(VLOOKUP($A19,VENTAS!$H$2:$O$201,7,FALSE),"")/$C19,"")</f>
        <v/>
      </c>
      <c r="BM19" s="111"/>
      <c r="BN19" s="203" t="e">
        <f>VLOOKUP($A19,INICIO_BARRA!$A$6:$R$130,15,FALSE)</f>
        <v>#N/A</v>
      </c>
      <c r="BO19" s="203" t="e">
        <f>VLOOKUP($A19,INICIO_BARRA!$A$6:$R$130,16,FALSE)</f>
        <v>#N/A</v>
      </c>
      <c r="BP19" s="156"/>
      <c r="BQ19" s="94" t="str">
        <f>IFERROR(IFERROR(IF(BP19&gt;0,"",BP19*VLOOKUP($A19,'VALOR I.'!$B$6:$K$418,10,FALSE)),"")*$C19,"")</f>
        <v/>
      </c>
      <c r="BR19" s="203" t="e">
        <f>VLOOKUP($A19,INICIO_BARRA!$A$6:$R$130,15,FALSE)</f>
        <v>#N/A</v>
      </c>
      <c r="BS19" s="203" t="e">
        <f>VLOOKUP($A19,INICIO_BARRA!$A$6:$R$130,16,FALSE)</f>
        <v>#N/A</v>
      </c>
      <c r="BT19" s="203" t="str">
        <f>IFERROR(VLOOKUP($A19,REPOSICIONES_BARRA!$A$6:$I$130,9,FALSE),"")</f>
        <v/>
      </c>
      <c r="BU19" s="315" t="e">
        <f t="shared" si="12"/>
        <v>#N/A</v>
      </c>
      <c r="BV19" s="316" t="e">
        <f t="shared" si="13"/>
        <v>#N/A</v>
      </c>
      <c r="BW19" s="317" t="str">
        <f>IFERROR(IFERROR(VLOOKUP($A19,VENTAS!$H$2:$O$201,8,FALSE),"")/$C19,"")</f>
        <v/>
      </c>
      <c r="BX19" s="111"/>
      <c r="BY19" s="203" t="e">
        <f>VLOOKUP($A19,INICIO_BARRA!$A$6:$R$130,17,FALSE)</f>
        <v>#N/A</v>
      </c>
      <c r="BZ19" s="203" t="e">
        <f>VLOOKUP($A19,INICIO_BARRA!$A$6:$R$130,18,FALSE)</f>
        <v>#N/A</v>
      </c>
      <c r="CA19" s="156"/>
      <c r="CB19" s="94" t="str">
        <f>IFERROR(IFERROR(IF(CA19&gt;0,"",CA19*VLOOKUP($A19,'VALOR I.'!$B$6:$K$418,10,FALSE)),"")*$C19,"")</f>
        <v/>
      </c>
    </row>
    <row r="20" spans="1:80" s="7" customFormat="1" ht="30" hidden="1" customHeight="1" x14ac:dyDescent="0.3">
      <c r="A20" s="3"/>
      <c r="B20" s="29"/>
      <c r="C20" s="127"/>
      <c r="D20" s="203" t="e">
        <f>VLOOKUP($A20,INICIO_BARRA!$A$6:$R$130,3,FALSE)</f>
        <v>#N/A</v>
      </c>
      <c r="E20" s="203" t="e">
        <f>VLOOKUP($A20,INICIO_BARRA!$A$6:$R$130,4,FALSE)</f>
        <v>#N/A</v>
      </c>
      <c r="F20" s="203" t="str">
        <f>IFERROR(VLOOKUP($A20,REPOSICIONES_BARRA!$A$6:$I$130,3,FALSE),"")</f>
        <v/>
      </c>
      <c r="G20" s="315" t="e">
        <f t="shared" si="14"/>
        <v>#N/A</v>
      </c>
      <c r="H20" s="316" t="e">
        <f t="shared" si="15"/>
        <v>#N/A</v>
      </c>
      <c r="I20" s="317" t="str">
        <f>IFERROR(IFERROR(VLOOKUP($A20,VENTAS!$H$2:$O$201,2,FALSE),"")/$C20,"")</f>
        <v/>
      </c>
      <c r="J20" s="111"/>
      <c r="K20" s="203" t="e">
        <f>VLOOKUP($A20,INICIO_BARRA!$A$6:$R$130,5,FALSE)</f>
        <v>#N/A</v>
      </c>
      <c r="L20" s="203" t="e">
        <f>VLOOKUP($A20,INICIO_BARRA!$A$6:$R$130,6,FALSE)</f>
        <v>#N/A</v>
      </c>
      <c r="M20" s="156"/>
      <c r="N20" s="204" t="str">
        <f>IFERROR(IFERROR(IF(M20&gt;0,"",M20*VLOOKUP($A20,'VALOR I.'!$B$6:$K$418,10,FALSE)),"")*$C20,"")</f>
        <v/>
      </c>
      <c r="O20" s="203" t="e">
        <f>VLOOKUP($A20,INICIO_BARRA!$A$6:$R$130,5,FALSE)</f>
        <v>#N/A</v>
      </c>
      <c r="P20" s="203" t="e">
        <f>VLOOKUP($A20,INICIO_BARRA!$A$6:$R$130,6,FALSE)</f>
        <v>#N/A</v>
      </c>
      <c r="Q20" s="203" t="str">
        <f>IFERROR(VLOOKUP($A20,REPOSICIONES_BARRA!$A$6:$I$130,4,FALSE),"")</f>
        <v/>
      </c>
      <c r="R20" s="315" t="e">
        <f t="shared" si="2"/>
        <v>#N/A</v>
      </c>
      <c r="S20" s="316" t="e">
        <f t="shared" si="3"/>
        <v>#N/A</v>
      </c>
      <c r="T20" s="317" t="str">
        <f>IFERROR(IFERROR(VLOOKUP($A20,VENTAS!$H$2:$O$201,3,FALSE),"")/$C20,"")</f>
        <v/>
      </c>
      <c r="U20" s="111"/>
      <c r="V20" s="203" t="e">
        <f>VLOOKUP($A20,INICIO_BARRA!$A$6:$R$130,7,FALSE)</f>
        <v>#N/A</v>
      </c>
      <c r="W20" s="203" t="e">
        <f>VLOOKUP($A20,INICIO_BARRA!$A$6:$R$130,8,FALSE)</f>
        <v>#N/A</v>
      </c>
      <c r="X20" s="156"/>
      <c r="Y20" s="204" t="str">
        <f>IFERROR(IFERROR(IF(X20&gt;0,"",X20*VLOOKUP($A20,'VALOR I.'!$B$6:$K$418,10,FALSE)),"")*$C20,"")</f>
        <v/>
      </c>
      <c r="Z20" s="203" t="e">
        <f>VLOOKUP($A20,INICIO_BARRA!$A$6:$R$130,7,FALSE)</f>
        <v>#N/A</v>
      </c>
      <c r="AA20" s="203" t="e">
        <f>VLOOKUP($A20,INICIO_BARRA!$A$6:$R$130,8,FALSE)</f>
        <v>#N/A</v>
      </c>
      <c r="AB20" s="203" t="str">
        <f>IFERROR(VLOOKUP($A20,REPOSICIONES_BARRA!$A$6:$I$130,5,FALSE),"")</f>
        <v/>
      </c>
      <c r="AC20" s="315" t="e">
        <f t="shared" si="4"/>
        <v>#N/A</v>
      </c>
      <c r="AD20" s="316" t="e">
        <f t="shared" si="5"/>
        <v>#N/A</v>
      </c>
      <c r="AE20" s="317" t="str">
        <f>IFERROR(IFERROR(VLOOKUP($A20,VENTAS!$H$2:$O$201,4,FALSE),"")/$C20,"")</f>
        <v/>
      </c>
      <c r="AF20" s="111"/>
      <c r="AG20" s="203" t="e">
        <f>VLOOKUP($A20,INICIO_BARRA!$A$6:$R$130,9,FALSE)</f>
        <v>#N/A</v>
      </c>
      <c r="AH20" s="203" t="e">
        <f>VLOOKUP($A20,INICIO_BARRA!$A$6:$R$130,10,FALSE)</f>
        <v>#N/A</v>
      </c>
      <c r="AI20" s="156"/>
      <c r="AJ20" s="94" t="str">
        <f>IFERROR(IFERROR(IF(AI20&gt;0,"",AI20*VLOOKUP($A20,'VALOR I.'!$B$6:$K$418,10,FALSE)),"")*$C20,"")</f>
        <v/>
      </c>
      <c r="AK20" s="203" t="e">
        <f>VLOOKUP($A20,INICIO_BARRA!$A$6:$R$130,9,FALSE)</f>
        <v>#N/A</v>
      </c>
      <c r="AL20" s="203" t="e">
        <f>VLOOKUP($A20,INICIO_BARRA!$A$6:$R$130,10,FALSE)</f>
        <v>#N/A</v>
      </c>
      <c r="AM20" s="203" t="str">
        <f>IFERROR(VLOOKUP($A20,REPOSICIONES_BARRA!$A$6:$I$130,6,FALSE),"")</f>
        <v/>
      </c>
      <c r="AN20" s="315" t="e">
        <f t="shared" si="6"/>
        <v>#N/A</v>
      </c>
      <c r="AO20" s="316" t="e">
        <f t="shared" si="7"/>
        <v>#N/A</v>
      </c>
      <c r="AP20" s="317" t="str">
        <f>IFERROR(IFERROR(VLOOKUP($A20,VENTAS!$H$2:$O$201,5,FALSE),"")/$C20,"")</f>
        <v/>
      </c>
      <c r="AQ20" s="111"/>
      <c r="AR20" s="203" t="e">
        <f>VLOOKUP($A20,INICIO_BARRA!$A$6:$R$130,11,FALSE)</f>
        <v>#N/A</v>
      </c>
      <c r="AS20" s="203" t="e">
        <f>VLOOKUP($A20,INICIO_BARRA!$A$6:$R$130,12,FALSE)</f>
        <v>#N/A</v>
      </c>
      <c r="AT20" s="156"/>
      <c r="AU20" s="94" t="str">
        <f>IFERROR(IFERROR(IF(AT20&gt;0,"",AT20*VLOOKUP($A20,'VALOR I.'!$B$6:$K$418,10,FALSE)),"")*$C20,"")</f>
        <v/>
      </c>
      <c r="AV20" s="203" t="e">
        <f>VLOOKUP($A20,INICIO_BARRA!$A$6:$R$130,11,FALSE)</f>
        <v>#N/A</v>
      </c>
      <c r="AW20" s="203" t="e">
        <f>VLOOKUP($A20,INICIO_BARRA!$A$6:$R$130,12,FALSE)</f>
        <v>#N/A</v>
      </c>
      <c r="AX20" s="203" t="str">
        <f>IFERROR(VLOOKUP($A20,REPOSICIONES_BARRA!$A$6:$I$130,7,FALSE),"")</f>
        <v/>
      </c>
      <c r="AY20" s="315" t="e">
        <f t="shared" si="8"/>
        <v>#N/A</v>
      </c>
      <c r="AZ20" s="316" t="e">
        <f t="shared" si="9"/>
        <v>#N/A</v>
      </c>
      <c r="BA20" s="317" t="str">
        <f>IFERROR(IFERROR(VLOOKUP($A20,VENTAS!$H$2:$O$201,6,FALSE),"")/$C20,"")</f>
        <v/>
      </c>
      <c r="BB20" s="111"/>
      <c r="BC20" s="203" t="e">
        <f>VLOOKUP($A20,INICIO_BARRA!$A$6:$R$130,13,FALSE)</f>
        <v>#N/A</v>
      </c>
      <c r="BD20" s="203" t="e">
        <f>VLOOKUP($A20,INICIO_BARRA!$A$6:$R$130,14,FALSE)</f>
        <v>#N/A</v>
      </c>
      <c r="BE20" s="156"/>
      <c r="BF20" s="94" t="str">
        <f>IFERROR(IFERROR(IF(BE20&gt;0,"",BE20*VLOOKUP($A20,'VALOR I.'!$B$6:$K$418,10,FALSE)),"")*$C20,"")</f>
        <v/>
      </c>
      <c r="BG20" s="203" t="e">
        <f>VLOOKUP($A20,INICIO_BARRA!$A$6:$R$130,13,FALSE)</f>
        <v>#N/A</v>
      </c>
      <c r="BH20" s="203" t="e">
        <f>VLOOKUP($A20,INICIO_BARRA!$A$6:$R$130,14,FALSE)</f>
        <v>#N/A</v>
      </c>
      <c r="BI20" s="203" t="str">
        <f>IFERROR(VLOOKUP($A20,REPOSICIONES_BARRA!$A$6:$I$130,8,FALSE),"")</f>
        <v/>
      </c>
      <c r="BJ20" s="315" t="e">
        <f t="shared" si="10"/>
        <v>#N/A</v>
      </c>
      <c r="BK20" s="316" t="e">
        <f t="shared" si="11"/>
        <v>#N/A</v>
      </c>
      <c r="BL20" s="317" t="str">
        <f>IFERROR(IFERROR(VLOOKUP($A20,VENTAS!$H$2:$O$201,7,FALSE),"")/$C20,"")</f>
        <v/>
      </c>
      <c r="BM20" s="111"/>
      <c r="BN20" s="203" t="e">
        <f>VLOOKUP($A20,INICIO_BARRA!$A$6:$R$130,15,FALSE)</f>
        <v>#N/A</v>
      </c>
      <c r="BO20" s="203" t="e">
        <f>VLOOKUP($A20,INICIO_BARRA!$A$6:$R$130,16,FALSE)</f>
        <v>#N/A</v>
      </c>
      <c r="BP20" s="156"/>
      <c r="BQ20" s="94" t="str">
        <f>IFERROR(IFERROR(IF(BP20&gt;0,"",BP20*VLOOKUP($A20,'VALOR I.'!$B$6:$K$418,10,FALSE)),"")*$C20,"")</f>
        <v/>
      </c>
      <c r="BR20" s="203" t="e">
        <f>VLOOKUP($A20,INICIO_BARRA!$A$6:$R$130,15,FALSE)</f>
        <v>#N/A</v>
      </c>
      <c r="BS20" s="203" t="e">
        <f>VLOOKUP($A20,INICIO_BARRA!$A$6:$R$130,16,FALSE)</f>
        <v>#N/A</v>
      </c>
      <c r="BT20" s="203" t="str">
        <f>IFERROR(VLOOKUP($A20,REPOSICIONES_BARRA!$A$6:$I$130,9,FALSE),"")</f>
        <v/>
      </c>
      <c r="BU20" s="315" t="e">
        <f t="shared" si="12"/>
        <v>#N/A</v>
      </c>
      <c r="BV20" s="316" t="e">
        <f t="shared" si="13"/>
        <v>#N/A</v>
      </c>
      <c r="BW20" s="317" t="str">
        <f>IFERROR(IFERROR(VLOOKUP($A20,VENTAS!$H$2:$O$201,8,FALSE),"")/$C20,"")</f>
        <v/>
      </c>
      <c r="BX20" s="111"/>
      <c r="BY20" s="203" t="e">
        <f>VLOOKUP($A20,INICIO_BARRA!$A$6:$R$130,17,FALSE)</f>
        <v>#N/A</v>
      </c>
      <c r="BZ20" s="203" t="e">
        <f>VLOOKUP($A20,INICIO_BARRA!$A$6:$R$130,18,FALSE)</f>
        <v>#N/A</v>
      </c>
      <c r="CA20" s="156"/>
      <c r="CB20" s="94" t="str">
        <f>IFERROR(IFERROR(IF(CA20&gt;0,"",CA20*VLOOKUP($A20,'VALOR I.'!$B$6:$K$418,10,FALSE)),"")*$C20,"")</f>
        <v/>
      </c>
    </row>
    <row r="21" spans="1:80" s="7" customFormat="1" ht="30" hidden="1" customHeight="1" x14ac:dyDescent="0.45">
      <c r="A21" s="3"/>
      <c r="B21" s="30"/>
      <c r="C21" s="127"/>
      <c r="D21" s="203" t="e">
        <f>VLOOKUP($A21,INICIO_BARRA!$A$6:$R$130,3,FALSE)</f>
        <v>#N/A</v>
      </c>
      <c r="E21" s="203" t="e">
        <f>VLOOKUP($A21,INICIO_BARRA!$A$6:$R$130,4,FALSE)</f>
        <v>#N/A</v>
      </c>
      <c r="F21" s="203" t="str">
        <f>IFERROR(VLOOKUP($A21,REPOSICIONES_BARRA!$A$6:$I$130,3,FALSE),"")</f>
        <v/>
      </c>
      <c r="G21" s="315" t="e">
        <f t="shared" si="14"/>
        <v>#N/A</v>
      </c>
      <c r="H21" s="316" t="e">
        <f t="shared" si="15"/>
        <v>#N/A</v>
      </c>
      <c r="I21" s="317" t="str">
        <f>IFERROR(IFERROR(VLOOKUP($A21,VENTAS!$H$2:$O$201,2,FALSE),"")/$C21,"")</f>
        <v/>
      </c>
      <c r="J21" s="111"/>
      <c r="K21" s="203" t="e">
        <f>VLOOKUP($A21,INICIO_BARRA!$A$6:$R$130,5,FALSE)</f>
        <v>#N/A</v>
      </c>
      <c r="L21" s="203" t="e">
        <f>VLOOKUP($A21,INICIO_BARRA!$A$6:$R$130,6,FALSE)</f>
        <v>#N/A</v>
      </c>
      <c r="M21" s="156"/>
      <c r="N21" s="204" t="str">
        <f>IFERROR(IFERROR(IF(M21&gt;0,"",M21*VLOOKUP($A21,'VALOR I.'!$B$6:$K$418,10,FALSE)),"")*$C21,"")</f>
        <v/>
      </c>
      <c r="O21" s="203" t="e">
        <f>VLOOKUP($A21,INICIO_BARRA!$A$6:$R$130,5,FALSE)</f>
        <v>#N/A</v>
      </c>
      <c r="P21" s="203" t="e">
        <f>VLOOKUP($A21,INICIO_BARRA!$A$6:$R$130,6,FALSE)</f>
        <v>#N/A</v>
      </c>
      <c r="Q21" s="203" t="str">
        <f>IFERROR(VLOOKUP($A21,REPOSICIONES_BARRA!$A$6:$I$130,4,FALSE),"")</f>
        <v/>
      </c>
      <c r="R21" s="315" t="e">
        <f t="shared" si="2"/>
        <v>#N/A</v>
      </c>
      <c r="S21" s="316" t="e">
        <f t="shared" si="3"/>
        <v>#N/A</v>
      </c>
      <c r="T21" s="317" t="str">
        <f>IFERROR(IFERROR(VLOOKUP($A21,VENTAS!$H$2:$O$201,3,FALSE),"")/$C21,"")</f>
        <v/>
      </c>
      <c r="U21" s="111"/>
      <c r="V21" s="203" t="e">
        <f>VLOOKUP($A21,INICIO_BARRA!$A$6:$R$130,7,FALSE)</f>
        <v>#N/A</v>
      </c>
      <c r="W21" s="203" t="e">
        <f>VLOOKUP($A21,INICIO_BARRA!$A$6:$R$130,8,FALSE)</f>
        <v>#N/A</v>
      </c>
      <c r="X21" s="156"/>
      <c r="Y21" s="204" t="str">
        <f>IFERROR(IFERROR(IF(X21&gt;0,"",X21*VLOOKUP($A21,'VALOR I.'!$B$6:$K$418,10,FALSE)),"")*$C21,"")</f>
        <v/>
      </c>
      <c r="Z21" s="203" t="e">
        <f>VLOOKUP($A21,INICIO_BARRA!$A$6:$R$130,7,FALSE)</f>
        <v>#N/A</v>
      </c>
      <c r="AA21" s="203" t="e">
        <f>VLOOKUP($A21,INICIO_BARRA!$A$6:$R$130,8,FALSE)</f>
        <v>#N/A</v>
      </c>
      <c r="AB21" s="203" t="str">
        <f>IFERROR(VLOOKUP($A21,REPOSICIONES_BARRA!$A$6:$I$130,5,FALSE),"")</f>
        <v/>
      </c>
      <c r="AC21" s="315" t="e">
        <f t="shared" si="4"/>
        <v>#N/A</v>
      </c>
      <c r="AD21" s="316" t="e">
        <f t="shared" si="5"/>
        <v>#N/A</v>
      </c>
      <c r="AE21" s="317" t="str">
        <f>IFERROR(IFERROR(VLOOKUP($A21,VENTAS!$H$2:$O$201,4,FALSE),"")/$C21,"")</f>
        <v/>
      </c>
      <c r="AF21" s="111"/>
      <c r="AG21" s="203" t="e">
        <f>VLOOKUP($A21,INICIO_BARRA!$A$6:$R$130,9,FALSE)</f>
        <v>#N/A</v>
      </c>
      <c r="AH21" s="203" t="e">
        <f>VLOOKUP($A21,INICIO_BARRA!$A$6:$R$130,10,FALSE)</f>
        <v>#N/A</v>
      </c>
      <c r="AI21" s="156"/>
      <c r="AJ21" s="94" t="str">
        <f>IFERROR(IFERROR(IF(AI21&gt;0,"",AI21*VLOOKUP($A21,'VALOR I.'!$B$6:$K$418,10,FALSE)),"")*$C21,"")</f>
        <v/>
      </c>
      <c r="AK21" s="203" t="e">
        <f>VLOOKUP($A21,INICIO_BARRA!$A$6:$R$130,9,FALSE)</f>
        <v>#N/A</v>
      </c>
      <c r="AL21" s="203" t="e">
        <f>VLOOKUP($A21,INICIO_BARRA!$A$6:$R$130,10,FALSE)</f>
        <v>#N/A</v>
      </c>
      <c r="AM21" s="203" t="str">
        <f>IFERROR(VLOOKUP($A21,REPOSICIONES_BARRA!$A$6:$I$130,6,FALSE),"")</f>
        <v/>
      </c>
      <c r="AN21" s="315" t="e">
        <f t="shared" si="6"/>
        <v>#N/A</v>
      </c>
      <c r="AO21" s="316" t="e">
        <f t="shared" si="7"/>
        <v>#N/A</v>
      </c>
      <c r="AP21" s="317" t="str">
        <f>IFERROR(IFERROR(VLOOKUP($A21,VENTAS!$H$2:$O$201,5,FALSE),"")/$C21,"")</f>
        <v/>
      </c>
      <c r="AQ21" s="111"/>
      <c r="AR21" s="203" t="e">
        <f>VLOOKUP($A21,INICIO_BARRA!$A$6:$R$130,11,FALSE)</f>
        <v>#N/A</v>
      </c>
      <c r="AS21" s="203" t="e">
        <f>VLOOKUP($A21,INICIO_BARRA!$A$6:$R$130,12,FALSE)</f>
        <v>#N/A</v>
      </c>
      <c r="AT21" s="156"/>
      <c r="AU21" s="94" t="str">
        <f>IFERROR(IFERROR(IF(AT21&gt;0,"",AT21*VLOOKUP($A21,'VALOR I.'!$B$6:$K$418,10,FALSE)),"")*$C21,"")</f>
        <v/>
      </c>
      <c r="AV21" s="203" t="e">
        <f>VLOOKUP($A21,INICIO_BARRA!$A$6:$R$130,11,FALSE)</f>
        <v>#N/A</v>
      </c>
      <c r="AW21" s="203" t="e">
        <f>VLOOKUP($A21,INICIO_BARRA!$A$6:$R$130,12,FALSE)</f>
        <v>#N/A</v>
      </c>
      <c r="AX21" s="203" t="str">
        <f>IFERROR(VLOOKUP($A21,REPOSICIONES_BARRA!$A$6:$I$130,7,FALSE),"")</f>
        <v/>
      </c>
      <c r="AY21" s="315" t="e">
        <f t="shared" si="8"/>
        <v>#N/A</v>
      </c>
      <c r="AZ21" s="316" t="e">
        <f t="shared" si="9"/>
        <v>#N/A</v>
      </c>
      <c r="BA21" s="317" t="str">
        <f>IFERROR(IFERROR(VLOOKUP($A21,VENTAS!$H$2:$O$201,6,FALSE),"")/$C21,"")</f>
        <v/>
      </c>
      <c r="BB21" s="111"/>
      <c r="BC21" s="203" t="e">
        <f>VLOOKUP($A21,INICIO_BARRA!$A$6:$R$130,13,FALSE)</f>
        <v>#N/A</v>
      </c>
      <c r="BD21" s="203" t="e">
        <f>VLOOKUP($A21,INICIO_BARRA!$A$6:$R$130,14,FALSE)</f>
        <v>#N/A</v>
      </c>
      <c r="BE21" s="156"/>
      <c r="BF21" s="94" t="str">
        <f>IFERROR(IFERROR(IF(BE21&gt;0,"",BE21*VLOOKUP($A21,'VALOR I.'!$B$6:$K$418,10,FALSE)),"")*$C21,"")</f>
        <v/>
      </c>
      <c r="BG21" s="203" t="e">
        <f>VLOOKUP($A21,INICIO_BARRA!$A$6:$R$130,13,FALSE)</f>
        <v>#N/A</v>
      </c>
      <c r="BH21" s="203" t="e">
        <f>VLOOKUP($A21,INICIO_BARRA!$A$6:$R$130,14,FALSE)</f>
        <v>#N/A</v>
      </c>
      <c r="BI21" s="203" t="str">
        <f>IFERROR(VLOOKUP($A21,REPOSICIONES_BARRA!$A$6:$I$130,8,FALSE),"")</f>
        <v/>
      </c>
      <c r="BJ21" s="315" t="e">
        <f t="shared" si="10"/>
        <v>#N/A</v>
      </c>
      <c r="BK21" s="316" t="e">
        <f t="shared" si="11"/>
        <v>#N/A</v>
      </c>
      <c r="BL21" s="317" t="str">
        <f>IFERROR(IFERROR(VLOOKUP($A21,VENTAS!$H$2:$O$201,7,FALSE),"")/$C21,"")</f>
        <v/>
      </c>
      <c r="BM21" s="111"/>
      <c r="BN21" s="203" t="e">
        <f>VLOOKUP($A21,INICIO_BARRA!$A$6:$R$130,15,FALSE)</f>
        <v>#N/A</v>
      </c>
      <c r="BO21" s="203" t="e">
        <f>VLOOKUP($A21,INICIO_BARRA!$A$6:$R$130,16,FALSE)</f>
        <v>#N/A</v>
      </c>
      <c r="BP21" s="156"/>
      <c r="BQ21" s="94" t="str">
        <f>IFERROR(IFERROR(IF(BP21&gt;0,"",BP21*VLOOKUP($A21,'VALOR I.'!$B$6:$K$418,10,FALSE)),"")*$C21,"")</f>
        <v/>
      </c>
      <c r="BR21" s="203" t="e">
        <f>VLOOKUP($A21,INICIO_BARRA!$A$6:$R$130,15,FALSE)</f>
        <v>#N/A</v>
      </c>
      <c r="BS21" s="203" t="e">
        <f>VLOOKUP($A21,INICIO_BARRA!$A$6:$R$130,16,FALSE)</f>
        <v>#N/A</v>
      </c>
      <c r="BT21" s="203" t="str">
        <f>IFERROR(VLOOKUP($A21,REPOSICIONES_BARRA!$A$6:$I$130,9,FALSE),"")</f>
        <v/>
      </c>
      <c r="BU21" s="315" t="e">
        <f t="shared" si="12"/>
        <v>#N/A</v>
      </c>
      <c r="BV21" s="316" t="e">
        <f t="shared" si="13"/>
        <v>#N/A</v>
      </c>
      <c r="BW21" s="317" t="str">
        <f>IFERROR(IFERROR(VLOOKUP($A21,VENTAS!$H$2:$O$201,8,FALSE),"")/$C21,"")</f>
        <v/>
      </c>
      <c r="BX21" s="111"/>
      <c r="BY21" s="203" t="e">
        <f>VLOOKUP($A21,INICIO_BARRA!$A$6:$R$130,17,FALSE)</f>
        <v>#N/A</v>
      </c>
      <c r="BZ21" s="203" t="e">
        <f>VLOOKUP($A21,INICIO_BARRA!$A$6:$R$130,18,FALSE)</f>
        <v>#N/A</v>
      </c>
      <c r="CA21" s="156"/>
      <c r="CB21" s="94" t="str">
        <f>IFERROR(IFERROR(IF(CA21&gt;0,"",CA21*VLOOKUP($A21,'VALOR I.'!$B$6:$K$418,10,FALSE)),"")*$C21,"")</f>
        <v/>
      </c>
    </row>
    <row r="22" spans="1:80" s="7" customFormat="1" ht="30" hidden="1" customHeight="1" x14ac:dyDescent="0.3">
      <c r="A22" s="3"/>
      <c r="B22" s="29"/>
      <c r="C22" s="127"/>
      <c r="D22" s="203" t="e">
        <f>VLOOKUP($A22,INICIO_BARRA!$A$6:$R$130,3,FALSE)</f>
        <v>#N/A</v>
      </c>
      <c r="E22" s="203" t="e">
        <f>VLOOKUP($A22,INICIO_BARRA!$A$6:$R$130,4,FALSE)</f>
        <v>#N/A</v>
      </c>
      <c r="F22" s="203" t="str">
        <f>IFERROR(VLOOKUP($A22,REPOSICIONES_BARRA!$A$6:$I$130,3,FALSE),"")</f>
        <v/>
      </c>
      <c r="G22" s="315" t="e">
        <f t="shared" si="14"/>
        <v>#N/A</v>
      </c>
      <c r="H22" s="316" t="e">
        <f t="shared" si="15"/>
        <v>#N/A</v>
      </c>
      <c r="I22" s="317" t="str">
        <f>IFERROR(IFERROR(VLOOKUP($A22,VENTAS!$H$2:$O$201,2,FALSE),"")/$C22,"")</f>
        <v/>
      </c>
      <c r="J22" s="111"/>
      <c r="K22" s="203" t="e">
        <f>VLOOKUP($A22,INICIO_BARRA!$A$6:$R$130,5,FALSE)</f>
        <v>#N/A</v>
      </c>
      <c r="L22" s="203" t="e">
        <f>VLOOKUP($A22,INICIO_BARRA!$A$6:$R$130,6,FALSE)</f>
        <v>#N/A</v>
      </c>
      <c r="M22" s="156"/>
      <c r="N22" s="204" t="str">
        <f>IFERROR(IFERROR(IF(M22&gt;0,"",M22*VLOOKUP($A22,'VALOR I.'!$B$6:$K$418,10,FALSE)),"")*$C22,"")</f>
        <v/>
      </c>
      <c r="O22" s="203" t="e">
        <f>VLOOKUP($A22,INICIO_BARRA!$A$6:$R$130,5,FALSE)</f>
        <v>#N/A</v>
      </c>
      <c r="P22" s="203" t="e">
        <f>VLOOKUP($A22,INICIO_BARRA!$A$6:$R$130,6,FALSE)</f>
        <v>#N/A</v>
      </c>
      <c r="Q22" s="203" t="str">
        <f>IFERROR(VLOOKUP($A22,REPOSICIONES_BARRA!$A$6:$I$130,4,FALSE),"")</f>
        <v/>
      </c>
      <c r="R22" s="315" t="e">
        <f t="shared" si="2"/>
        <v>#N/A</v>
      </c>
      <c r="S22" s="316" t="e">
        <f t="shared" si="3"/>
        <v>#N/A</v>
      </c>
      <c r="T22" s="317" t="str">
        <f>IFERROR(IFERROR(VLOOKUP($A22,VENTAS!$H$2:$O$201,3,FALSE),"")/$C22,"")</f>
        <v/>
      </c>
      <c r="U22" s="111"/>
      <c r="V22" s="203" t="e">
        <f>VLOOKUP($A22,INICIO_BARRA!$A$6:$R$130,7,FALSE)</f>
        <v>#N/A</v>
      </c>
      <c r="W22" s="203" t="e">
        <f>VLOOKUP($A22,INICIO_BARRA!$A$6:$R$130,8,FALSE)</f>
        <v>#N/A</v>
      </c>
      <c r="X22" s="156"/>
      <c r="Y22" s="204" t="str">
        <f>IFERROR(IFERROR(IF(X22&gt;0,"",X22*VLOOKUP($A22,'VALOR I.'!$B$6:$K$418,10,FALSE)),"")*$C22,"")</f>
        <v/>
      </c>
      <c r="Z22" s="203" t="e">
        <f>VLOOKUP($A22,INICIO_BARRA!$A$6:$R$130,7,FALSE)</f>
        <v>#N/A</v>
      </c>
      <c r="AA22" s="203" t="e">
        <f>VLOOKUP($A22,INICIO_BARRA!$A$6:$R$130,8,FALSE)</f>
        <v>#N/A</v>
      </c>
      <c r="AB22" s="203" t="str">
        <f>IFERROR(VLOOKUP($A22,REPOSICIONES_BARRA!$A$6:$I$130,5,FALSE),"")</f>
        <v/>
      </c>
      <c r="AC22" s="315" t="e">
        <f t="shared" si="4"/>
        <v>#N/A</v>
      </c>
      <c r="AD22" s="316" t="e">
        <f t="shared" si="5"/>
        <v>#N/A</v>
      </c>
      <c r="AE22" s="317" t="str">
        <f>IFERROR(IFERROR(VLOOKUP($A22,VENTAS!$H$2:$O$201,4,FALSE),"")/$C22,"")</f>
        <v/>
      </c>
      <c r="AF22" s="111"/>
      <c r="AG22" s="203" t="e">
        <f>VLOOKUP($A22,INICIO_BARRA!$A$6:$R$130,9,FALSE)</f>
        <v>#N/A</v>
      </c>
      <c r="AH22" s="203" t="e">
        <f>VLOOKUP($A22,INICIO_BARRA!$A$6:$R$130,10,FALSE)</f>
        <v>#N/A</v>
      </c>
      <c r="AI22" s="156"/>
      <c r="AJ22" s="94" t="str">
        <f>IFERROR(IFERROR(IF(AI22&gt;0,"",AI22*VLOOKUP($A22,'VALOR I.'!$B$6:$K$418,10,FALSE)),"")*$C22,"")</f>
        <v/>
      </c>
      <c r="AK22" s="203" t="e">
        <f>VLOOKUP($A22,INICIO_BARRA!$A$6:$R$130,9,FALSE)</f>
        <v>#N/A</v>
      </c>
      <c r="AL22" s="203" t="e">
        <f>VLOOKUP($A22,INICIO_BARRA!$A$6:$R$130,10,FALSE)</f>
        <v>#N/A</v>
      </c>
      <c r="AM22" s="203" t="str">
        <f>IFERROR(VLOOKUP($A22,REPOSICIONES_BARRA!$A$6:$I$130,6,FALSE),"")</f>
        <v/>
      </c>
      <c r="AN22" s="315" t="e">
        <f t="shared" si="6"/>
        <v>#N/A</v>
      </c>
      <c r="AO22" s="316" t="e">
        <f t="shared" si="7"/>
        <v>#N/A</v>
      </c>
      <c r="AP22" s="317" t="str">
        <f>IFERROR(IFERROR(VLOOKUP($A22,VENTAS!$H$2:$O$201,5,FALSE),"")/$C22,"")</f>
        <v/>
      </c>
      <c r="AQ22" s="111"/>
      <c r="AR22" s="203" t="e">
        <f>VLOOKUP($A22,INICIO_BARRA!$A$6:$R$130,11,FALSE)</f>
        <v>#N/A</v>
      </c>
      <c r="AS22" s="203" t="e">
        <f>VLOOKUP($A22,INICIO_BARRA!$A$6:$R$130,12,FALSE)</f>
        <v>#N/A</v>
      </c>
      <c r="AT22" s="156"/>
      <c r="AU22" s="94" t="str">
        <f>IFERROR(IFERROR(IF(AT22&gt;0,"",AT22*VLOOKUP($A22,'VALOR I.'!$B$6:$K$418,10,FALSE)),"")*$C22,"")</f>
        <v/>
      </c>
      <c r="AV22" s="203" t="e">
        <f>VLOOKUP($A22,INICIO_BARRA!$A$6:$R$130,11,FALSE)</f>
        <v>#N/A</v>
      </c>
      <c r="AW22" s="203" t="e">
        <f>VLOOKUP($A22,INICIO_BARRA!$A$6:$R$130,12,FALSE)</f>
        <v>#N/A</v>
      </c>
      <c r="AX22" s="203" t="str">
        <f>IFERROR(VLOOKUP($A22,REPOSICIONES_BARRA!$A$6:$I$130,7,FALSE),"")</f>
        <v/>
      </c>
      <c r="AY22" s="315" t="e">
        <f t="shared" si="8"/>
        <v>#N/A</v>
      </c>
      <c r="AZ22" s="316" t="e">
        <f t="shared" si="9"/>
        <v>#N/A</v>
      </c>
      <c r="BA22" s="317" t="str">
        <f>IFERROR(IFERROR(VLOOKUP($A22,VENTAS!$H$2:$O$201,6,FALSE),"")/$C22,"")</f>
        <v/>
      </c>
      <c r="BB22" s="111"/>
      <c r="BC22" s="203" t="e">
        <f>VLOOKUP($A22,INICIO_BARRA!$A$6:$R$130,13,FALSE)</f>
        <v>#N/A</v>
      </c>
      <c r="BD22" s="203" t="e">
        <f>VLOOKUP($A22,INICIO_BARRA!$A$6:$R$130,14,FALSE)</f>
        <v>#N/A</v>
      </c>
      <c r="BE22" s="156"/>
      <c r="BF22" s="94" t="str">
        <f>IFERROR(IFERROR(IF(BE22&gt;0,"",BE22*VLOOKUP($A22,'VALOR I.'!$B$6:$K$418,10,FALSE)),"")*$C22,"")</f>
        <v/>
      </c>
      <c r="BG22" s="203" t="e">
        <f>VLOOKUP($A22,INICIO_BARRA!$A$6:$R$130,13,FALSE)</f>
        <v>#N/A</v>
      </c>
      <c r="BH22" s="203" t="e">
        <f>VLOOKUP($A22,INICIO_BARRA!$A$6:$R$130,14,FALSE)</f>
        <v>#N/A</v>
      </c>
      <c r="BI22" s="203" t="str">
        <f>IFERROR(VLOOKUP($A22,REPOSICIONES_BARRA!$A$6:$I$130,8,FALSE),"")</f>
        <v/>
      </c>
      <c r="BJ22" s="315" t="e">
        <f t="shared" si="10"/>
        <v>#N/A</v>
      </c>
      <c r="BK22" s="316" t="e">
        <f t="shared" si="11"/>
        <v>#N/A</v>
      </c>
      <c r="BL22" s="317" t="str">
        <f>IFERROR(IFERROR(VLOOKUP($A22,VENTAS!$H$2:$O$201,7,FALSE),"")/$C22,"")</f>
        <v/>
      </c>
      <c r="BM22" s="111"/>
      <c r="BN22" s="203" t="e">
        <f>VLOOKUP($A22,INICIO_BARRA!$A$6:$R$130,15,FALSE)</f>
        <v>#N/A</v>
      </c>
      <c r="BO22" s="203" t="e">
        <f>VLOOKUP($A22,INICIO_BARRA!$A$6:$R$130,16,FALSE)</f>
        <v>#N/A</v>
      </c>
      <c r="BP22" s="156"/>
      <c r="BQ22" s="94" t="str">
        <f>IFERROR(IFERROR(IF(BP22&gt;0,"",BP22*VLOOKUP($A22,'VALOR I.'!$B$6:$K$418,10,FALSE)),"")*$C22,"")</f>
        <v/>
      </c>
      <c r="BR22" s="203" t="e">
        <f>VLOOKUP($A22,INICIO_BARRA!$A$6:$R$130,15,FALSE)</f>
        <v>#N/A</v>
      </c>
      <c r="BS22" s="203" t="e">
        <f>VLOOKUP($A22,INICIO_BARRA!$A$6:$R$130,16,FALSE)</f>
        <v>#N/A</v>
      </c>
      <c r="BT22" s="203" t="str">
        <f>IFERROR(VLOOKUP($A22,REPOSICIONES_BARRA!$A$6:$I$130,9,FALSE),"")</f>
        <v/>
      </c>
      <c r="BU22" s="315" t="e">
        <f t="shared" si="12"/>
        <v>#N/A</v>
      </c>
      <c r="BV22" s="316" t="e">
        <f t="shared" si="13"/>
        <v>#N/A</v>
      </c>
      <c r="BW22" s="317" t="str">
        <f>IFERROR(IFERROR(VLOOKUP($A22,VENTAS!$H$2:$O$201,8,FALSE),"")/$C22,"")</f>
        <v/>
      </c>
      <c r="BX22" s="111"/>
      <c r="BY22" s="203" t="e">
        <f>VLOOKUP($A22,INICIO_BARRA!$A$6:$R$130,17,FALSE)</f>
        <v>#N/A</v>
      </c>
      <c r="BZ22" s="203" t="e">
        <f>VLOOKUP($A22,INICIO_BARRA!$A$6:$R$130,18,FALSE)</f>
        <v>#N/A</v>
      </c>
      <c r="CA22" s="156"/>
      <c r="CB22" s="94" t="str">
        <f>IFERROR(IFERROR(IF(CA22&gt;0,"",CA22*VLOOKUP($A22,'VALOR I.'!$B$6:$K$418,10,FALSE)),"")*$C22,"")</f>
        <v/>
      </c>
    </row>
    <row r="23" spans="1:80" s="7" customFormat="1" ht="30" hidden="1" customHeight="1" x14ac:dyDescent="0.45">
      <c r="A23" s="3"/>
      <c r="B23" s="31"/>
      <c r="C23" s="127"/>
      <c r="D23" s="203" t="e">
        <f>VLOOKUP($A23,INICIO_BARRA!$A$6:$R$130,3,FALSE)</f>
        <v>#N/A</v>
      </c>
      <c r="E23" s="203" t="e">
        <f>VLOOKUP($A23,INICIO_BARRA!$A$6:$R$130,4,FALSE)</f>
        <v>#N/A</v>
      </c>
      <c r="F23" s="203" t="str">
        <f>IFERROR(VLOOKUP($A23,REPOSICIONES_BARRA!$A$6:$I$130,3,FALSE),"")</f>
        <v/>
      </c>
      <c r="G23" s="315" t="e">
        <f t="shared" si="14"/>
        <v>#N/A</v>
      </c>
      <c r="H23" s="316" t="e">
        <f t="shared" si="15"/>
        <v>#N/A</v>
      </c>
      <c r="I23" s="317" t="str">
        <f>IFERROR(IFERROR(VLOOKUP($A23,VENTAS!$H$2:$O$201,2,FALSE),"")/$C23,"")</f>
        <v/>
      </c>
      <c r="J23" s="111"/>
      <c r="K23" s="203" t="e">
        <f>VLOOKUP($A23,INICIO_BARRA!$A$6:$R$130,5,FALSE)</f>
        <v>#N/A</v>
      </c>
      <c r="L23" s="203" t="e">
        <f>VLOOKUP($A23,INICIO_BARRA!$A$6:$R$130,6,FALSE)</f>
        <v>#N/A</v>
      </c>
      <c r="M23" s="156"/>
      <c r="N23" s="204" t="str">
        <f>IFERROR(IFERROR(IF(M23&gt;0,"",M23*VLOOKUP($A23,'VALOR I.'!$B$6:$K$418,10,FALSE)),"")*$C23,"")</f>
        <v/>
      </c>
      <c r="O23" s="203" t="e">
        <f>VLOOKUP($A23,INICIO_BARRA!$A$6:$R$130,5,FALSE)</f>
        <v>#N/A</v>
      </c>
      <c r="P23" s="203" t="e">
        <f>VLOOKUP($A23,INICIO_BARRA!$A$6:$R$130,6,FALSE)</f>
        <v>#N/A</v>
      </c>
      <c r="Q23" s="203" t="str">
        <f>IFERROR(VLOOKUP($A23,REPOSICIONES_BARRA!$A$6:$I$130,4,FALSE),"")</f>
        <v/>
      </c>
      <c r="R23" s="315" t="e">
        <f t="shared" si="2"/>
        <v>#N/A</v>
      </c>
      <c r="S23" s="316" t="e">
        <f t="shared" si="3"/>
        <v>#N/A</v>
      </c>
      <c r="T23" s="317" t="str">
        <f>IFERROR(IFERROR(VLOOKUP($A23,VENTAS!$H$2:$O$201,3,FALSE),"")/$C23,"")</f>
        <v/>
      </c>
      <c r="U23" s="111"/>
      <c r="V23" s="203" t="e">
        <f>VLOOKUP($A23,INICIO_BARRA!$A$6:$R$130,7,FALSE)</f>
        <v>#N/A</v>
      </c>
      <c r="W23" s="203" t="e">
        <f>VLOOKUP($A23,INICIO_BARRA!$A$6:$R$130,8,FALSE)</f>
        <v>#N/A</v>
      </c>
      <c r="X23" s="156"/>
      <c r="Y23" s="204" t="str">
        <f>IFERROR(IFERROR(IF(X23&gt;0,"",X23*VLOOKUP($A23,'VALOR I.'!$B$6:$K$418,10,FALSE)),"")*$C23,"")</f>
        <v/>
      </c>
      <c r="Z23" s="203" t="e">
        <f>VLOOKUP($A23,INICIO_BARRA!$A$6:$R$130,7,FALSE)</f>
        <v>#N/A</v>
      </c>
      <c r="AA23" s="203" t="e">
        <f>VLOOKUP($A23,INICIO_BARRA!$A$6:$R$130,8,FALSE)</f>
        <v>#N/A</v>
      </c>
      <c r="AB23" s="203" t="str">
        <f>IFERROR(VLOOKUP($A23,REPOSICIONES_BARRA!$A$6:$I$130,5,FALSE),"")</f>
        <v/>
      </c>
      <c r="AC23" s="315" t="e">
        <f t="shared" si="4"/>
        <v>#N/A</v>
      </c>
      <c r="AD23" s="316" t="e">
        <f t="shared" si="5"/>
        <v>#N/A</v>
      </c>
      <c r="AE23" s="317" t="str">
        <f>IFERROR(IFERROR(VLOOKUP($A23,VENTAS!$H$2:$O$201,4,FALSE),"")/$C23,"")</f>
        <v/>
      </c>
      <c r="AF23" s="111"/>
      <c r="AG23" s="203" t="e">
        <f>VLOOKUP($A23,INICIO_BARRA!$A$6:$R$130,9,FALSE)</f>
        <v>#N/A</v>
      </c>
      <c r="AH23" s="203" t="e">
        <f>VLOOKUP($A23,INICIO_BARRA!$A$6:$R$130,10,FALSE)</f>
        <v>#N/A</v>
      </c>
      <c r="AI23" s="156"/>
      <c r="AJ23" s="94" t="str">
        <f>IFERROR(IFERROR(IF(AI23&gt;0,"",AI23*VLOOKUP($A23,'VALOR I.'!$B$6:$K$418,10,FALSE)),"")*$C23,"")</f>
        <v/>
      </c>
      <c r="AK23" s="203" t="e">
        <f>VLOOKUP($A23,INICIO_BARRA!$A$6:$R$130,9,FALSE)</f>
        <v>#N/A</v>
      </c>
      <c r="AL23" s="203" t="e">
        <f>VLOOKUP($A23,INICIO_BARRA!$A$6:$R$130,10,FALSE)</f>
        <v>#N/A</v>
      </c>
      <c r="AM23" s="203" t="str">
        <f>IFERROR(VLOOKUP($A23,REPOSICIONES_BARRA!$A$6:$I$130,6,FALSE),"")</f>
        <v/>
      </c>
      <c r="AN23" s="315" t="e">
        <f t="shared" si="6"/>
        <v>#N/A</v>
      </c>
      <c r="AO23" s="316" t="e">
        <f t="shared" si="7"/>
        <v>#N/A</v>
      </c>
      <c r="AP23" s="317" t="str">
        <f>IFERROR(IFERROR(VLOOKUP($A23,VENTAS!$H$2:$O$201,5,FALSE),"")/$C23,"")</f>
        <v/>
      </c>
      <c r="AQ23" s="111"/>
      <c r="AR23" s="203" t="e">
        <f>VLOOKUP($A23,INICIO_BARRA!$A$6:$R$130,11,FALSE)</f>
        <v>#N/A</v>
      </c>
      <c r="AS23" s="203" t="e">
        <f>VLOOKUP($A23,INICIO_BARRA!$A$6:$R$130,12,FALSE)</f>
        <v>#N/A</v>
      </c>
      <c r="AT23" s="156"/>
      <c r="AU23" s="94" t="str">
        <f>IFERROR(IFERROR(IF(AT23&gt;0,"",AT23*VLOOKUP($A23,'VALOR I.'!$B$6:$K$418,10,FALSE)),"")*$C23,"")</f>
        <v/>
      </c>
      <c r="AV23" s="203" t="e">
        <f>VLOOKUP($A23,INICIO_BARRA!$A$6:$R$130,11,FALSE)</f>
        <v>#N/A</v>
      </c>
      <c r="AW23" s="203" t="e">
        <f>VLOOKUP($A23,INICIO_BARRA!$A$6:$R$130,12,FALSE)</f>
        <v>#N/A</v>
      </c>
      <c r="AX23" s="203" t="str">
        <f>IFERROR(VLOOKUP($A23,REPOSICIONES_BARRA!$A$6:$I$130,7,FALSE),"")</f>
        <v/>
      </c>
      <c r="AY23" s="315" t="e">
        <f t="shared" si="8"/>
        <v>#N/A</v>
      </c>
      <c r="AZ23" s="316" t="e">
        <f t="shared" si="9"/>
        <v>#N/A</v>
      </c>
      <c r="BA23" s="317" t="str">
        <f>IFERROR(IFERROR(VLOOKUP($A23,VENTAS!$H$2:$O$201,6,FALSE),"")/$C23,"")</f>
        <v/>
      </c>
      <c r="BB23" s="111"/>
      <c r="BC23" s="203" t="e">
        <f>VLOOKUP($A23,INICIO_BARRA!$A$6:$R$130,13,FALSE)</f>
        <v>#N/A</v>
      </c>
      <c r="BD23" s="203" t="e">
        <f>VLOOKUP($A23,INICIO_BARRA!$A$6:$R$130,14,FALSE)</f>
        <v>#N/A</v>
      </c>
      <c r="BE23" s="156"/>
      <c r="BF23" s="94" t="str">
        <f>IFERROR(IFERROR(IF(BE23&gt;0,"",BE23*VLOOKUP($A23,'VALOR I.'!$B$6:$K$418,10,FALSE)),"")*$C23,"")</f>
        <v/>
      </c>
      <c r="BG23" s="203" t="e">
        <f>VLOOKUP($A23,INICIO_BARRA!$A$6:$R$130,13,FALSE)</f>
        <v>#N/A</v>
      </c>
      <c r="BH23" s="203" t="e">
        <f>VLOOKUP($A23,INICIO_BARRA!$A$6:$R$130,14,FALSE)</f>
        <v>#N/A</v>
      </c>
      <c r="BI23" s="203" t="str">
        <f>IFERROR(VLOOKUP($A23,REPOSICIONES_BARRA!$A$6:$I$130,8,FALSE),"")</f>
        <v/>
      </c>
      <c r="BJ23" s="315" t="e">
        <f t="shared" si="10"/>
        <v>#N/A</v>
      </c>
      <c r="BK23" s="316" t="e">
        <f t="shared" si="11"/>
        <v>#N/A</v>
      </c>
      <c r="BL23" s="317" t="str">
        <f>IFERROR(IFERROR(VLOOKUP($A23,VENTAS!$H$2:$O$201,7,FALSE),"")/$C23,"")</f>
        <v/>
      </c>
      <c r="BM23" s="111"/>
      <c r="BN23" s="203" t="e">
        <f>VLOOKUP($A23,INICIO_BARRA!$A$6:$R$130,15,FALSE)</f>
        <v>#N/A</v>
      </c>
      <c r="BO23" s="203" t="e">
        <f>VLOOKUP($A23,INICIO_BARRA!$A$6:$R$130,16,FALSE)</f>
        <v>#N/A</v>
      </c>
      <c r="BP23" s="156"/>
      <c r="BQ23" s="94" t="str">
        <f>IFERROR(IFERROR(IF(BP23&gt;0,"",BP23*VLOOKUP($A23,'VALOR I.'!$B$6:$K$418,10,FALSE)),"")*$C23,"")</f>
        <v/>
      </c>
      <c r="BR23" s="203" t="e">
        <f>VLOOKUP($A23,INICIO_BARRA!$A$6:$R$130,15,FALSE)</f>
        <v>#N/A</v>
      </c>
      <c r="BS23" s="203" t="e">
        <f>VLOOKUP($A23,INICIO_BARRA!$A$6:$R$130,16,FALSE)</f>
        <v>#N/A</v>
      </c>
      <c r="BT23" s="203" t="str">
        <f>IFERROR(VLOOKUP($A23,REPOSICIONES_BARRA!$A$6:$I$130,9,FALSE),"")</f>
        <v/>
      </c>
      <c r="BU23" s="315" t="e">
        <f t="shared" si="12"/>
        <v>#N/A</v>
      </c>
      <c r="BV23" s="316" t="e">
        <f t="shared" si="13"/>
        <v>#N/A</v>
      </c>
      <c r="BW23" s="317" t="str">
        <f>IFERROR(IFERROR(VLOOKUP($A23,VENTAS!$H$2:$O$201,8,FALSE),"")/$C23,"")</f>
        <v/>
      </c>
      <c r="BX23" s="111"/>
      <c r="BY23" s="203" t="e">
        <f>VLOOKUP($A23,INICIO_BARRA!$A$6:$R$130,17,FALSE)</f>
        <v>#N/A</v>
      </c>
      <c r="BZ23" s="203" t="e">
        <f>VLOOKUP($A23,INICIO_BARRA!$A$6:$R$130,18,FALSE)</f>
        <v>#N/A</v>
      </c>
      <c r="CA23" s="156"/>
      <c r="CB23" s="94" t="str">
        <f>IFERROR(IFERROR(IF(CA23&gt;0,"",CA23*VLOOKUP($A23,'VALOR I.'!$B$6:$K$418,10,FALSE)),"")*$C23,"")</f>
        <v/>
      </c>
    </row>
    <row r="24" spans="1:80" s="7" customFormat="1" ht="30" hidden="1" customHeight="1" x14ac:dyDescent="0.45">
      <c r="A24" s="3"/>
      <c r="B24" s="28"/>
      <c r="C24" s="127"/>
      <c r="D24" s="203" t="e">
        <f>VLOOKUP($A24,INICIO_BARRA!$A$6:$R$130,3,FALSE)</f>
        <v>#N/A</v>
      </c>
      <c r="E24" s="203" t="e">
        <f>VLOOKUP($A24,INICIO_BARRA!$A$6:$R$130,4,FALSE)</f>
        <v>#N/A</v>
      </c>
      <c r="F24" s="203" t="str">
        <f>IFERROR(VLOOKUP($A24,REPOSICIONES_BARRA!$A$6:$I$130,3,FALSE),"")</f>
        <v/>
      </c>
      <c r="G24" s="315" t="e">
        <f t="shared" si="14"/>
        <v>#N/A</v>
      </c>
      <c r="H24" s="316" t="e">
        <f t="shared" si="15"/>
        <v>#N/A</v>
      </c>
      <c r="I24" s="317" t="str">
        <f>IFERROR(IFERROR(VLOOKUP($A24,VENTAS!$H$2:$O$201,2,FALSE),"")/$C24,"")</f>
        <v/>
      </c>
      <c r="J24" s="111"/>
      <c r="K24" s="203" t="e">
        <f>VLOOKUP($A24,INICIO_BARRA!$A$6:$R$130,5,FALSE)</f>
        <v>#N/A</v>
      </c>
      <c r="L24" s="203" t="e">
        <f>VLOOKUP($A24,INICIO_BARRA!$A$6:$R$130,6,FALSE)</f>
        <v>#N/A</v>
      </c>
      <c r="M24" s="156"/>
      <c r="N24" s="204" t="str">
        <f>IFERROR(IFERROR(IF(M24&gt;0,"",M24*VLOOKUP($A24,'VALOR I.'!$B$6:$K$418,10,FALSE)),"")*$C24,"")</f>
        <v/>
      </c>
      <c r="O24" s="203" t="e">
        <f>VLOOKUP($A24,INICIO_BARRA!$A$6:$R$130,5,FALSE)</f>
        <v>#N/A</v>
      </c>
      <c r="P24" s="203" t="e">
        <f>VLOOKUP($A24,INICIO_BARRA!$A$6:$R$130,6,FALSE)</f>
        <v>#N/A</v>
      </c>
      <c r="Q24" s="203" t="str">
        <f>IFERROR(VLOOKUP($A24,REPOSICIONES_BARRA!$A$6:$I$130,4,FALSE),"")</f>
        <v/>
      </c>
      <c r="R24" s="315" t="e">
        <f t="shared" si="2"/>
        <v>#N/A</v>
      </c>
      <c r="S24" s="316" t="e">
        <f t="shared" si="3"/>
        <v>#N/A</v>
      </c>
      <c r="T24" s="317" t="str">
        <f>IFERROR(IFERROR(VLOOKUP($A24,VENTAS!$H$2:$O$201,3,FALSE),"")/$C24,"")</f>
        <v/>
      </c>
      <c r="U24" s="111"/>
      <c r="V24" s="203" t="e">
        <f>VLOOKUP($A24,INICIO_BARRA!$A$6:$R$130,7,FALSE)</f>
        <v>#N/A</v>
      </c>
      <c r="W24" s="203" t="e">
        <f>VLOOKUP($A24,INICIO_BARRA!$A$6:$R$130,8,FALSE)</f>
        <v>#N/A</v>
      </c>
      <c r="X24" s="156"/>
      <c r="Y24" s="204" t="str">
        <f>IFERROR(IFERROR(IF(X24&gt;0,"",X24*VLOOKUP($A24,'VALOR I.'!$B$6:$K$418,10,FALSE)),"")*$C24,"")</f>
        <v/>
      </c>
      <c r="Z24" s="203" t="e">
        <f>VLOOKUP($A24,INICIO_BARRA!$A$6:$R$130,7,FALSE)</f>
        <v>#N/A</v>
      </c>
      <c r="AA24" s="203" t="e">
        <f>VLOOKUP($A24,INICIO_BARRA!$A$6:$R$130,8,FALSE)</f>
        <v>#N/A</v>
      </c>
      <c r="AB24" s="203" t="str">
        <f>IFERROR(VLOOKUP($A24,REPOSICIONES_BARRA!$A$6:$I$130,5,FALSE),"")</f>
        <v/>
      </c>
      <c r="AC24" s="315" t="e">
        <f t="shared" si="4"/>
        <v>#N/A</v>
      </c>
      <c r="AD24" s="316" t="e">
        <f t="shared" si="5"/>
        <v>#N/A</v>
      </c>
      <c r="AE24" s="317" t="str">
        <f>IFERROR(IFERROR(VLOOKUP($A24,VENTAS!$H$2:$O$201,4,FALSE),"")/$C24,"")</f>
        <v/>
      </c>
      <c r="AF24" s="111"/>
      <c r="AG24" s="203" t="e">
        <f>VLOOKUP($A24,INICIO_BARRA!$A$6:$R$130,9,FALSE)</f>
        <v>#N/A</v>
      </c>
      <c r="AH24" s="203" t="e">
        <f>VLOOKUP($A24,INICIO_BARRA!$A$6:$R$130,10,FALSE)</f>
        <v>#N/A</v>
      </c>
      <c r="AI24" s="156"/>
      <c r="AJ24" s="94" t="str">
        <f>IFERROR(IFERROR(IF(AI24&gt;0,"",AI24*VLOOKUP($A24,'VALOR I.'!$B$6:$K$418,10,FALSE)),"")*$C24,"")</f>
        <v/>
      </c>
      <c r="AK24" s="203" t="e">
        <f>VLOOKUP($A24,INICIO_BARRA!$A$6:$R$130,9,FALSE)</f>
        <v>#N/A</v>
      </c>
      <c r="AL24" s="203" t="e">
        <f>VLOOKUP($A24,INICIO_BARRA!$A$6:$R$130,10,FALSE)</f>
        <v>#N/A</v>
      </c>
      <c r="AM24" s="203" t="str">
        <f>IFERROR(VLOOKUP($A24,REPOSICIONES_BARRA!$A$6:$I$130,6,FALSE),"")</f>
        <v/>
      </c>
      <c r="AN24" s="315" t="e">
        <f t="shared" si="6"/>
        <v>#N/A</v>
      </c>
      <c r="AO24" s="316" t="e">
        <f t="shared" si="7"/>
        <v>#N/A</v>
      </c>
      <c r="AP24" s="317" t="str">
        <f>IFERROR(IFERROR(VLOOKUP($A24,VENTAS!$H$2:$O$201,5,FALSE),"")/$C24,"")</f>
        <v/>
      </c>
      <c r="AQ24" s="111"/>
      <c r="AR24" s="203" t="e">
        <f>VLOOKUP($A24,INICIO_BARRA!$A$6:$R$130,11,FALSE)</f>
        <v>#N/A</v>
      </c>
      <c r="AS24" s="203" t="e">
        <f>VLOOKUP($A24,INICIO_BARRA!$A$6:$R$130,12,FALSE)</f>
        <v>#N/A</v>
      </c>
      <c r="AT24" s="156"/>
      <c r="AU24" s="94" t="str">
        <f>IFERROR(IFERROR(IF(AT24&gt;0,"",AT24*VLOOKUP($A24,'VALOR I.'!$B$6:$K$418,10,FALSE)),"")*$C24,"")</f>
        <v/>
      </c>
      <c r="AV24" s="203" t="e">
        <f>VLOOKUP($A24,INICIO_BARRA!$A$6:$R$130,11,FALSE)</f>
        <v>#N/A</v>
      </c>
      <c r="AW24" s="203" t="e">
        <f>VLOOKUP($A24,INICIO_BARRA!$A$6:$R$130,12,FALSE)</f>
        <v>#N/A</v>
      </c>
      <c r="AX24" s="203" t="str">
        <f>IFERROR(VLOOKUP($A24,REPOSICIONES_BARRA!$A$6:$I$130,7,FALSE),"")</f>
        <v/>
      </c>
      <c r="AY24" s="315" t="e">
        <f t="shared" si="8"/>
        <v>#N/A</v>
      </c>
      <c r="AZ24" s="316" t="e">
        <f t="shared" si="9"/>
        <v>#N/A</v>
      </c>
      <c r="BA24" s="317" t="str">
        <f>IFERROR(IFERROR(VLOOKUP($A24,VENTAS!$H$2:$O$201,6,FALSE),"")/$C24,"")</f>
        <v/>
      </c>
      <c r="BB24" s="111"/>
      <c r="BC24" s="203" t="e">
        <f>VLOOKUP($A24,INICIO_BARRA!$A$6:$R$130,13,FALSE)</f>
        <v>#N/A</v>
      </c>
      <c r="BD24" s="203" t="e">
        <f>VLOOKUP($A24,INICIO_BARRA!$A$6:$R$130,14,FALSE)</f>
        <v>#N/A</v>
      </c>
      <c r="BE24" s="156"/>
      <c r="BF24" s="94" t="str">
        <f>IFERROR(IFERROR(IF(BE24&gt;0,"",BE24*VLOOKUP($A24,'VALOR I.'!$B$6:$K$418,10,FALSE)),"")*$C24,"")</f>
        <v/>
      </c>
      <c r="BG24" s="203" t="e">
        <f>VLOOKUP($A24,INICIO_BARRA!$A$6:$R$130,13,FALSE)</f>
        <v>#N/A</v>
      </c>
      <c r="BH24" s="203" t="e">
        <f>VLOOKUP($A24,INICIO_BARRA!$A$6:$R$130,14,FALSE)</f>
        <v>#N/A</v>
      </c>
      <c r="BI24" s="203" t="str">
        <f>IFERROR(VLOOKUP($A24,REPOSICIONES_BARRA!$A$6:$I$130,8,FALSE),"")</f>
        <v/>
      </c>
      <c r="BJ24" s="315" t="e">
        <f t="shared" si="10"/>
        <v>#N/A</v>
      </c>
      <c r="BK24" s="316" t="e">
        <f t="shared" si="11"/>
        <v>#N/A</v>
      </c>
      <c r="BL24" s="317" t="str">
        <f>IFERROR(IFERROR(VLOOKUP($A24,VENTAS!$H$2:$O$201,7,FALSE),"")/$C24,"")</f>
        <v/>
      </c>
      <c r="BM24" s="111"/>
      <c r="BN24" s="203" t="e">
        <f>VLOOKUP($A24,INICIO_BARRA!$A$6:$R$130,15,FALSE)</f>
        <v>#N/A</v>
      </c>
      <c r="BO24" s="203" t="e">
        <f>VLOOKUP($A24,INICIO_BARRA!$A$6:$R$130,16,FALSE)</f>
        <v>#N/A</v>
      </c>
      <c r="BP24" s="156"/>
      <c r="BQ24" s="94" t="str">
        <f>IFERROR(IFERROR(IF(BP24&gt;0,"",BP24*VLOOKUP($A24,'VALOR I.'!$B$6:$K$418,10,FALSE)),"")*$C24,"")</f>
        <v/>
      </c>
      <c r="BR24" s="203" t="e">
        <f>VLOOKUP($A24,INICIO_BARRA!$A$6:$R$130,15,FALSE)</f>
        <v>#N/A</v>
      </c>
      <c r="BS24" s="203" t="e">
        <f>VLOOKUP($A24,INICIO_BARRA!$A$6:$R$130,16,FALSE)</f>
        <v>#N/A</v>
      </c>
      <c r="BT24" s="203" t="str">
        <f>IFERROR(VLOOKUP($A24,REPOSICIONES_BARRA!$A$6:$I$130,9,FALSE),"")</f>
        <v/>
      </c>
      <c r="BU24" s="315" t="e">
        <f t="shared" si="12"/>
        <v>#N/A</v>
      </c>
      <c r="BV24" s="316" t="e">
        <f t="shared" si="13"/>
        <v>#N/A</v>
      </c>
      <c r="BW24" s="317" t="str">
        <f>IFERROR(IFERROR(VLOOKUP($A24,VENTAS!$H$2:$O$201,8,FALSE),"")/$C24,"")</f>
        <v/>
      </c>
      <c r="BX24" s="111"/>
      <c r="BY24" s="203" t="e">
        <f>VLOOKUP($A24,INICIO_BARRA!$A$6:$R$130,17,FALSE)</f>
        <v>#N/A</v>
      </c>
      <c r="BZ24" s="203" t="e">
        <f>VLOOKUP($A24,INICIO_BARRA!$A$6:$R$130,18,FALSE)</f>
        <v>#N/A</v>
      </c>
      <c r="CA24" s="156"/>
      <c r="CB24" s="94" t="str">
        <f>IFERROR(IFERROR(IF(CA24&gt;0,"",CA24*VLOOKUP($A24,'VALOR I.'!$B$6:$K$418,10,FALSE)),"")*$C24,"")</f>
        <v/>
      </c>
    </row>
    <row r="25" spans="1:80" s="7" customFormat="1" ht="30" hidden="1" customHeight="1" x14ac:dyDescent="0.45">
      <c r="A25" s="3"/>
      <c r="B25" s="25"/>
      <c r="C25" s="127"/>
      <c r="D25" s="203" t="e">
        <f>VLOOKUP($A25,INICIO_BARRA!$A$6:$R$130,3,FALSE)</f>
        <v>#N/A</v>
      </c>
      <c r="E25" s="203" t="e">
        <f>VLOOKUP($A25,INICIO_BARRA!$A$6:$R$130,4,FALSE)</f>
        <v>#N/A</v>
      </c>
      <c r="F25" s="203" t="str">
        <f>IFERROR(VLOOKUP($A25,REPOSICIONES_BARRA!$A$6:$I$130,3,FALSE),"")</f>
        <v/>
      </c>
      <c r="G25" s="315" t="e">
        <f t="shared" si="14"/>
        <v>#N/A</v>
      </c>
      <c r="H25" s="316" t="e">
        <f t="shared" si="15"/>
        <v>#N/A</v>
      </c>
      <c r="I25" s="317" t="str">
        <f>IFERROR(IFERROR(VLOOKUP($A25,VENTAS!$H$2:$O$201,2,FALSE),"")/$C25,"")</f>
        <v/>
      </c>
      <c r="J25" s="111"/>
      <c r="K25" s="203" t="e">
        <f>VLOOKUP($A25,INICIO_BARRA!$A$6:$R$130,5,FALSE)</f>
        <v>#N/A</v>
      </c>
      <c r="L25" s="203" t="e">
        <f>VLOOKUP($A25,INICIO_BARRA!$A$6:$R$130,6,FALSE)</f>
        <v>#N/A</v>
      </c>
      <c r="M25" s="156"/>
      <c r="N25" s="204" t="str">
        <f>IFERROR(IFERROR(IF(M25&gt;0,"",M25*VLOOKUP($A25,'VALOR I.'!$B$6:$K$418,10,FALSE)),"")*$C25,"")</f>
        <v/>
      </c>
      <c r="O25" s="203" t="e">
        <f>VLOOKUP($A25,INICIO_BARRA!$A$6:$R$130,5,FALSE)</f>
        <v>#N/A</v>
      </c>
      <c r="P25" s="203" t="e">
        <f>VLOOKUP($A25,INICIO_BARRA!$A$6:$R$130,6,FALSE)</f>
        <v>#N/A</v>
      </c>
      <c r="Q25" s="203" t="str">
        <f>IFERROR(VLOOKUP($A25,REPOSICIONES_BARRA!$A$6:$I$130,4,FALSE),"")</f>
        <v/>
      </c>
      <c r="R25" s="315" t="e">
        <f t="shared" si="2"/>
        <v>#N/A</v>
      </c>
      <c r="S25" s="316" t="e">
        <f t="shared" si="3"/>
        <v>#N/A</v>
      </c>
      <c r="T25" s="317" t="str">
        <f>IFERROR(IFERROR(VLOOKUP($A25,VENTAS!$H$2:$O$201,3,FALSE),"")/$C25,"")</f>
        <v/>
      </c>
      <c r="U25" s="111"/>
      <c r="V25" s="203" t="e">
        <f>VLOOKUP($A25,INICIO_BARRA!$A$6:$R$130,7,FALSE)</f>
        <v>#N/A</v>
      </c>
      <c r="W25" s="203" t="e">
        <f>VLOOKUP($A25,INICIO_BARRA!$A$6:$R$130,8,FALSE)</f>
        <v>#N/A</v>
      </c>
      <c r="X25" s="156"/>
      <c r="Y25" s="204" t="str">
        <f>IFERROR(IFERROR(IF(X25&gt;0,"",X25*VLOOKUP($A25,'VALOR I.'!$B$6:$K$418,10,FALSE)),"")*$C25,"")</f>
        <v/>
      </c>
      <c r="Z25" s="203" t="e">
        <f>VLOOKUP($A25,INICIO_BARRA!$A$6:$R$130,7,FALSE)</f>
        <v>#N/A</v>
      </c>
      <c r="AA25" s="203" t="e">
        <f>VLOOKUP($A25,INICIO_BARRA!$A$6:$R$130,8,FALSE)</f>
        <v>#N/A</v>
      </c>
      <c r="AB25" s="203" t="str">
        <f>IFERROR(VLOOKUP($A25,REPOSICIONES_BARRA!$A$6:$I$130,5,FALSE),"")</f>
        <v/>
      </c>
      <c r="AC25" s="315" t="e">
        <f t="shared" si="4"/>
        <v>#N/A</v>
      </c>
      <c r="AD25" s="316" t="e">
        <f t="shared" si="5"/>
        <v>#N/A</v>
      </c>
      <c r="AE25" s="317" t="str">
        <f>IFERROR(IFERROR(VLOOKUP($A25,VENTAS!$H$2:$O$201,4,FALSE),"")/$C25,"")</f>
        <v/>
      </c>
      <c r="AF25" s="111"/>
      <c r="AG25" s="203" t="e">
        <f>VLOOKUP($A25,INICIO_BARRA!$A$6:$R$130,9,FALSE)</f>
        <v>#N/A</v>
      </c>
      <c r="AH25" s="203" t="e">
        <f>VLOOKUP($A25,INICIO_BARRA!$A$6:$R$130,10,FALSE)</f>
        <v>#N/A</v>
      </c>
      <c r="AI25" s="156"/>
      <c r="AJ25" s="94" t="str">
        <f>IFERROR(IFERROR(IF(AI25&gt;0,"",AI25*VLOOKUP($A25,'VALOR I.'!$B$6:$K$418,10,FALSE)),"")*$C25,"")</f>
        <v/>
      </c>
      <c r="AK25" s="203" t="e">
        <f>VLOOKUP($A25,INICIO_BARRA!$A$6:$R$130,9,FALSE)</f>
        <v>#N/A</v>
      </c>
      <c r="AL25" s="203" t="e">
        <f>VLOOKUP($A25,INICIO_BARRA!$A$6:$R$130,10,FALSE)</f>
        <v>#N/A</v>
      </c>
      <c r="AM25" s="203" t="str">
        <f>IFERROR(VLOOKUP($A25,REPOSICIONES_BARRA!$A$6:$I$130,6,FALSE),"")</f>
        <v/>
      </c>
      <c r="AN25" s="315" t="e">
        <f t="shared" si="6"/>
        <v>#N/A</v>
      </c>
      <c r="AO25" s="316" t="e">
        <f t="shared" si="7"/>
        <v>#N/A</v>
      </c>
      <c r="AP25" s="317" t="str">
        <f>IFERROR(IFERROR(VLOOKUP($A25,VENTAS!$H$2:$O$201,5,FALSE),"")/$C25,"")</f>
        <v/>
      </c>
      <c r="AQ25" s="111"/>
      <c r="AR25" s="203" t="e">
        <f>VLOOKUP($A25,INICIO_BARRA!$A$6:$R$130,11,FALSE)</f>
        <v>#N/A</v>
      </c>
      <c r="AS25" s="203" t="e">
        <f>VLOOKUP($A25,INICIO_BARRA!$A$6:$R$130,12,FALSE)</f>
        <v>#N/A</v>
      </c>
      <c r="AT25" s="156"/>
      <c r="AU25" s="94" t="str">
        <f>IFERROR(IFERROR(IF(AT25&gt;0,"",AT25*VLOOKUP($A25,'VALOR I.'!$B$6:$K$418,10,FALSE)),"")*$C25,"")</f>
        <v/>
      </c>
      <c r="AV25" s="203" t="e">
        <f>VLOOKUP($A25,INICIO_BARRA!$A$6:$R$130,11,FALSE)</f>
        <v>#N/A</v>
      </c>
      <c r="AW25" s="203" t="e">
        <f>VLOOKUP($A25,INICIO_BARRA!$A$6:$R$130,12,FALSE)</f>
        <v>#N/A</v>
      </c>
      <c r="AX25" s="203" t="str">
        <f>IFERROR(VLOOKUP($A25,REPOSICIONES_BARRA!$A$6:$I$130,7,FALSE),"")</f>
        <v/>
      </c>
      <c r="AY25" s="315" t="e">
        <f t="shared" si="8"/>
        <v>#N/A</v>
      </c>
      <c r="AZ25" s="316" t="e">
        <f t="shared" si="9"/>
        <v>#N/A</v>
      </c>
      <c r="BA25" s="317" t="str">
        <f>IFERROR(IFERROR(VLOOKUP($A25,VENTAS!$H$2:$O$201,6,FALSE),"")/$C25,"")</f>
        <v/>
      </c>
      <c r="BB25" s="111"/>
      <c r="BC25" s="203" t="e">
        <f>VLOOKUP($A25,INICIO_BARRA!$A$6:$R$130,13,FALSE)</f>
        <v>#N/A</v>
      </c>
      <c r="BD25" s="203" t="e">
        <f>VLOOKUP($A25,INICIO_BARRA!$A$6:$R$130,14,FALSE)</f>
        <v>#N/A</v>
      </c>
      <c r="BE25" s="156"/>
      <c r="BF25" s="94" t="str">
        <f>IFERROR(IFERROR(IF(BE25&gt;0,"",BE25*VLOOKUP($A25,'VALOR I.'!$B$6:$K$418,10,FALSE)),"")*$C25,"")</f>
        <v/>
      </c>
      <c r="BG25" s="203" t="e">
        <f>VLOOKUP($A25,INICIO_BARRA!$A$6:$R$130,13,FALSE)</f>
        <v>#N/A</v>
      </c>
      <c r="BH25" s="203" t="e">
        <f>VLOOKUP($A25,INICIO_BARRA!$A$6:$R$130,14,FALSE)</f>
        <v>#N/A</v>
      </c>
      <c r="BI25" s="203" t="str">
        <f>IFERROR(VLOOKUP($A25,REPOSICIONES_BARRA!$A$6:$I$130,8,FALSE),"")</f>
        <v/>
      </c>
      <c r="BJ25" s="315" t="e">
        <f t="shared" si="10"/>
        <v>#N/A</v>
      </c>
      <c r="BK25" s="316" t="e">
        <f t="shared" si="11"/>
        <v>#N/A</v>
      </c>
      <c r="BL25" s="317" t="str">
        <f>IFERROR(IFERROR(VLOOKUP($A25,VENTAS!$H$2:$O$201,7,FALSE),"")/$C25,"")</f>
        <v/>
      </c>
      <c r="BM25" s="111"/>
      <c r="BN25" s="203" t="e">
        <f>VLOOKUP($A25,INICIO_BARRA!$A$6:$R$130,15,FALSE)</f>
        <v>#N/A</v>
      </c>
      <c r="BO25" s="203" t="e">
        <f>VLOOKUP($A25,INICIO_BARRA!$A$6:$R$130,16,FALSE)</f>
        <v>#N/A</v>
      </c>
      <c r="BP25" s="156"/>
      <c r="BQ25" s="94" t="str">
        <f>IFERROR(IFERROR(IF(BP25&gt;0,"",BP25*VLOOKUP($A25,'VALOR I.'!$B$6:$K$418,10,FALSE)),"")*$C25,"")</f>
        <v/>
      </c>
      <c r="BR25" s="203" t="e">
        <f>VLOOKUP($A25,INICIO_BARRA!$A$6:$R$130,15,FALSE)</f>
        <v>#N/A</v>
      </c>
      <c r="BS25" s="203" t="e">
        <f>VLOOKUP($A25,INICIO_BARRA!$A$6:$R$130,16,FALSE)</f>
        <v>#N/A</v>
      </c>
      <c r="BT25" s="203" t="str">
        <f>IFERROR(VLOOKUP($A25,REPOSICIONES_BARRA!$A$6:$I$130,9,FALSE),"")</f>
        <v/>
      </c>
      <c r="BU25" s="315" t="e">
        <f t="shared" si="12"/>
        <v>#N/A</v>
      </c>
      <c r="BV25" s="316" t="e">
        <f t="shared" si="13"/>
        <v>#N/A</v>
      </c>
      <c r="BW25" s="317" t="str">
        <f>IFERROR(IFERROR(VLOOKUP($A25,VENTAS!$H$2:$O$201,8,FALSE),"")/$C25,"")</f>
        <v/>
      </c>
      <c r="BX25" s="111"/>
      <c r="BY25" s="203" t="e">
        <f>VLOOKUP($A25,INICIO_BARRA!$A$6:$R$130,17,FALSE)</f>
        <v>#N/A</v>
      </c>
      <c r="BZ25" s="203" t="e">
        <f>VLOOKUP($A25,INICIO_BARRA!$A$6:$R$130,18,FALSE)</f>
        <v>#N/A</v>
      </c>
      <c r="CA25" s="156"/>
      <c r="CB25" s="94" t="str">
        <f>IFERROR(IFERROR(IF(CA25&gt;0,"",CA25*VLOOKUP($A25,'VALOR I.'!$B$6:$K$418,10,FALSE)),"")*$C25,"")</f>
        <v/>
      </c>
    </row>
    <row r="26" spans="1:80" s="7" customFormat="1" ht="30" hidden="1" customHeight="1" x14ac:dyDescent="0.45">
      <c r="A26" s="3"/>
      <c r="B26" s="30"/>
      <c r="C26" s="127"/>
      <c r="D26" s="203" t="e">
        <f>VLOOKUP($A26,INICIO_BARRA!$A$6:$R$130,3,FALSE)</f>
        <v>#N/A</v>
      </c>
      <c r="E26" s="203" t="e">
        <f>VLOOKUP($A26,INICIO_BARRA!$A$6:$R$130,4,FALSE)</f>
        <v>#N/A</v>
      </c>
      <c r="F26" s="203" t="str">
        <f>IFERROR(VLOOKUP($A26,REPOSICIONES_BARRA!$A$6:$I$130,3,FALSE),"")</f>
        <v/>
      </c>
      <c r="G26" s="315" t="e">
        <f t="shared" si="14"/>
        <v>#N/A</v>
      </c>
      <c r="H26" s="316" t="e">
        <f t="shared" si="15"/>
        <v>#N/A</v>
      </c>
      <c r="I26" s="317" t="str">
        <f>IFERROR(IFERROR(VLOOKUP($A26,VENTAS!$H$2:$O$201,2,FALSE),"")/$C26,"")</f>
        <v/>
      </c>
      <c r="J26" s="111"/>
      <c r="K26" s="203" t="e">
        <f>VLOOKUP($A26,INICIO_BARRA!$A$6:$R$130,5,FALSE)</f>
        <v>#N/A</v>
      </c>
      <c r="L26" s="203" t="e">
        <f>VLOOKUP($A26,INICIO_BARRA!$A$6:$R$130,6,FALSE)</f>
        <v>#N/A</v>
      </c>
      <c r="M26" s="156"/>
      <c r="N26" s="204" t="str">
        <f>IFERROR(IFERROR(IF(M26&gt;0,"",M26*VLOOKUP($A26,'VALOR I.'!$B$6:$K$418,10,FALSE)),"")*$C26,"")</f>
        <v/>
      </c>
      <c r="O26" s="203" t="e">
        <f>VLOOKUP($A26,INICIO_BARRA!$A$6:$R$130,5,FALSE)</f>
        <v>#N/A</v>
      </c>
      <c r="P26" s="203" t="e">
        <f>VLOOKUP($A26,INICIO_BARRA!$A$6:$R$130,6,FALSE)</f>
        <v>#N/A</v>
      </c>
      <c r="Q26" s="203" t="str">
        <f>IFERROR(VLOOKUP($A26,REPOSICIONES_BARRA!$A$6:$I$130,4,FALSE),"")</f>
        <v/>
      </c>
      <c r="R26" s="315" t="e">
        <f t="shared" si="2"/>
        <v>#N/A</v>
      </c>
      <c r="S26" s="316" t="e">
        <f t="shared" si="3"/>
        <v>#N/A</v>
      </c>
      <c r="T26" s="317" t="str">
        <f>IFERROR(IFERROR(VLOOKUP($A26,VENTAS!$H$2:$O$201,3,FALSE),"")/$C26,"")</f>
        <v/>
      </c>
      <c r="U26" s="111"/>
      <c r="V26" s="203" t="e">
        <f>VLOOKUP($A26,INICIO_BARRA!$A$6:$R$130,7,FALSE)</f>
        <v>#N/A</v>
      </c>
      <c r="W26" s="203" t="e">
        <f>VLOOKUP($A26,INICIO_BARRA!$A$6:$R$130,8,FALSE)</f>
        <v>#N/A</v>
      </c>
      <c r="X26" s="156"/>
      <c r="Y26" s="204" t="str">
        <f>IFERROR(IFERROR(IF(X26&gt;0,"",X26*VLOOKUP($A26,'VALOR I.'!$B$6:$K$418,10,FALSE)),"")*$C26,"")</f>
        <v/>
      </c>
      <c r="Z26" s="203" t="e">
        <f>VLOOKUP($A26,INICIO_BARRA!$A$6:$R$130,7,FALSE)</f>
        <v>#N/A</v>
      </c>
      <c r="AA26" s="203" t="e">
        <f>VLOOKUP($A26,INICIO_BARRA!$A$6:$R$130,8,FALSE)</f>
        <v>#N/A</v>
      </c>
      <c r="AB26" s="203" t="str">
        <f>IFERROR(VLOOKUP($A26,REPOSICIONES_BARRA!$A$6:$I$130,5,FALSE),"")</f>
        <v/>
      </c>
      <c r="AC26" s="315" t="e">
        <f t="shared" si="4"/>
        <v>#N/A</v>
      </c>
      <c r="AD26" s="316" t="e">
        <f t="shared" si="5"/>
        <v>#N/A</v>
      </c>
      <c r="AE26" s="317" t="str">
        <f>IFERROR(IFERROR(VLOOKUP($A26,VENTAS!$H$2:$O$201,4,FALSE),"")/$C26,"")</f>
        <v/>
      </c>
      <c r="AF26" s="111"/>
      <c r="AG26" s="203" t="e">
        <f>VLOOKUP($A26,INICIO_BARRA!$A$6:$R$130,9,FALSE)</f>
        <v>#N/A</v>
      </c>
      <c r="AH26" s="203" t="e">
        <f>VLOOKUP($A26,INICIO_BARRA!$A$6:$R$130,10,FALSE)</f>
        <v>#N/A</v>
      </c>
      <c r="AI26" s="156"/>
      <c r="AJ26" s="94" t="str">
        <f>IFERROR(IFERROR(IF(AI26&gt;0,"",AI26*VLOOKUP($A26,'VALOR I.'!$B$6:$K$418,10,FALSE)),"")*$C26,"")</f>
        <v/>
      </c>
      <c r="AK26" s="203" t="e">
        <f>VLOOKUP($A26,INICIO_BARRA!$A$6:$R$130,9,FALSE)</f>
        <v>#N/A</v>
      </c>
      <c r="AL26" s="203" t="e">
        <f>VLOOKUP($A26,INICIO_BARRA!$A$6:$R$130,10,FALSE)</f>
        <v>#N/A</v>
      </c>
      <c r="AM26" s="203" t="str">
        <f>IFERROR(VLOOKUP($A26,REPOSICIONES_BARRA!$A$6:$I$130,6,FALSE),"")</f>
        <v/>
      </c>
      <c r="AN26" s="315" t="e">
        <f t="shared" si="6"/>
        <v>#N/A</v>
      </c>
      <c r="AO26" s="316" t="e">
        <f t="shared" si="7"/>
        <v>#N/A</v>
      </c>
      <c r="AP26" s="317" t="str">
        <f>IFERROR(IFERROR(VLOOKUP($A26,VENTAS!$H$2:$O$201,5,FALSE),"")/$C26,"")</f>
        <v/>
      </c>
      <c r="AQ26" s="111"/>
      <c r="AR26" s="203" t="e">
        <f>VLOOKUP($A26,INICIO_BARRA!$A$6:$R$130,11,FALSE)</f>
        <v>#N/A</v>
      </c>
      <c r="AS26" s="203" t="e">
        <f>VLOOKUP($A26,INICIO_BARRA!$A$6:$R$130,12,FALSE)</f>
        <v>#N/A</v>
      </c>
      <c r="AT26" s="156"/>
      <c r="AU26" s="94" t="str">
        <f>IFERROR(IFERROR(IF(AT26&gt;0,"",AT26*VLOOKUP($A26,'VALOR I.'!$B$6:$K$418,10,FALSE)),"")*$C26,"")</f>
        <v/>
      </c>
      <c r="AV26" s="203" t="e">
        <f>VLOOKUP($A26,INICIO_BARRA!$A$6:$R$130,11,FALSE)</f>
        <v>#N/A</v>
      </c>
      <c r="AW26" s="203" t="e">
        <f>VLOOKUP($A26,INICIO_BARRA!$A$6:$R$130,12,FALSE)</f>
        <v>#N/A</v>
      </c>
      <c r="AX26" s="203" t="str">
        <f>IFERROR(VLOOKUP($A26,REPOSICIONES_BARRA!$A$6:$I$130,7,FALSE),"")</f>
        <v/>
      </c>
      <c r="AY26" s="315" t="e">
        <f t="shared" si="8"/>
        <v>#N/A</v>
      </c>
      <c r="AZ26" s="316" t="e">
        <f t="shared" si="9"/>
        <v>#N/A</v>
      </c>
      <c r="BA26" s="317" t="str">
        <f>IFERROR(IFERROR(VLOOKUP($A26,VENTAS!$H$2:$O$201,6,FALSE),"")/$C26,"")</f>
        <v/>
      </c>
      <c r="BB26" s="111"/>
      <c r="BC26" s="203" t="e">
        <f>VLOOKUP($A26,INICIO_BARRA!$A$6:$R$130,13,FALSE)</f>
        <v>#N/A</v>
      </c>
      <c r="BD26" s="203" t="e">
        <f>VLOOKUP($A26,INICIO_BARRA!$A$6:$R$130,14,FALSE)</f>
        <v>#N/A</v>
      </c>
      <c r="BE26" s="156"/>
      <c r="BF26" s="94" t="str">
        <f>IFERROR(IFERROR(IF(BE26&gt;0,"",BE26*VLOOKUP($A26,'VALOR I.'!$B$6:$K$418,10,FALSE)),"")*$C26,"")</f>
        <v/>
      </c>
      <c r="BG26" s="203" t="e">
        <f>VLOOKUP($A26,INICIO_BARRA!$A$6:$R$130,13,FALSE)</f>
        <v>#N/A</v>
      </c>
      <c r="BH26" s="203" t="e">
        <f>VLOOKUP($A26,INICIO_BARRA!$A$6:$R$130,14,FALSE)</f>
        <v>#N/A</v>
      </c>
      <c r="BI26" s="203" t="str">
        <f>IFERROR(VLOOKUP($A26,REPOSICIONES_BARRA!$A$6:$I$130,8,FALSE),"")</f>
        <v/>
      </c>
      <c r="BJ26" s="315" t="e">
        <f t="shared" si="10"/>
        <v>#N/A</v>
      </c>
      <c r="BK26" s="316" t="e">
        <f t="shared" si="11"/>
        <v>#N/A</v>
      </c>
      <c r="BL26" s="317" t="str">
        <f>IFERROR(IFERROR(VLOOKUP($A26,VENTAS!$H$2:$O$201,7,FALSE),"")/$C26,"")</f>
        <v/>
      </c>
      <c r="BM26" s="111"/>
      <c r="BN26" s="203" t="e">
        <f>VLOOKUP($A26,INICIO_BARRA!$A$6:$R$130,15,FALSE)</f>
        <v>#N/A</v>
      </c>
      <c r="BO26" s="203" t="e">
        <f>VLOOKUP($A26,INICIO_BARRA!$A$6:$R$130,16,FALSE)</f>
        <v>#N/A</v>
      </c>
      <c r="BP26" s="156"/>
      <c r="BQ26" s="94" t="str">
        <f>IFERROR(IFERROR(IF(BP26&gt;0,"",BP26*VLOOKUP($A26,'VALOR I.'!$B$6:$K$418,10,FALSE)),"")*$C26,"")</f>
        <v/>
      </c>
      <c r="BR26" s="203" t="e">
        <f>VLOOKUP($A26,INICIO_BARRA!$A$6:$R$130,15,FALSE)</f>
        <v>#N/A</v>
      </c>
      <c r="BS26" s="203" t="e">
        <f>VLOOKUP($A26,INICIO_BARRA!$A$6:$R$130,16,FALSE)</f>
        <v>#N/A</v>
      </c>
      <c r="BT26" s="203" t="str">
        <f>IFERROR(VLOOKUP($A26,REPOSICIONES_BARRA!$A$6:$I$130,9,FALSE),"")</f>
        <v/>
      </c>
      <c r="BU26" s="315" t="e">
        <f t="shared" si="12"/>
        <v>#N/A</v>
      </c>
      <c r="BV26" s="316" t="e">
        <f t="shared" si="13"/>
        <v>#N/A</v>
      </c>
      <c r="BW26" s="317" t="str">
        <f>IFERROR(IFERROR(VLOOKUP($A26,VENTAS!$H$2:$O$201,8,FALSE),"")/$C26,"")</f>
        <v/>
      </c>
      <c r="BX26" s="111"/>
      <c r="BY26" s="203" t="e">
        <f>VLOOKUP($A26,INICIO_BARRA!$A$6:$R$130,17,FALSE)</f>
        <v>#N/A</v>
      </c>
      <c r="BZ26" s="203" t="e">
        <f>VLOOKUP($A26,INICIO_BARRA!$A$6:$R$130,18,FALSE)</f>
        <v>#N/A</v>
      </c>
      <c r="CA26" s="156"/>
      <c r="CB26" s="94" t="str">
        <f>IFERROR(IFERROR(IF(CA26&gt;0,"",CA26*VLOOKUP($A26,'VALOR I.'!$B$6:$K$418,10,FALSE)),"")*$C26,"")</f>
        <v/>
      </c>
    </row>
    <row r="27" spans="1:80" s="7" customFormat="1" ht="30" hidden="1" customHeight="1" x14ac:dyDescent="0.45">
      <c r="A27" s="3"/>
      <c r="B27" s="30"/>
      <c r="C27" s="127"/>
      <c r="D27" s="203" t="e">
        <f>VLOOKUP($A27,INICIO_BARRA!$A$6:$R$130,3,FALSE)</f>
        <v>#N/A</v>
      </c>
      <c r="E27" s="203" t="e">
        <f>VLOOKUP($A27,INICIO_BARRA!$A$6:$R$130,4,FALSE)</f>
        <v>#N/A</v>
      </c>
      <c r="F27" s="203" t="str">
        <f>IFERROR(VLOOKUP($A27,REPOSICIONES_BARRA!$A$6:$I$130,3,FALSE),"")</f>
        <v/>
      </c>
      <c r="G27" s="315" t="e">
        <f t="shared" si="14"/>
        <v>#N/A</v>
      </c>
      <c r="H27" s="316" t="e">
        <f t="shared" si="15"/>
        <v>#N/A</v>
      </c>
      <c r="I27" s="317" t="str">
        <f>IFERROR(IFERROR(VLOOKUP($A27,VENTAS!$H$2:$O$201,2,FALSE),"")/$C27,"")</f>
        <v/>
      </c>
      <c r="J27" s="111"/>
      <c r="K27" s="203" t="e">
        <f>VLOOKUP($A27,INICIO_BARRA!$A$6:$R$130,5,FALSE)</f>
        <v>#N/A</v>
      </c>
      <c r="L27" s="203" t="e">
        <f>VLOOKUP($A27,INICIO_BARRA!$A$6:$R$130,6,FALSE)</f>
        <v>#N/A</v>
      </c>
      <c r="M27" s="156"/>
      <c r="N27" s="204" t="str">
        <f>IFERROR(IFERROR(IF(M27&gt;0,"",M27*VLOOKUP($A27,'VALOR I.'!$B$6:$K$418,10,FALSE)),"")*$C27,"")</f>
        <v/>
      </c>
      <c r="O27" s="203" t="e">
        <f>VLOOKUP($A27,INICIO_BARRA!$A$6:$R$130,5,FALSE)</f>
        <v>#N/A</v>
      </c>
      <c r="P27" s="203" t="e">
        <f>VLOOKUP($A27,INICIO_BARRA!$A$6:$R$130,6,FALSE)</f>
        <v>#N/A</v>
      </c>
      <c r="Q27" s="203" t="str">
        <f>IFERROR(VLOOKUP($A27,REPOSICIONES_BARRA!$A$6:$I$130,4,FALSE),"")</f>
        <v/>
      </c>
      <c r="R27" s="315" t="e">
        <f t="shared" si="2"/>
        <v>#N/A</v>
      </c>
      <c r="S27" s="316" t="e">
        <f t="shared" si="3"/>
        <v>#N/A</v>
      </c>
      <c r="T27" s="317" t="str">
        <f>IFERROR(IFERROR(VLOOKUP($A27,VENTAS!$H$2:$O$201,3,FALSE),"")/$C27,"")</f>
        <v/>
      </c>
      <c r="U27" s="111"/>
      <c r="V27" s="203" t="e">
        <f>VLOOKUP($A27,INICIO_BARRA!$A$6:$R$130,7,FALSE)</f>
        <v>#N/A</v>
      </c>
      <c r="W27" s="203" t="e">
        <f>VLOOKUP($A27,INICIO_BARRA!$A$6:$R$130,8,FALSE)</f>
        <v>#N/A</v>
      </c>
      <c r="X27" s="156"/>
      <c r="Y27" s="204" t="str">
        <f>IFERROR(IFERROR(IF(X27&gt;0,"",X27*VLOOKUP($A27,'VALOR I.'!$B$6:$K$418,10,FALSE)),"")*$C27,"")</f>
        <v/>
      </c>
      <c r="Z27" s="203" t="e">
        <f>VLOOKUP($A27,INICIO_BARRA!$A$6:$R$130,7,FALSE)</f>
        <v>#N/A</v>
      </c>
      <c r="AA27" s="203" t="e">
        <f>VLOOKUP($A27,INICIO_BARRA!$A$6:$R$130,8,FALSE)</f>
        <v>#N/A</v>
      </c>
      <c r="AB27" s="203" t="str">
        <f>IFERROR(VLOOKUP($A27,REPOSICIONES_BARRA!$A$6:$I$130,5,FALSE),"")</f>
        <v/>
      </c>
      <c r="AC27" s="315" t="e">
        <f t="shared" si="4"/>
        <v>#N/A</v>
      </c>
      <c r="AD27" s="316" t="e">
        <f t="shared" si="5"/>
        <v>#N/A</v>
      </c>
      <c r="AE27" s="317" t="str">
        <f>IFERROR(IFERROR(VLOOKUP($A27,VENTAS!$H$2:$O$201,4,FALSE),"")/$C27,"")</f>
        <v/>
      </c>
      <c r="AF27" s="111"/>
      <c r="AG27" s="203" t="e">
        <f>VLOOKUP($A27,INICIO_BARRA!$A$6:$R$130,9,FALSE)</f>
        <v>#N/A</v>
      </c>
      <c r="AH27" s="203" t="e">
        <f>VLOOKUP($A27,INICIO_BARRA!$A$6:$R$130,10,FALSE)</f>
        <v>#N/A</v>
      </c>
      <c r="AI27" s="156"/>
      <c r="AJ27" s="94" t="str">
        <f>IFERROR(IFERROR(IF(AI27&gt;0,"",AI27*VLOOKUP($A27,'VALOR I.'!$B$6:$K$418,10,FALSE)),"")*$C27,"")</f>
        <v/>
      </c>
      <c r="AK27" s="203" t="e">
        <f>VLOOKUP($A27,INICIO_BARRA!$A$6:$R$130,9,FALSE)</f>
        <v>#N/A</v>
      </c>
      <c r="AL27" s="203" t="e">
        <f>VLOOKUP($A27,INICIO_BARRA!$A$6:$R$130,10,FALSE)</f>
        <v>#N/A</v>
      </c>
      <c r="AM27" s="203" t="str">
        <f>IFERROR(VLOOKUP($A27,REPOSICIONES_BARRA!$A$6:$I$130,6,FALSE),"")</f>
        <v/>
      </c>
      <c r="AN27" s="315" t="e">
        <f t="shared" si="6"/>
        <v>#N/A</v>
      </c>
      <c r="AO27" s="316" t="e">
        <f t="shared" si="7"/>
        <v>#N/A</v>
      </c>
      <c r="AP27" s="317" t="str">
        <f>IFERROR(IFERROR(VLOOKUP($A27,VENTAS!$H$2:$O$201,5,FALSE),"")/$C27,"")</f>
        <v/>
      </c>
      <c r="AQ27" s="111"/>
      <c r="AR27" s="203" t="e">
        <f>VLOOKUP($A27,INICIO_BARRA!$A$6:$R$130,11,FALSE)</f>
        <v>#N/A</v>
      </c>
      <c r="AS27" s="203" t="e">
        <f>VLOOKUP($A27,INICIO_BARRA!$A$6:$R$130,12,FALSE)</f>
        <v>#N/A</v>
      </c>
      <c r="AT27" s="156"/>
      <c r="AU27" s="94" t="str">
        <f>IFERROR(IFERROR(IF(AT27&gt;0,"",AT27*VLOOKUP($A27,'VALOR I.'!$B$6:$K$418,10,FALSE)),"")*$C27,"")</f>
        <v/>
      </c>
      <c r="AV27" s="203" t="e">
        <f>VLOOKUP($A27,INICIO_BARRA!$A$6:$R$130,11,FALSE)</f>
        <v>#N/A</v>
      </c>
      <c r="AW27" s="203" t="e">
        <f>VLOOKUP($A27,INICIO_BARRA!$A$6:$R$130,12,FALSE)</f>
        <v>#N/A</v>
      </c>
      <c r="AX27" s="203" t="str">
        <f>IFERROR(VLOOKUP($A27,REPOSICIONES_BARRA!$A$6:$I$130,7,FALSE),"")</f>
        <v/>
      </c>
      <c r="AY27" s="315" t="e">
        <f t="shared" si="8"/>
        <v>#N/A</v>
      </c>
      <c r="AZ27" s="316" t="e">
        <f t="shared" si="9"/>
        <v>#N/A</v>
      </c>
      <c r="BA27" s="317" t="str">
        <f>IFERROR(IFERROR(VLOOKUP($A27,VENTAS!$H$2:$O$201,6,FALSE),"")/$C27,"")</f>
        <v/>
      </c>
      <c r="BB27" s="111"/>
      <c r="BC27" s="203" t="e">
        <f>VLOOKUP($A27,INICIO_BARRA!$A$6:$R$130,13,FALSE)</f>
        <v>#N/A</v>
      </c>
      <c r="BD27" s="203" t="e">
        <f>VLOOKUP($A27,INICIO_BARRA!$A$6:$R$130,14,FALSE)</f>
        <v>#N/A</v>
      </c>
      <c r="BE27" s="156"/>
      <c r="BF27" s="94" t="str">
        <f>IFERROR(IFERROR(IF(BE27&gt;0,"",BE27*VLOOKUP($A27,'VALOR I.'!$B$6:$K$418,10,FALSE)),"")*$C27,"")</f>
        <v/>
      </c>
      <c r="BG27" s="203" t="e">
        <f>VLOOKUP($A27,INICIO_BARRA!$A$6:$R$130,13,FALSE)</f>
        <v>#N/A</v>
      </c>
      <c r="BH27" s="203" t="e">
        <f>VLOOKUP($A27,INICIO_BARRA!$A$6:$R$130,14,FALSE)</f>
        <v>#N/A</v>
      </c>
      <c r="BI27" s="203" t="str">
        <f>IFERROR(VLOOKUP($A27,REPOSICIONES_BARRA!$A$6:$I$130,8,FALSE),"")</f>
        <v/>
      </c>
      <c r="BJ27" s="315" t="e">
        <f t="shared" si="10"/>
        <v>#N/A</v>
      </c>
      <c r="BK27" s="316" t="e">
        <f t="shared" si="11"/>
        <v>#N/A</v>
      </c>
      <c r="BL27" s="317" t="str">
        <f>IFERROR(IFERROR(VLOOKUP($A27,VENTAS!$H$2:$O$201,7,FALSE),"")/$C27,"")</f>
        <v/>
      </c>
      <c r="BM27" s="111"/>
      <c r="BN27" s="203" t="e">
        <f>VLOOKUP($A27,INICIO_BARRA!$A$6:$R$130,15,FALSE)</f>
        <v>#N/A</v>
      </c>
      <c r="BO27" s="203" t="e">
        <f>VLOOKUP($A27,INICIO_BARRA!$A$6:$R$130,16,FALSE)</f>
        <v>#N/A</v>
      </c>
      <c r="BP27" s="156"/>
      <c r="BQ27" s="94" t="str">
        <f>IFERROR(IFERROR(IF(BP27&gt;0,"",BP27*VLOOKUP($A27,'VALOR I.'!$B$6:$K$418,10,FALSE)),"")*$C27,"")</f>
        <v/>
      </c>
      <c r="BR27" s="203" t="e">
        <f>VLOOKUP($A27,INICIO_BARRA!$A$6:$R$130,15,FALSE)</f>
        <v>#N/A</v>
      </c>
      <c r="BS27" s="203" t="e">
        <f>VLOOKUP($A27,INICIO_BARRA!$A$6:$R$130,16,FALSE)</f>
        <v>#N/A</v>
      </c>
      <c r="BT27" s="203" t="str">
        <f>IFERROR(VLOOKUP($A27,REPOSICIONES_BARRA!$A$6:$I$130,9,FALSE),"")</f>
        <v/>
      </c>
      <c r="BU27" s="315" t="e">
        <f t="shared" si="12"/>
        <v>#N/A</v>
      </c>
      <c r="BV27" s="316" t="e">
        <f t="shared" si="13"/>
        <v>#N/A</v>
      </c>
      <c r="BW27" s="317" t="str">
        <f>IFERROR(IFERROR(VLOOKUP($A27,VENTAS!$H$2:$O$201,8,FALSE),"")/$C27,"")</f>
        <v/>
      </c>
      <c r="BX27" s="111"/>
      <c r="BY27" s="203" t="e">
        <f>VLOOKUP($A27,INICIO_BARRA!$A$6:$R$130,17,FALSE)</f>
        <v>#N/A</v>
      </c>
      <c r="BZ27" s="203" t="e">
        <f>VLOOKUP($A27,INICIO_BARRA!$A$6:$R$130,18,FALSE)</f>
        <v>#N/A</v>
      </c>
      <c r="CA27" s="156"/>
      <c r="CB27" s="94" t="str">
        <f>IFERROR(IFERROR(IF(CA27&gt;0,"",CA27*VLOOKUP($A27,'VALOR I.'!$B$6:$K$418,10,FALSE)),"")*$C27,"")</f>
        <v/>
      </c>
    </row>
    <row r="28" spans="1:80" s="7" customFormat="1" ht="30" hidden="1" customHeight="1" x14ac:dyDescent="0.3">
      <c r="A28" s="3"/>
      <c r="B28" s="27"/>
      <c r="C28" s="127"/>
      <c r="D28" s="203" t="e">
        <f>VLOOKUP($A28,INICIO_BARRA!$A$6:$R$130,3,FALSE)</f>
        <v>#N/A</v>
      </c>
      <c r="E28" s="203" t="e">
        <f>VLOOKUP($A28,INICIO_BARRA!$A$6:$R$130,4,FALSE)</f>
        <v>#N/A</v>
      </c>
      <c r="F28" s="203" t="str">
        <f>IFERROR(VLOOKUP($A28,REPOSICIONES_BARRA!$A$6:$I$130,3,FALSE),"")</f>
        <v/>
      </c>
      <c r="G28" s="315" t="e">
        <f t="shared" si="14"/>
        <v>#N/A</v>
      </c>
      <c r="H28" s="316" t="e">
        <f t="shared" si="15"/>
        <v>#N/A</v>
      </c>
      <c r="I28" s="317" t="str">
        <f>IFERROR(IFERROR(VLOOKUP($A28,VENTAS!$H$2:$O$201,2,FALSE),"")/$C28,"")</f>
        <v/>
      </c>
      <c r="J28" s="111"/>
      <c r="K28" s="203" t="e">
        <f>VLOOKUP($A28,INICIO_BARRA!$A$6:$R$130,5,FALSE)</f>
        <v>#N/A</v>
      </c>
      <c r="L28" s="203" t="e">
        <f>VLOOKUP($A28,INICIO_BARRA!$A$6:$R$130,6,FALSE)</f>
        <v>#N/A</v>
      </c>
      <c r="M28" s="156"/>
      <c r="N28" s="204" t="str">
        <f>IFERROR(IFERROR(IF(M28&gt;0,"",M28*VLOOKUP($A28,'VALOR I.'!$B$6:$K$418,10,FALSE)),"")*$C28,"")</f>
        <v/>
      </c>
      <c r="O28" s="203" t="e">
        <f>VLOOKUP($A28,INICIO_BARRA!$A$6:$R$130,5,FALSE)</f>
        <v>#N/A</v>
      </c>
      <c r="P28" s="203" t="e">
        <f>VLOOKUP($A28,INICIO_BARRA!$A$6:$R$130,6,FALSE)</f>
        <v>#N/A</v>
      </c>
      <c r="Q28" s="203" t="str">
        <f>IFERROR(VLOOKUP($A28,REPOSICIONES_BARRA!$A$6:$I$130,4,FALSE),"")</f>
        <v/>
      </c>
      <c r="R28" s="315" t="e">
        <f t="shared" si="2"/>
        <v>#N/A</v>
      </c>
      <c r="S28" s="316" t="e">
        <f t="shared" si="3"/>
        <v>#N/A</v>
      </c>
      <c r="T28" s="317" t="str">
        <f>IFERROR(IFERROR(VLOOKUP($A28,VENTAS!$H$2:$O$201,3,FALSE),"")/$C28,"")</f>
        <v/>
      </c>
      <c r="U28" s="111"/>
      <c r="V28" s="203" t="e">
        <f>VLOOKUP($A28,INICIO_BARRA!$A$6:$R$130,7,FALSE)</f>
        <v>#N/A</v>
      </c>
      <c r="W28" s="203" t="e">
        <f>VLOOKUP($A28,INICIO_BARRA!$A$6:$R$130,8,FALSE)</f>
        <v>#N/A</v>
      </c>
      <c r="X28" s="156"/>
      <c r="Y28" s="204" t="str">
        <f>IFERROR(IFERROR(IF(X28&gt;0,"",X28*VLOOKUP($A28,'VALOR I.'!$B$6:$K$418,10,FALSE)),"")*$C28,"")</f>
        <v/>
      </c>
      <c r="Z28" s="203" t="e">
        <f>VLOOKUP($A28,INICIO_BARRA!$A$6:$R$130,7,FALSE)</f>
        <v>#N/A</v>
      </c>
      <c r="AA28" s="203" t="e">
        <f>VLOOKUP($A28,INICIO_BARRA!$A$6:$R$130,8,FALSE)</f>
        <v>#N/A</v>
      </c>
      <c r="AB28" s="203" t="str">
        <f>IFERROR(VLOOKUP($A28,REPOSICIONES_BARRA!$A$6:$I$130,5,FALSE),"")</f>
        <v/>
      </c>
      <c r="AC28" s="315" t="e">
        <f t="shared" si="4"/>
        <v>#N/A</v>
      </c>
      <c r="AD28" s="316" t="e">
        <f t="shared" si="5"/>
        <v>#N/A</v>
      </c>
      <c r="AE28" s="317" t="str">
        <f>IFERROR(IFERROR(VLOOKUP($A28,VENTAS!$H$2:$O$201,4,FALSE),"")/$C28,"")</f>
        <v/>
      </c>
      <c r="AF28" s="111"/>
      <c r="AG28" s="203" t="e">
        <f>VLOOKUP($A28,INICIO_BARRA!$A$6:$R$130,9,FALSE)</f>
        <v>#N/A</v>
      </c>
      <c r="AH28" s="203" t="e">
        <f>VLOOKUP($A28,INICIO_BARRA!$A$6:$R$130,10,FALSE)</f>
        <v>#N/A</v>
      </c>
      <c r="AI28" s="156"/>
      <c r="AJ28" s="94" t="str">
        <f>IFERROR(IFERROR(IF(AI28&gt;0,"",AI28*VLOOKUP($A28,'VALOR I.'!$B$6:$K$418,10,FALSE)),"")*$C28,"")</f>
        <v/>
      </c>
      <c r="AK28" s="203" t="e">
        <f>VLOOKUP($A28,INICIO_BARRA!$A$6:$R$130,9,FALSE)</f>
        <v>#N/A</v>
      </c>
      <c r="AL28" s="203" t="e">
        <f>VLOOKUP($A28,INICIO_BARRA!$A$6:$R$130,10,FALSE)</f>
        <v>#N/A</v>
      </c>
      <c r="AM28" s="203" t="str">
        <f>IFERROR(VLOOKUP($A28,REPOSICIONES_BARRA!$A$6:$I$130,6,FALSE),"")</f>
        <v/>
      </c>
      <c r="AN28" s="315" t="e">
        <f t="shared" si="6"/>
        <v>#N/A</v>
      </c>
      <c r="AO28" s="316" t="e">
        <f t="shared" si="7"/>
        <v>#N/A</v>
      </c>
      <c r="AP28" s="317" t="str">
        <f>IFERROR(IFERROR(VLOOKUP($A28,VENTAS!$H$2:$O$201,5,FALSE),"")/$C28,"")</f>
        <v/>
      </c>
      <c r="AQ28" s="111"/>
      <c r="AR28" s="203" t="e">
        <f>VLOOKUP($A28,INICIO_BARRA!$A$6:$R$130,11,FALSE)</f>
        <v>#N/A</v>
      </c>
      <c r="AS28" s="203" t="e">
        <f>VLOOKUP($A28,INICIO_BARRA!$A$6:$R$130,12,FALSE)</f>
        <v>#N/A</v>
      </c>
      <c r="AT28" s="156"/>
      <c r="AU28" s="94" t="str">
        <f>IFERROR(IFERROR(IF(AT28&gt;0,"",AT28*VLOOKUP($A28,'VALOR I.'!$B$6:$K$418,10,FALSE)),"")*$C28,"")</f>
        <v/>
      </c>
      <c r="AV28" s="203" t="e">
        <f>VLOOKUP($A28,INICIO_BARRA!$A$6:$R$130,11,FALSE)</f>
        <v>#N/A</v>
      </c>
      <c r="AW28" s="203" t="e">
        <f>VLOOKUP($A28,INICIO_BARRA!$A$6:$R$130,12,FALSE)</f>
        <v>#N/A</v>
      </c>
      <c r="AX28" s="203" t="str">
        <f>IFERROR(VLOOKUP($A28,REPOSICIONES_BARRA!$A$6:$I$130,7,FALSE),"")</f>
        <v/>
      </c>
      <c r="AY28" s="315" t="e">
        <f t="shared" si="8"/>
        <v>#N/A</v>
      </c>
      <c r="AZ28" s="316" t="e">
        <f t="shared" si="9"/>
        <v>#N/A</v>
      </c>
      <c r="BA28" s="317" t="str">
        <f>IFERROR(IFERROR(VLOOKUP($A28,VENTAS!$H$2:$O$201,6,FALSE),"")/$C28,"")</f>
        <v/>
      </c>
      <c r="BB28" s="111"/>
      <c r="BC28" s="203" t="e">
        <f>VLOOKUP($A28,INICIO_BARRA!$A$6:$R$130,13,FALSE)</f>
        <v>#N/A</v>
      </c>
      <c r="BD28" s="203" t="e">
        <f>VLOOKUP($A28,INICIO_BARRA!$A$6:$R$130,14,FALSE)</f>
        <v>#N/A</v>
      </c>
      <c r="BE28" s="156"/>
      <c r="BF28" s="94" t="str">
        <f>IFERROR(IFERROR(IF(BE28&gt;0,"",BE28*VLOOKUP($A28,'VALOR I.'!$B$6:$K$418,10,FALSE)),"")*$C28,"")</f>
        <v/>
      </c>
      <c r="BG28" s="203" t="e">
        <f>VLOOKUP($A28,INICIO_BARRA!$A$6:$R$130,13,FALSE)</f>
        <v>#N/A</v>
      </c>
      <c r="BH28" s="203" t="e">
        <f>VLOOKUP($A28,INICIO_BARRA!$A$6:$R$130,14,FALSE)</f>
        <v>#N/A</v>
      </c>
      <c r="BI28" s="203" t="str">
        <f>IFERROR(VLOOKUP($A28,REPOSICIONES_BARRA!$A$6:$I$130,8,FALSE),"")</f>
        <v/>
      </c>
      <c r="BJ28" s="315" t="e">
        <f t="shared" si="10"/>
        <v>#N/A</v>
      </c>
      <c r="BK28" s="316" t="e">
        <f t="shared" si="11"/>
        <v>#N/A</v>
      </c>
      <c r="BL28" s="317" t="str">
        <f>IFERROR(IFERROR(VLOOKUP($A28,VENTAS!$H$2:$O$201,7,FALSE),"")/$C28,"")</f>
        <v/>
      </c>
      <c r="BM28" s="111"/>
      <c r="BN28" s="203" t="e">
        <f>VLOOKUP($A28,INICIO_BARRA!$A$6:$R$130,15,FALSE)</f>
        <v>#N/A</v>
      </c>
      <c r="BO28" s="203" t="e">
        <f>VLOOKUP($A28,INICIO_BARRA!$A$6:$R$130,16,FALSE)</f>
        <v>#N/A</v>
      </c>
      <c r="BP28" s="156"/>
      <c r="BQ28" s="94" t="str">
        <f>IFERROR(IFERROR(IF(BP28&gt;0,"",BP28*VLOOKUP($A28,'VALOR I.'!$B$6:$K$418,10,FALSE)),"")*$C28,"")</f>
        <v/>
      </c>
      <c r="BR28" s="203" t="e">
        <f>VLOOKUP($A28,INICIO_BARRA!$A$6:$R$130,15,FALSE)</f>
        <v>#N/A</v>
      </c>
      <c r="BS28" s="203" t="e">
        <f>VLOOKUP($A28,INICIO_BARRA!$A$6:$R$130,16,FALSE)</f>
        <v>#N/A</v>
      </c>
      <c r="BT28" s="203" t="str">
        <f>IFERROR(VLOOKUP($A28,REPOSICIONES_BARRA!$A$6:$I$130,9,FALSE),"")</f>
        <v/>
      </c>
      <c r="BU28" s="315" t="e">
        <f t="shared" si="12"/>
        <v>#N/A</v>
      </c>
      <c r="BV28" s="316" t="e">
        <f t="shared" si="13"/>
        <v>#N/A</v>
      </c>
      <c r="BW28" s="317" t="str">
        <f>IFERROR(IFERROR(VLOOKUP($A28,VENTAS!$H$2:$O$201,8,FALSE),"")/$C28,"")</f>
        <v/>
      </c>
      <c r="BX28" s="111"/>
      <c r="BY28" s="203" t="e">
        <f>VLOOKUP($A28,INICIO_BARRA!$A$6:$R$130,17,FALSE)</f>
        <v>#N/A</v>
      </c>
      <c r="BZ28" s="203" t="e">
        <f>VLOOKUP($A28,INICIO_BARRA!$A$6:$R$130,18,FALSE)</f>
        <v>#N/A</v>
      </c>
      <c r="CA28" s="156"/>
      <c r="CB28" s="94" t="str">
        <f>IFERROR(IFERROR(IF(CA28&gt;0,"",CA28*VLOOKUP($A28,'VALOR I.'!$B$6:$K$418,10,FALSE)),"")*$C28,"")</f>
        <v/>
      </c>
    </row>
    <row r="29" spans="1:80" s="7" customFormat="1" ht="30" hidden="1" customHeight="1" x14ac:dyDescent="0.3">
      <c r="A29" s="3"/>
      <c r="B29" s="29"/>
      <c r="C29" s="127"/>
      <c r="D29" s="203" t="e">
        <f>VLOOKUP($A29,INICIO_BARRA!$A$6:$R$130,3,FALSE)</f>
        <v>#N/A</v>
      </c>
      <c r="E29" s="203" t="e">
        <f>VLOOKUP($A29,INICIO_BARRA!$A$6:$R$130,4,FALSE)</f>
        <v>#N/A</v>
      </c>
      <c r="F29" s="203" t="str">
        <f>IFERROR(VLOOKUP($A29,REPOSICIONES_BARRA!$A$6:$I$130,3,FALSE),"")</f>
        <v/>
      </c>
      <c r="G29" s="315" t="e">
        <f t="shared" si="14"/>
        <v>#N/A</v>
      </c>
      <c r="H29" s="316" t="e">
        <f t="shared" si="15"/>
        <v>#N/A</v>
      </c>
      <c r="I29" s="317" t="str">
        <f>IFERROR(IFERROR(VLOOKUP($A29,VENTAS!$H$2:$O$201,2,FALSE),"")/$C29,"")</f>
        <v/>
      </c>
      <c r="J29" s="111"/>
      <c r="K29" s="203" t="e">
        <f>VLOOKUP($A29,INICIO_BARRA!$A$6:$R$130,5,FALSE)</f>
        <v>#N/A</v>
      </c>
      <c r="L29" s="203" t="e">
        <f>VLOOKUP($A29,INICIO_BARRA!$A$6:$R$130,6,FALSE)</f>
        <v>#N/A</v>
      </c>
      <c r="M29" s="156"/>
      <c r="N29" s="204" t="str">
        <f>IFERROR(IFERROR(IF(M29&gt;0,"",M29*VLOOKUP($A29,'VALOR I.'!$B$6:$K$418,10,FALSE)),"")*$C29,"")</f>
        <v/>
      </c>
      <c r="O29" s="203" t="e">
        <f>VLOOKUP($A29,INICIO_BARRA!$A$6:$R$130,5,FALSE)</f>
        <v>#N/A</v>
      </c>
      <c r="P29" s="203" t="e">
        <f>VLOOKUP($A29,INICIO_BARRA!$A$6:$R$130,6,FALSE)</f>
        <v>#N/A</v>
      </c>
      <c r="Q29" s="203" t="str">
        <f>IFERROR(VLOOKUP($A29,REPOSICIONES_BARRA!$A$6:$I$130,4,FALSE),"")</f>
        <v/>
      </c>
      <c r="R29" s="315" t="e">
        <f t="shared" si="2"/>
        <v>#N/A</v>
      </c>
      <c r="S29" s="316" t="e">
        <f t="shared" si="3"/>
        <v>#N/A</v>
      </c>
      <c r="T29" s="317" t="str">
        <f>IFERROR(IFERROR(VLOOKUP($A29,VENTAS!$H$2:$O$201,3,FALSE),"")/$C29,"")</f>
        <v/>
      </c>
      <c r="U29" s="111"/>
      <c r="V29" s="203" t="e">
        <f>VLOOKUP($A29,INICIO_BARRA!$A$6:$R$130,7,FALSE)</f>
        <v>#N/A</v>
      </c>
      <c r="W29" s="203" t="e">
        <f>VLOOKUP($A29,INICIO_BARRA!$A$6:$R$130,8,FALSE)</f>
        <v>#N/A</v>
      </c>
      <c r="X29" s="156"/>
      <c r="Y29" s="204" t="str">
        <f>IFERROR(IFERROR(IF(X29&gt;0,"",X29*VLOOKUP($A29,'VALOR I.'!$B$6:$K$418,10,FALSE)),"")*$C29,"")</f>
        <v/>
      </c>
      <c r="Z29" s="203" t="e">
        <f>VLOOKUP($A29,INICIO_BARRA!$A$6:$R$130,7,FALSE)</f>
        <v>#N/A</v>
      </c>
      <c r="AA29" s="203" t="e">
        <f>VLOOKUP($A29,INICIO_BARRA!$A$6:$R$130,8,FALSE)</f>
        <v>#N/A</v>
      </c>
      <c r="AB29" s="203" t="str">
        <f>IFERROR(VLOOKUP($A29,REPOSICIONES_BARRA!$A$6:$I$130,5,FALSE),"")</f>
        <v/>
      </c>
      <c r="AC29" s="315" t="e">
        <f t="shared" si="4"/>
        <v>#N/A</v>
      </c>
      <c r="AD29" s="316" t="e">
        <f t="shared" si="5"/>
        <v>#N/A</v>
      </c>
      <c r="AE29" s="317" t="str">
        <f>IFERROR(IFERROR(VLOOKUP($A29,VENTAS!$H$2:$O$201,4,FALSE),"")/$C29,"")</f>
        <v/>
      </c>
      <c r="AF29" s="111"/>
      <c r="AG29" s="203" t="e">
        <f>VLOOKUP($A29,INICIO_BARRA!$A$6:$R$130,9,FALSE)</f>
        <v>#N/A</v>
      </c>
      <c r="AH29" s="203" t="e">
        <f>VLOOKUP($A29,INICIO_BARRA!$A$6:$R$130,10,FALSE)</f>
        <v>#N/A</v>
      </c>
      <c r="AI29" s="156"/>
      <c r="AJ29" s="94" t="str">
        <f>IFERROR(IFERROR(IF(AI29&gt;0,"",AI29*VLOOKUP($A29,'VALOR I.'!$B$6:$K$418,10,FALSE)),"")*$C29,"")</f>
        <v/>
      </c>
      <c r="AK29" s="203" t="e">
        <f>VLOOKUP($A29,INICIO_BARRA!$A$6:$R$130,9,FALSE)</f>
        <v>#N/A</v>
      </c>
      <c r="AL29" s="203" t="e">
        <f>VLOOKUP($A29,INICIO_BARRA!$A$6:$R$130,10,FALSE)</f>
        <v>#N/A</v>
      </c>
      <c r="AM29" s="203" t="str">
        <f>IFERROR(VLOOKUP($A29,REPOSICIONES_BARRA!$A$6:$I$130,6,FALSE),"")</f>
        <v/>
      </c>
      <c r="AN29" s="315" t="e">
        <f t="shared" si="6"/>
        <v>#N/A</v>
      </c>
      <c r="AO29" s="316" t="e">
        <f t="shared" si="7"/>
        <v>#N/A</v>
      </c>
      <c r="AP29" s="317" t="str">
        <f>IFERROR(IFERROR(VLOOKUP($A29,VENTAS!$H$2:$O$201,5,FALSE),"")/$C29,"")</f>
        <v/>
      </c>
      <c r="AQ29" s="111"/>
      <c r="AR29" s="203" t="e">
        <f>VLOOKUP($A29,INICIO_BARRA!$A$6:$R$130,11,FALSE)</f>
        <v>#N/A</v>
      </c>
      <c r="AS29" s="203" t="e">
        <f>VLOOKUP($A29,INICIO_BARRA!$A$6:$R$130,12,FALSE)</f>
        <v>#N/A</v>
      </c>
      <c r="AT29" s="156"/>
      <c r="AU29" s="94" t="str">
        <f>IFERROR(IFERROR(IF(AT29&gt;0,"",AT29*VLOOKUP($A29,'VALOR I.'!$B$6:$K$418,10,FALSE)),"")*$C29,"")</f>
        <v/>
      </c>
      <c r="AV29" s="203" t="e">
        <f>VLOOKUP($A29,INICIO_BARRA!$A$6:$R$130,11,FALSE)</f>
        <v>#N/A</v>
      </c>
      <c r="AW29" s="203" t="e">
        <f>VLOOKUP($A29,INICIO_BARRA!$A$6:$R$130,12,FALSE)</f>
        <v>#N/A</v>
      </c>
      <c r="AX29" s="203" t="str">
        <f>IFERROR(VLOOKUP($A29,REPOSICIONES_BARRA!$A$6:$I$130,7,FALSE),"")</f>
        <v/>
      </c>
      <c r="AY29" s="315" t="e">
        <f t="shared" si="8"/>
        <v>#N/A</v>
      </c>
      <c r="AZ29" s="316" t="e">
        <f t="shared" si="9"/>
        <v>#N/A</v>
      </c>
      <c r="BA29" s="317" t="str">
        <f>IFERROR(IFERROR(VLOOKUP($A29,VENTAS!$H$2:$O$201,6,FALSE),"")/$C29,"")</f>
        <v/>
      </c>
      <c r="BB29" s="111"/>
      <c r="BC29" s="203" t="e">
        <f>VLOOKUP($A29,INICIO_BARRA!$A$6:$R$130,13,FALSE)</f>
        <v>#N/A</v>
      </c>
      <c r="BD29" s="203" t="e">
        <f>VLOOKUP($A29,INICIO_BARRA!$A$6:$R$130,14,FALSE)</f>
        <v>#N/A</v>
      </c>
      <c r="BE29" s="156"/>
      <c r="BF29" s="94" t="str">
        <f>IFERROR(IFERROR(IF(BE29&gt;0,"",BE29*VLOOKUP($A29,'VALOR I.'!$B$6:$K$418,10,FALSE)),"")*$C29,"")</f>
        <v/>
      </c>
      <c r="BG29" s="203" t="e">
        <f>VLOOKUP($A29,INICIO_BARRA!$A$6:$R$130,13,FALSE)</f>
        <v>#N/A</v>
      </c>
      <c r="BH29" s="203" t="e">
        <f>VLOOKUP($A29,INICIO_BARRA!$A$6:$R$130,14,FALSE)</f>
        <v>#N/A</v>
      </c>
      <c r="BI29" s="203" t="str">
        <f>IFERROR(VLOOKUP($A29,REPOSICIONES_BARRA!$A$6:$I$130,8,FALSE),"")</f>
        <v/>
      </c>
      <c r="BJ29" s="315" t="e">
        <f t="shared" si="10"/>
        <v>#N/A</v>
      </c>
      <c r="BK29" s="316" t="e">
        <f t="shared" si="11"/>
        <v>#N/A</v>
      </c>
      <c r="BL29" s="317" t="str">
        <f>IFERROR(IFERROR(VLOOKUP($A29,VENTAS!$H$2:$O$201,7,FALSE),"")/$C29,"")</f>
        <v/>
      </c>
      <c r="BM29" s="111"/>
      <c r="BN29" s="203" t="e">
        <f>VLOOKUP($A29,INICIO_BARRA!$A$6:$R$130,15,FALSE)</f>
        <v>#N/A</v>
      </c>
      <c r="BO29" s="203" t="e">
        <f>VLOOKUP($A29,INICIO_BARRA!$A$6:$R$130,16,FALSE)</f>
        <v>#N/A</v>
      </c>
      <c r="BP29" s="156"/>
      <c r="BQ29" s="94" t="str">
        <f>IFERROR(IFERROR(IF(BP29&gt;0,"",BP29*VLOOKUP($A29,'VALOR I.'!$B$6:$K$418,10,FALSE)),"")*$C29,"")</f>
        <v/>
      </c>
      <c r="BR29" s="203" t="e">
        <f>VLOOKUP($A29,INICIO_BARRA!$A$6:$R$130,15,FALSE)</f>
        <v>#N/A</v>
      </c>
      <c r="BS29" s="203" t="e">
        <f>VLOOKUP($A29,INICIO_BARRA!$A$6:$R$130,16,FALSE)</f>
        <v>#N/A</v>
      </c>
      <c r="BT29" s="203" t="str">
        <f>IFERROR(VLOOKUP($A29,REPOSICIONES_BARRA!$A$6:$I$130,9,FALSE),"")</f>
        <v/>
      </c>
      <c r="BU29" s="315" t="e">
        <f t="shared" si="12"/>
        <v>#N/A</v>
      </c>
      <c r="BV29" s="316" t="e">
        <f t="shared" si="13"/>
        <v>#N/A</v>
      </c>
      <c r="BW29" s="317" t="str">
        <f>IFERROR(IFERROR(VLOOKUP($A29,VENTAS!$H$2:$O$201,8,FALSE),"")/$C29,"")</f>
        <v/>
      </c>
      <c r="BX29" s="111"/>
      <c r="BY29" s="203" t="e">
        <f>VLOOKUP($A29,INICIO_BARRA!$A$6:$R$130,17,FALSE)</f>
        <v>#N/A</v>
      </c>
      <c r="BZ29" s="203" t="e">
        <f>VLOOKUP($A29,INICIO_BARRA!$A$6:$R$130,18,FALSE)</f>
        <v>#N/A</v>
      </c>
      <c r="CA29" s="156"/>
      <c r="CB29" s="94" t="str">
        <f>IFERROR(IFERROR(IF(CA29&gt;0,"",CA29*VLOOKUP($A29,'VALOR I.'!$B$6:$K$418,10,FALSE)),"")*$C29,"")</f>
        <v/>
      </c>
    </row>
    <row r="30" spans="1:80" s="7" customFormat="1" ht="30" hidden="1" customHeight="1" x14ac:dyDescent="0.45">
      <c r="A30" s="3"/>
      <c r="B30" s="32"/>
      <c r="C30" s="127"/>
      <c r="D30" s="203" t="e">
        <f>VLOOKUP($A30,INICIO_BARRA!$A$6:$R$130,3,FALSE)</f>
        <v>#N/A</v>
      </c>
      <c r="E30" s="203" t="e">
        <f>VLOOKUP($A30,INICIO_BARRA!$A$6:$R$130,4,FALSE)</f>
        <v>#N/A</v>
      </c>
      <c r="F30" s="203" t="str">
        <f>IFERROR(VLOOKUP($A30,REPOSICIONES_BARRA!$A$6:$I$130,3,FALSE),"")</f>
        <v/>
      </c>
      <c r="G30" s="315" t="e">
        <f t="shared" si="14"/>
        <v>#N/A</v>
      </c>
      <c r="H30" s="316" t="e">
        <f t="shared" si="15"/>
        <v>#N/A</v>
      </c>
      <c r="I30" s="317" t="str">
        <f>IFERROR(IFERROR(VLOOKUP($A30,VENTAS!$H$2:$O$201,2,FALSE),"")/$C30,"")</f>
        <v/>
      </c>
      <c r="J30" s="111"/>
      <c r="K30" s="203" t="e">
        <f>VLOOKUP($A30,INICIO_BARRA!$A$6:$R$130,5,FALSE)</f>
        <v>#N/A</v>
      </c>
      <c r="L30" s="203" t="e">
        <f>VLOOKUP($A30,INICIO_BARRA!$A$6:$R$130,6,FALSE)</f>
        <v>#N/A</v>
      </c>
      <c r="M30" s="156"/>
      <c r="N30" s="204" t="str">
        <f>IFERROR(IFERROR(IF(M30&gt;0,"",M30*VLOOKUP($A30,'VALOR I.'!$B$6:$K$418,10,FALSE)),"")*$C30,"")</f>
        <v/>
      </c>
      <c r="O30" s="203" t="e">
        <f>VLOOKUP($A30,INICIO_BARRA!$A$6:$R$130,5,FALSE)</f>
        <v>#N/A</v>
      </c>
      <c r="P30" s="203" t="e">
        <f>VLOOKUP($A30,INICIO_BARRA!$A$6:$R$130,6,FALSE)</f>
        <v>#N/A</v>
      </c>
      <c r="Q30" s="203" t="str">
        <f>IFERROR(VLOOKUP($A30,REPOSICIONES_BARRA!$A$6:$I$130,4,FALSE),"")</f>
        <v/>
      </c>
      <c r="R30" s="315" t="e">
        <f t="shared" si="2"/>
        <v>#N/A</v>
      </c>
      <c r="S30" s="316" t="e">
        <f t="shared" si="3"/>
        <v>#N/A</v>
      </c>
      <c r="T30" s="317" t="str">
        <f>IFERROR(IFERROR(VLOOKUP($A30,VENTAS!$H$2:$O$201,3,FALSE),"")/$C30,"")</f>
        <v/>
      </c>
      <c r="U30" s="111"/>
      <c r="V30" s="203" t="e">
        <f>VLOOKUP($A30,INICIO_BARRA!$A$6:$R$130,7,FALSE)</f>
        <v>#N/A</v>
      </c>
      <c r="W30" s="203" t="e">
        <f>VLOOKUP($A30,INICIO_BARRA!$A$6:$R$130,8,FALSE)</f>
        <v>#N/A</v>
      </c>
      <c r="X30" s="156"/>
      <c r="Y30" s="204" t="str">
        <f>IFERROR(IFERROR(IF(X30&gt;0,"",X30*VLOOKUP($A30,'VALOR I.'!$B$6:$K$418,10,FALSE)),"")*$C30,"")</f>
        <v/>
      </c>
      <c r="Z30" s="203" t="e">
        <f>VLOOKUP($A30,INICIO_BARRA!$A$6:$R$130,7,FALSE)</f>
        <v>#N/A</v>
      </c>
      <c r="AA30" s="203" t="e">
        <f>VLOOKUP($A30,INICIO_BARRA!$A$6:$R$130,8,FALSE)</f>
        <v>#N/A</v>
      </c>
      <c r="AB30" s="203" t="str">
        <f>IFERROR(VLOOKUP($A30,REPOSICIONES_BARRA!$A$6:$I$130,5,FALSE),"")</f>
        <v/>
      </c>
      <c r="AC30" s="315" t="e">
        <f t="shared" si="4"/>
        <v>#N/A</v>
      </c>
      <c r="AD30" s="316" t="e">
        <f t="shared" si="5"/>
        <v>#N/A</v>
      </c>
      <c r="AE30" s="317" t="str">
        <f>IFERROR(IFERROR(VLOOKUP($A30,VENTAS!$H$2:$O$201,4,FALSE),"")/$C30,"")</f>
        <v/>
      </c>
      <c r="AF30" s="111"/>
      <c r="AG30" s="203" t="e">
        <f>VLOOKUP($A30,INICIO_BARRA!$A$6:$R$130,9,FALSE)</f>
        <v>#N/A</v>
      </c>
      <c r="AH30" s="203" t="e">
        <f>VLOOKUP($A30,INICIO_BARRA!$A$6:$R$130,10,FALSE)</f>
        <v>#N/A</v>
      </c>
      <c r="AI30" s="156"/>
      <c r="AJ30" s="94" t="str">
        <f>IFERROR(IFERROR(IF(AI30&gt;0,"",AI30*VLOOKUP($A30,'VALOR I.'!$B$6:$K$418,10,FALSE)),"")*$C30,"")</f>
        <v/>
      </c>
      <c r="AK30" s="203" t="e">
        <f>VLOOKUP($A30,INICIO_BARRA!$A$6:$R$130,9,FALSE)</f>
        <v>#N/A</v>
      </c>
      <c r="AL30" s="203" t="e">
        <f>VLOOKUP($A30,INICIO_BARRA!$A$6:$R$130,10,FALSE)</f>
        <v>#N/A</v>
      </c>
      <c r="AM30" s="203" t="str">
        <f>IFERROR(VLOOKUP($A30,REPOSICIONES_BARRA!$A$6:$I$130,6,FALSE),"")</f>
        <v/>
      </c>
      <c r="AN30" s="315" t="e">
        <f t="shared" si="6"/>
        <v>#N/A</v>
      </c>
      <c r="AO30" s="316" t="e">
        <f t="shared" si="7"/>
        <v>#N/A</v>
      </c>
      <c r="AP30" s="317" t="str">
        <f>IFERROR(IFERROR(VLOOKUP($A30,VENTAS!$H$2:$O$201,5,FALSE),"")/$C30,"")</f>
        <v/>
      </c>
      <c r="AQ30" s="111"/>
      <c r="AR30" s="203" t="e">
        <f>VLOOKUP($A30,INICIO_BARRA!$A$6:$R$130,11,FALSE)</f>
        <v>#N/A</v>
      </c>
      <c r="AS30" s="203" t="e">
        <f>VLOOKUP($A30,INICIO_BARRA!$A$6:$R$130,12,FALSE)</f>
        <v>#N/A</v>
      </c>
      <c r="AT30" s="156"/>
      <c r="AU30" s="94" t="str">
        <f>IFERROR(IFERROR(IF(AT30&gt;0,"",AT30*VLOOKUP($A30,'VALOR I.'!$B$6:$K$418,10,FALSE)),"")*$C30,"")</f>
        <v/>
      </c>
      <c r="AV30" s="203" t="e">
        <f>VLOOKUP($A30,INICIO_BARRA!$A$6:$R$130,11,FALSE)</f>
        <v>#N/A</v>
      </c>
      <c r="AW30" s="203" t="e">
        <f>VLOOKUP($A30,INICIO_BARRA!$A$6:$R$130,12,FALSE)</f>
        <v>#N/A</v>
      </c>
      <c r="AX30" s="203" t="str">
        <f>IFERROR(VLOOKUP($A30,REPOSICIONES_BARRA!$A$6:$I$130,7,FALSE),"")</f>
        <v/>
      </c>
      <c r="AY30" s="315" t="e">
        <f t="shared" si="8"/>
        <v>#N/A</v>
      </c>
      <c r="AZ30" s="316" t="e">
        <f t="shared" si="9"/>
        <v>#N/A</v>
      </c>
      <c r="BA30" s="317" t="str">
        <f>IFERROR(IFERROR(VLOOKUP($A30,VENTAS!$H$2:$O$201,6,FALSE),"")/$C30,"")</f>
        <v/>
      </c>
      <c r="BB30" s="111"/>
      <c r="BC30" s="203" t="e">
        <f>VLOOKUP($A30,INICIO_BARRA!$A$6:$R$130,13,FALSE)</f>
        <v>#N/A</v>
      </c>
      <c r="BD30" s="203" t="e">
        <f>VLOOKUP($A30,INICIO_BARRA!$A$6:$R$130,14,FALSE)</f>
        <v>#N/A</v>
      </c>
      <c r="BE30" s="156"/>
      <c r="BF30" s="94" t="str">
        <f>IFERROR(IFERROR(IF(BE30&gt;0,"",BE30*VLOOKUP($A30,'VALOR I.'!$B$6:$K$418,10,FALSE)),"")*$C30,"")</f>
        <v/>
      </c>
      <c r="BG30" s="203" t="e">
        <f>VLOOKUP($A30,INICIO_BARRA!$A$6:$R$130,13,FALSE)</f>
        <v>#N/A</v>
      </c>
      <c r="BH30" s="203" t="e">
        <f>VLOOKUP($A30,INICIO_BARRA!$A$6:$R$130,14,FALSE)</f>
        <v>#N/A</v>
      </c>
      <c r="BI30" s="203" t="str">
        <f>IFERROR(VLOOKUP($A30,REPOSICIONES_BARRA!$A$6:$I$130,8,FALSE),"")</f>
        <v/>
      </c>
      <c r="BJ30" s="315" t="e">
        <f t="shared" si="10"/>
        <v>#N/A</v>
      </c>
      <c r="BK30" s="316" t="e">
        <f t="shared" si="11"/>
        <v>#N/A</v>
      </c>
      <c r="BL30" s="317" t="str">
        <f>IFERROR(IFERROR(VLOOKUP($A30,VENTAS!$H$2:$O$201,7,FALSE),"")/$C30,"")</f>
        <v/>
      </c>
      <c r="BM30" s="111"/>
      <c r="BN30" s="203" t="e">
        <f>VLOOKUP($A30,INICIO_BARRA!$A$6:$R$130,15,FALSE)</f>
        <v>#N/A</v>
      </c>
      <c r="BO30" s="203" t="e">
        <f>VLOOKUP($A30,INICIO_BARRA!$A$6:$R$130,16,FALSE)</f>
        <v>#N/A</v>
      </c>
      <c r="BP30" s="156"/>
      <c r="BQ30" s="94" t="str">
        <f>IFERROR(IFERROR(IF(BP30&gt;0,"",BP30*VLOOKUP($A30,'VALOR I.'!$B$6:$K$418,10,FALSE)),"")*$C30,"")</f>
        <v/>
      </c>
      <c r="BR30" s="203" t="e">
        <f>VLOOKUP($A30,INICIO_BARRA!$A$6:$R$130,15,FALSE)</f>
        <v>#N/A</v>
      </c>
      <c r="BS30" s="203" t="e">
        <f>VLOOKUP($A30,INICIO_BARRA!$A$6:$R$130,16,FALSE)</f>
        <v>#N/A</v>
      </c>
      <c r="BT30" s="203" t="str">
        <f>IFERROR(VLOOKUP($A30,REPOSICIONES_BARRA!$A$6:$I$130,9,FALSE),"")</f>
        <v/>
      </c>
      <c r="BU30" s="315" t="e">
        <f t="shared" si="12"/>
        <v>#N/A</v>
      </c>
      <c r="BV30" s="316" t="e">
        <f t="shared" si="13"/>
        <v>#N/A</v>
      </c>
      <c r="BW30" s="317" t="str">
        <f>IFERROR(IFERROR(VLOOKUP($A30,VENTAS!$H$2:$O$201,8,FALSE),"")/$C30,"")</f>
        <v/>
      </c>
      <c r="BX30" s="111"/>
      <c r="BY30" s="203" t="e">
        <f>VLOOKUP($A30,INICIO_BARRA!$A$6:$R$130,17,FALSE)</f>
        <v>#N/A</v>
      </c>
      <c r="BZ30" s="203" t="e">
        <f>VLOOKUP($A30,INICIO_BARRA!$A$6:$R$130,18,FALSE)</f>
        <v>#N/A</v>
      </c>
      <c r="CA30" s="156"/>
      <c r="CB30" s="94" t="str">
        <f>IFERROR(IFERROR(IF(CA30&gt;0,"",CA30*VLOOKUP($A30,'VALOR I.'!$B$6:$K$418,10,FALSE)),"")*$C30,"")</f>
        <v/>
      </c>
    </row>
    <row r="31" spans="1:80" s="7" customFormat="1" ht="30" hidden="1" customHeight="1" x14ac:dyDescent="0.45">
      <c r="A31" s="3"/>
      <c r="B31" s="28"/>
      <c r="C31" s="127"/>
      <c r="D31" s="203" t="e">
        <f>VLOOKUP($A31,INICIO_BARRA!$A$6:$R$130,3,FALSE)</f>
        <v>#N/A</v>
      </c>
      <c r="E31" s="203" t="e">
        <f>VLOOKUP($A31,INICIO_BARRA!$A$6:$R$130,4,FALSE)</f>
        <v>#N/A</v>
      </c>
      <c r="F31" s="203" t="str">
        <f>IFERROR(VLOOKUP($A31,REPOSICIONES_BARRA!$A$6:$I$130,3,FALSE),"")</f>
        <v/>
      </c>
      <c r="G31" s="315" t="e">
        <f t="shared" si="14"/>
        <v>#N/A</v>
      </c>
      <c r="H31" s="316" t="e">
        <f t="shared" si="15"/>
        <v>#N/A</v>
      </c>
      <c r="I31" s="317" t="str">
        <f>IFERROR(IFERROR(VLOOKUP($A31,VENTAS!$H$2:$O$201,2,FALSE),"")/$C31,"")</f>
        <v/>
      </c>
      <c r="J31" s="111"/>
      <c r="K31" s="203" t="e">
        <f>VLOOKUP($A31,INICIO_BARRA!$A$6:$R$130,5,FALSE)</f>
        <v>#N/A</v>
      </c>
      <c r="L31" s="203" t="e">
        <f>VLOOKUP($A31,INICIO_BARRA!$A$6:$R$130,6,FALSE)</f>
        <v>#N/A</v>
      </c>
      <c r="M31" s="156"/>
      <c r="N31" s="204" t="str">
        <f>IFERROR(IFERROR(IF(M31&gt;0,"",M31*VLOOKUP($A31,'VALOR I.'!$B$6:$K$418,10,FALSE)),"")*$C31,"")</f>
        <v/>
      </c>
      <c r="O31" s="203" t="e">
        <f>VLOOKUP($A31,INICIO_BARRA!$A$6:$R$130,5,FALSE)</f>
        <v>#N/A</v>
      </c>
      <c r="P31" s="203" t="e">
        <f>VLOOKUP($A31,INICIO_BARRA!$A$6:$R$130,6,FALSE)</f>
        <v>#N/A</v>
      </c>
      <c r="Q31" s="203" t="str">
        <f>IFERROR(VLOOKUP($A31,REPOSICIONES_BARRA!$A$6:$I$130,4,FALSE),"")</f>
        <v/>
      </c>
      <c r="R31" s="315" t="e">
        <f t="shared" si="2"/>
        <v>#N/A</v>
      </c>
      <c r="S31" s="316" t="e">
        <f t="shared" si="3"/>
        <v>#N/A</v>
      </c>
      <c r="T31" s="317" t="str">
        <f>IFERROR(IFERROR(VLOOKUP($A31,VENTAS!$H$2:$O$201,3,FALSE),"")/$C31,"")</f>
        <v/>
      </c>
      <c r="U31" s="111"/>
      <c r="V31" s="203" t="e">
        <f>VLOOKUP($A31,INICIO_BARRA!$A$6:$R$130,7,FALSE)</f>
        <v>#N/A</v>
      </c>
      <c r="W31" s="203" t="e">
        <f>VLOOKUP($A31,INICIO_BARRA!$A$6:$R$130,8,FALSE)</f>
        <v>#N/A</v>
      </c>
      <c r="X31" s="156"/>
      <c r="Y31" s="204" t="str">
        <f>IFERROR(IFERROR(IF(X31&gt;0,"",X31*VLOOKUP($A31,'VALOR I.'!$B$6:$K$418,10,FALSE)),"")*$C31,"")</f>
        <v/>
      </c>
      <c r="Z31" s="203" t="e">
        <f>VLOOKUP($A31,INICIO_BARRA!$A$6:$R$130,7,FALSE)</f>
        <v>#N/A</v>
      </c>
      <c r="AA31" s="203" t="e">
        <f>VLOOKUP($A31,INICIO_BARRA!$A$6:$R$130,8,FALSE)</f>
        <v>#N/A</v>
      </c>
      <c r="AB31" s="203" t="str">
        <f>IFERROR(VLOOKUP($A31,REPOSICIONES_BARRA!$A$6:$I$130,5,FALSE),"")</f>
        <v/>
      </c>
      <c r="AC31" s="315" t="e">
        <f t="shared" si="4"/>
        <v>#N/A</v>
      </c>
      <c r="AD31" s="316" t="e">
        <f t="shared" si="5"/>
        <v>#N/A</v>
      </c>
      <c r="AE31" s="317" t="str">
        <f>IFERROR(IFERROR(VLOOKUP($A31,VENTAS!$H$2:$O$201,4,FALSE),"")/$C31,"")</f>
        <v/>
      </c>
      <c r="AF31" s="111"/>
      <c r="AG31" s="203" t="e">
        <f>VLOOKUP($A31,INICIO_BARRA!$A$6:$R$130,9,FALSE)</f>
        <v>#N/A</v>
      </c>
      <c r="AH31" s="203" t="e">
        <f>VLOOKUP($A31,INICIO_BARRA!$A$6:$R$130,10,FALSE)</f>
        <v>#N/A</v>
      </c>
      <c r="AI31" s="156"/>
      <c r="AJ31" s="94" t="str">
        <f>IFERROR(IFERROR(IF(AI31&gt;0,"",AI31*VLOOKUP($A31,'VALOR I.'!$B$6:$K$418,10,FALSE)),"")*$C31,"")</f>
        <v/>
      </c>
      <c r="AK31" s="203" t="e">
        <f>VLOOKUP($A31,INICIO_BARRA!$A$6:$R$130,9,FALSE)</f>
        <v>#N/A</v>
      </c>
      <c r="AL31" s="203" t="e">
        <f>VLOOKUP($A31,INICIO_BARRA!$A$6:$R$130,10,FALSE)</f>
        <v>#N/A</v>
      </c>
      <c r="AM31" s="203" t="str">
        <f>IFERROR(VLOOKUP($A31,REPOSICIONES_BARRA!$A$6:$I$130,6,FALSE),"")</f>
        <v/>
      </c>
      <c r="AN31" s="315" t="e">
        <f t="shared" si="6"/>
        <v>#N/A</v>
      </c>
      <c r="AO31" s="316" t="e">
        <f t="shared" si="7"/>
        <v>#N/A</v>
      </c>
      <c r="AP31" s="317" t="str">
        <f>IFERROR(IFERROR(VLOOKUP($A31,VENTAS!$H$2:$O$201,5,FALSE),"")/$C31,"")</f>
        <v/>
      </c>
      <c r="AQ31" s="111"/>
      <c r="AR31" s="203" t="e">
        <f>VLOOKUP($A31,INICIO_BARRA!$A$6:$R$130,11,FALSE)</f>
        <v>#N/A</v>
      </c>
      <c r="AS31" s="203" t="e">
        <f>VLOOKUP($A31,INICIO_BARRA!$A$6:$R$130,12,FALSE)</f>
        <v>#N/A</v>
      </c>
      <c r="AT31" s="156"/>
      <c r="AU31" s="94" t="str">
        <f>IFERROR(IFERROR(IF(AT31&gt;0,"",AT31*VLOOKUP($A31,'VALOR I.'!$B$6:$K$418,10,FALSE)),"")*$C31,"")</f>
        <v/>
      </c>
      <c r="AV31" s="203" t="e">
        <f>VLOOKUP($A31,INICIO_BARRA!$A$6:$R$130,11,FALSE)</f>
        <v>#N/A</v>
      </c>
      <c r="AW31" s="203" t="e">
        <f>VLOOKUP($A31,INICIO_BARRA!$A$6:$R$130,12,FALSE)</f>
        <v>#N/A</v>
      </c>
      <c r="AX31" s="203" t="str">
        <f>IFERROR(VLOOKUP($A31,REPOSICIONES_BARRA!$A$6:$I$130,7,FALSE),"")</f>
        <v/>
      </c>
      <c r="AY31" s="315" t="e">
        <f t="shared" si="8"/>
        <v>#N/A</v>
      </c>
      <c r="AZ31" s="316" t="e">
        <f t="shared" si="9"/>
        <v>#N/A</v>
      </c>
      <c r="BA31" s="317" t="str">
        <f>IFERROR(IFERROR(VLOOKUP($A31,VENTAS!$H$2:$O$201,6,FALSE),"")/$C31,"")</f>
        <v/>
      </c>
      <c r="BB31" s="111"/>
      <c r="BC31" s="203" t="e">
        <f>VLOOKUP($A31,INICIO_BARRA!$A$6:$R$130,13,FALSE)</f>
        <v>#N/A</v>
      </c>
      <c r="BD31" s="203" t="e">
        <f>VLOOKUP($A31,INICIO_BARRA!$A$6:$R$130,14,FALSE)</f>
        <v>#N/A</v>
      </c>
      <c r="BE31" s="156"/>
      <c r="BF31" s="94" t="str">
        <f>IFERROR(IFERROR(IF(BE31&gt;0,"",BE31*VLOOKUP($A31,'VALOR I.'!$B$6:$K$418,10,FALSE)),"")*$C31,"")</f>
        <v/>
      </c>
      <c r="BG31" s="203" t="e">
        <f>VLOOKUP($A31,INICIO_BARRA!$A$6:$R$130,13,FALSE)</f>
        <v>#N/A</v>
      </c>
      <c r="BH31" s="203" t="e">
        <f>VLOOKUP($A31,INICIO_BARRA!$A$6:$R$130,14,FALSE)</f>
        <v>#N/A</v>
      </c>
      <c r="BI31" s="203" t="str">
        <f>IFERROR(VLOOKUP($A31,REPOSICIONES_BARRA!$A$6:$I$130,8,FALSE),"")</f>
        <v/>
      </c>
      <c r="BJ31" s="315" t="e">
        <f t="shared" si="10"/>
        <v>#N/A</v>
      </c>
      <c r="BK31" s="316" t="e">
        <f t="shared" si="11"/>
        <v>#N/A</v>
      </c>
      <c r="BL31" s="317" t="str">
        <f>IFERROR(IFERROR(VLOOKUP($A31,VENTAS!$H$2:$O$201,7,FALSE),"")/$C31,"")</f>
        <v/>
      </c>
      <c r="BM31" s="111"/>
      <c r="BN31" s="203" t="e">
        <f>VLOOKUP($A31,INICIO_BARRA!$A$6:$R$130,15,FALSE)</f>
        <v>#N/A</v>
      </c>
      <c r="BO31" s="203" t="e">
        <f>VLOOKUP($A31,INICIO_BARRA!$A$6:$R$130,16,FALSE)</f>
        <v>#N/A</v>
      </c>
      <c r="BP31" s="156"/>
      <c r="BQ31" s="94" t="str">
        <f>IFERROR(IFERROR(IF(BP31&gt;0,"",BP31*VLOOKUP($A31,'VALOR I.'!$B$6:$K$418,10,FALSE)),"")*$C31,"")</f>
        <v/>
      </c>
      <c r="BR31" s="203" t="e">
        <f>VLOOKUP($A31,INICIO_BARRA!$A$6:$R$130,15,FALSE)</f>
        <v>#N/A</v>
      </c>
      <c r="BS31" s="203" t="e">
        <f>VLOOKUP($A31,INICIO_BARRA!$A$6:$R$130,16,FALSE)</f>
        <v>#N/A</v>
      </c>
      <c r="BT31" s="203" t="str">
        <f>IFERROR(VLOOKUP($A31,REPOSICIONES_BARRA!$A$6:$I$130,9,FALSE),"")</f>
        <v/>
      </c>
      <c r="BU31" s="315" t="e">
        <f t="shared" si="12"/>
        <v>#N/A</v>
      </c>
      <c r="BV31" s="316" t="e">
        <f t="shared" si="13"/>
        <v>#N/A</v>
      </c>
      <c r="BW31" s="317" t="str">
        <f>IFERROR(IFERROR(VLOOKUP($A31,VENTAS!$H$2:$O$201,8,FALSE),"")/$C31,"")</f>
        <v/>
      </c>
      <c r="BX31" s="111"/>
      <c r="BY31" s="203" t="e">
        <f>VLOOKUP($A31,INICIO_BARRA!$A$6:$R$130,17,FALSE)</f>
        <v>#N/A</v>
      </c>
      <c r="BZ31" s="203" t="e">
        <f>VLOOKUP($A31,INICIO_BARRA!$A$6:$R$130,18,FALSE)</f>
        <v>#N/A</v>
      </c>
      <c r="CA31" s="156"/>
      <c r="CB31" s="94" t="str">
        <f>IFERROR(IFERROR(IF(CA31&gt;0,"",CA31*VLOOKUP($A31,'VALOR I.'!$B$6:$K$418,10,FALSE)),"")*$C31,"")</f>
        <v/>
      </c>
    </row>
    <row r="32" spans="1:80" s="7" customFormat="1" ht="30" hidden="1" customHeight="1" x14ac:dyDescent="0.45">
      <c r="A32" s="3"/>
      <c r="B32" s="33"/>
      <c r="C32" s="127"/>
      <c r="D32" s="203" t="e">
        <f>VLOOKUP($A32,INICIO_BARRA!$A$6:$R$130,3,FALSE)</f>
        <v>#N/A</v>
      </c>
      <c r="E32" s="203" t="e">
        <f>VLOOKUP($A32,INICIO_BARRA!$A$6:$R$130,4,FALSE)</f>
        <v>#N/A</v>
      </c>
      <c r="F32" s="203" t="str">
        <f>IFERROR(VLOOKUP($A32,REPOSICIONES_BARRA!$A$6:$I$130,3,FALSE),"")</f>
        <v/>
      </c>
      <c r="G32" s="315" t="e">
        <f t="shared" si="14"/>
        <v>#N/A</v>
      </c>
      <c r="H32" s="316" t="e">
        <f t="shared" si="15"/>
        <v>#N/A</v>
      </c>
      <c r="I32" s="317" t="str">
        <f>IFERROR(IFERROR(VLOOKUP($A32,VENTAS!$H$2:$O$201,2,FALSE),"")/$C32,"")</f>
        <v/>
      </c>
      <c r="J32" s="111"/>
      <c r="K32" s="203" t="e">
        <f>VLOOKUP($A32,INICIO_BARRA!$A$6:$R$130,5,FALSE)</f>
        <v>#N/A</v>
      </c>
      <c r="L32" s="203" t="e">
        <f>VLOOKUP($A32,INICIO_BARRA!$A$6:$R$130,6,FALSE)</f>
        <v>#N/A</v>
      </c>
      <c r="M32" s="156"/>
      <c r="N32" s="204" t="str">
        <f>IFERROR(IFERROR(IF(M32&gt;0,"",M32*VLOOKUP($A32,'VALOR I.'!$B$6:$K$418,10,FALSE)),"")*$C32,"")</f>
        <v/>
      </c>
      <c r="O32" s="203" t="e">
        <f>VLOOKUP($A32,INICIO_BARRA!$A$6:$R$130,5,FALSE)</f>
        <v>#N/A</v>
      </c>
      <c r="P32" s="203" t="e">
        <f>VLOOKUP($A32,INICIO_BARRA!$A$6:$R$130,6,FALSE)</f>
        <v>#N/A</v>
      </c>
      <c r="Q32" s="203" t="str">
        <f>IFERROR(VLOOKUP($A32,REPOSICIONES_BARRA!$A$6:$I$130,4,FALSE),"")</f>
        <v/>
      </c>
      <c r="R32" s="315" t="e">
        <f t="shared" si="2"/>
        <v>#N/A</v>
      </c>
      <c r="S32" s="316" t="e">
        <f t="shared" si="3"/>
        <v>#N/A</v>
      </c>
      <c r="T32" s="317" t="str">
        <f>IFERROR(IFERROR(VLOOKUP($A32,VENTAS!$H$2:$O$201,3,FALSE),"")/$C32,"")</f>
        <v/>
      </c>
      <c r="U32" s="111"/>
      <c r="V32" s="203" t="e">
        <f>VLOOKUP($A32,INICIO_BARRA!$A$6:$R$130,7,FALSE)</f>
        <v>#N/A</v>
      </c>
      <c r="W32" s="203" t="e">
        <f>VLOOKUP($A32,INICIO_BARRA!$A$6:$R$130,8,FALSE)</f>
        <v>#N/A</v>
      </c>
      <c r="X32" s="156"/>
      <c r="Y32" s="204" t="str">
        <f>IFERROR(IFERROR(IF(X32&gt;0,"",X32*VLOOKUP($A32,'VALOR I.'!$B$6:$K$418,10,FALSE)),"")*$C32,"")</f>
        <v/>
      </c>
      <c r="Z32" s="203" t="e">
        <f>VLOOKUP($A32,INICIO_BARRA!$A$6:$R$130,7,FALSE)</f>
        <v>#N/A</v>
      </c>
      <c r="AA32" s="203" t="e">
        <f>VLOOKUP($A32,INICIO_BARRA!$A$6:$R$130,8,FALSE)</f>
        <v>#N/A</v>
      </c>
      <c r="AB32" s="203" t="str">
        <f>IFERROR(VLOOKUP($A32,REPOSICIONES_BARRA!$A$6:$I$130,5,FALSE),"")</f>
        <v/>
      </c>
      <c r="AC32" s="315" t="e">
        <f t="shared" si="4"/>
        <v>#N/A</v>
      </c>
      <c r="AD32" s="316" t="e">
        <f t="shared" si="5"/>
        <v>#N/A</v>
      </c>
      <c r="AE32" s="317" t="str">
        <f>IFERROR(IFERROR(VLOOKUP($A32,VENTAS!$H$2:$O$201,4,FALSE),"")/$C32,"")</f>
        <v/>
      </c>
      <c r="AF32" s="111"/>
      <c r="AG32" s="203" t="e">
        <f>VLOOKUP($A32,INICIO_BARRA!$A$6:$R$130,9,FALSE)</f>
        <v>#N/A</v>
      </c>
      <c r="AH32" s="203" t="e">
        <f>VLOOKUP($A32,INICIO_BARRA!$A$6:$R$130,10,FALSE)</f>
        <v>#N/A</v>
      </c>
      <c r="AI32" s="156"/>
      <c r="AJ32" s="94" t="str">
        <f>IFERROR(IFERROR(IF(AI32&gt;0,"",AI32*VLOOKUP($A32,'VALOR I.'!$B$6:$K$418,10,FALSE)),"")*$C32,"")</f>
        <v/>
      </c>
      <c r="AK32" s="203" t="e">
        <f>VLOOKUP($A32,INICIO_BARRA!$A$6:$R$130,9,FALSE)</f>
        <v>#N/A</v>
      </c>
      <c r="AL32" s="203" t="e">
        <f>VLOOKUP($A32,INICIO_BARRA!$A$6:$R$130,10,FALSE)</f>
        <v>#N/A</v>
      </c>
      <c r="AM32" s="203" t="str">
        <f>IFERROR(VLOOKUP($A32,REPOSICIONES_BARRA!$A$6:$I$130,6,FALSE),"")</f>
        <v/>
      </c>
      <c r="AN32" s="315" t="e">
        <f t="shared" si="6"/>
        <v>#N/A</v>
      </c>
      <c r="AO32" s="316" t="e">
        <f t="shared" si="7"/>
        <v>#N/A</v>
      </c>
      <c r="AP32" s="317" t="str">
        <f>IFERROR(IFERROR(VLOOKUP($A32,VENTAS!$H$2:$O$201,5,FALSE),"")/$C32,"")</f>
        <v/>
      </c>
      <c r="AQ32" s="111"/>
      <c r="AR32" s="203" t="e">
        <f>VLOOKUP($A32,INICIO_BARRA!$A$6:$R$130,11,FALSE)</f>
        <v>#N/A</v>
      </c>
      <c r="AS32" s="203" t="e">
        <f>VLOOKUP($A32,INICIO_BARRA!$A$6:$R$130,12,FALSE)</f>
        <v>#N/A</v>
      </c>
      <c r="AT32" s="156"/>
      <c r="AU32" s="94" t="str">
        <f>IFERROR(IFERROR(IF(AT32&gt;0,"",AT32*VLOOKUP($A32,'VALOR I.'!$B$6:$K$418,10,FALSE)),"")*$C32,"")</f>
        <v/>
      </c>
      <c r="AV32" s="203" t="e">
        <f>VLOOKUP($A32,INICIO_BARRA!$A$6:$R$130,11,FALSE)</f>
        <v>#N/A</v>
      </c>
      <c r="AW32" s="203" t="e">
        <f>VLOOKUP($A32,INICIO_BARRA!$A$6:$R$130,12,FALSE)</f>
        <v>#N/A</v>
      </c>
      <c r="AX32" s="203" t="str">
        <f>IFERROR(VLOOKUP($A32,REPOSICIONES_BARRA!$A$6:$I$130,7,FALSE),"")</f>
        <v/>
      </c>
      <c r="AY32" s="315" t="e">
        <f t="shared" si="8"/>
        <v>#N/A</v>
      </c>
      <c r="AZ32" s="316" t="e">
        <f t="shared" si="9"/>
        <v>#N/A</v>
      </c>
      <c r="BA32" s="317" t="str">
        <f>IFERROR(IFERROR(VLOOKUP($A32,VENTAS!$H$2:$O$201,6,FALSE),"")/$C32,"")</f>
        <v/>
      </c>
      <c r="BB32" s="111"/>
      <c r="BC32" s="203" t="e">
        <f>VLOOKUP($A32,INICIO_BARRA!$A$6:$R$130,13,FALSE)</f>
        <v>#N/A</v>
      </c>
      <c r="BD32" s="203" t="e">
        <f>VLOOKUP($A32,INICIO_BARRA!$A$6:$R$130,14,FALSE)</f>
        <v>#N/A</v>
      </c>
      <c r="BE32" s="156"/>
      <c r="BF32" s="94" t="str">
        <f>IFERROR(IFERROR(IF(BE32&gt;0,"",BE32*VLOOKUP($A32,'VALOR I.'!$B$6:$K$418,10,FALSE)),"")*$C32,"")</f>
        <v/>
      </c>
      <c r="BG32" s="203" t="e">
        <f>VLOOKUP($A32,INICIO_BARRA!$A$6:$R$130,13,FALSE)</f>
        <v>#N/A</v>
      </c>
      <c r="BH32" s="203" t="e">
        <f>VLOOKUP($A32,INICIO_BARRA!$A$6:$R$130,14,FALSE)</f>
        <v>#N/A</v>
      </c>
      <c r="BI32" s="203" t="str">
        <f>IFERROR(VLOOKUP($A32,REPOSICIONES_BARRA!$A$6:$I$130,8,FALSE),"")</f>
        <v/>
      </c>
      <c r="BJ32" s="315" t="e">
        <f t="shared" si="10"/>
        <v>#N/A</v>
      </c>
      <c r="BK32" s="316" t="e">
        <f t="shared" si="11"/>
        <v>#N/A</v>
      </c>
      <c r="BL32" s="317" t="str">
        <f>IFERROR(IFERROR(VLOOKUP($A32,VENTAS!$H$2:$O$201,7,FALSE),"")/$C32,"")</f>
        <v/>
      </c>
      <c r="BM32" s="111"/>
      <c r="BN32" s="203" t="e">
        <f>VLOOKUP($A32,INICIO_BARRA!$A$6:$R$130,15,FALSE)</f>
        <v>#N/A</v>
      </c>
      <c r="BO32" s="203" t="e">
        <f>VLOOKUP($A32,INICIO_BARRA!$A$6:$R$130,16,FALSE)</f>
        <v>#N/A</v>
      </c>
      <c r="BP32" s="156"/>
      <c r="BQ32" s="94" t="str">
        <f>IFERROR(IFERROR(IF(BP32&gt;0,"",BP32*VLOOKUP($A32,'VALOR I.'!$B$6:$K$418,10,FALSE)),"")*$C32,"")</f>
        <v/>
      </c>
      <c r="BR32" s="203" t="e">
        <f>VLOOKUP($A32,INICIO_BARRA!$A$6:$R$130,15,FALSE)</f>
        <v>#N/A</v>
      </c>
      <c r="BS32" s="203" t="e">
        <f>VLOOKUP($A32,INICIO_BARRA!$A$6:$R$130,16,FALSE)</f>
        <v>#N/A</v>
      </c>
      <c r="BT32" s="203" t="str">
        <f>IFERROR(VLOOKUP($A32,REPOSICIONES_BARRA!$A$6:$I$130,9,FALSE),"")</f>
        <v/>
      </c>
      <c r="BU32" s="315" t="e">
        <f t="shared" si="12"/>
        <v>#N/A</v>
      </c>
      <c r="BV32" s="316" t="e">
        <f t="shared" si="13"/>
        <v>#N/A</v>
      </c>
      <c r="BW32" s="317" t="str">
        <f>IFERROR(IFERROR(VLOOKUP($A32,VENTAS!$H$2:$O$201,8,FALSE),"")/$C32,"")</f>
        <v/>
      </c>
      <c r="BX32" s="111"/>
      <c r="BY32" s="203" t="e">
        <f>VLOOKUP($A32,INICIO_BARRA!$A$6:$R$130,17,FALSE)</f>
        <v>#N/A</v>
      </c>
      <c r="BZ32" s="203" t="e">
        <f>VLOOKUP($A32,INICIO_BARRA!$A$6:$R$130,18,FALSE)</f>
        <v>#N/A</v>
      </c>
      <c r="CA32" s="156"/>
      <c r="CB32" s="94" t="str">
        <f>IFERROR(IFERROR(IF(CA32&gt;0,"",CA32*VLOOKUP($A32,'VALOR I.'!$B$6:$K$418,10,FALSE)),"")*$C32,"")</f>
        <v/>
      </c>
    </row>
    <row r="33" spans="1:80" s="7" customFormat="1" ht="30" hidden="1" customHeight="1" x14ac:dyDescent="0.45">
      <c r="A33" s="3"/>
      <c r="B33" s="30"/>
      <c r="C33" s="127"/>
      <c r="D33" s="203" t="e">
        <f>VLOOKUP($A33,INICIO_BARRA!$A$6:$R$130,3,FALSE)</f>
        <v>#N/A</v>
      </c>
      <c r="E33" s="203" t="e">
        <f>VLOOKUP($A33,INICIO_BARRA!$A$6:$R$130,4,FALSE)</f>
        <v>#N/A</v>
      </c>
      <c r="F33" s="203" t="str">
        <f>IFERROR(VLOOKUP($A33,REPOSICIONES_BARRA!$A$6:$I$130,3,FALSE),"")</f>
        <v/>
      </c>
      <c r="G33" s="315" t="e">
        <f t="shared" si="14"/>
        <v>#N/A</v>
      </c>
      <c r="H33" s="316" t="e">
        <f t="shared" si="15"/>
        <v>#N/A</v>
      </c>
      <c r="I33" s="317" t="str">
        <f>IFERROR(IFERROR(VLOOKUP($A33,VENTAS!$H$2:$O$201,2,FALSE),"")/$C33,"")</f>
        <v/>
      </c>
      <c r="J33" s="111"/>
      <c r="K33" s="203" t="e">
        <f>VLOOKUP($A33,INICIO_BARRA!$A$6:$R$130,5,FALSE)</f>
        <v>#N/A</v>
      </c>
      <c r="L33" s="203" t="e">
        <f>VLOOKUP($A33,INICIO_BARRA!$A$6:$R$130,6,FALSE)</f>
        <v>#N/A</v>
      </c>
      <c r="M33" s="156"/>
      <c r="N33" s="204" t="str">
        <f>IFERROR(IFERROR(IF(M33&gt;0,"",M33*VLOOKUP($A33,'VALOR I.'!$B$6:$K$418,10,FALSE)),"")*$C33,"")</f>
        <v/>
      </c>
      <c r="O33" s="203" t="e">
        <f>VLOOKUP($A33,INICIO_BARRA!$A$6:$R$130,5,FALSE)</f>
        <v>#N/A</v>
      </c>
      <c r="P33" s="203" t="e">
        <f>VLOOKUP($A33,INICIO_BARRA!$A$6:$R$130,6,FALSE)</f>
        <v>#N/A</v>
      </c>
      <c r="Q33" s="203" t="str">
        <f>IFERROR(VLOOKUP($A33,REPOSICIONES_BARRA!$A$6:$I$130,4,FALSE),"")</f>
        <v/>
      </c>
      <c r="R33" s="315" t="e">
        <f t="shared" si="2"/>
        <v>#N/A</v>
      </c>
      <c r="S33" s="316" t="e">
        <f t="shared" si="3"/>
        <v>#N/A</v>
      </c>
      <c r="T33" s="317" t="str">
        <f>IFERROR(IFERROR(VLOOKUP($A33,VENTAS!$H$2:$O$201,3,FALSE),"")/$C33,"")</f>
        <v/>
      </c>
      <c r="U33" s="111"/>
      <c r="V33" s="203" t="e">
        <f>VLOOKUP($A33,INICIO_BARRA!$A$6:$R$130,7,FALSE)</f>
        <v>#N/A</v>
      </c>
      <c r="W33" s="203" t="e">
        <f>VLOOKUP($A33,INICIO_BARRA!$A$6:$R$130,8,FALSE)</f>
        <v>#N/A</v>
      </c>
      <c r="X33" s="156"/>
      <c r="Y33" s="204" t="str">
        <f>IFERROR(IFERROR(IF(X33&gt;0,"",X33*VLOOKUP($A33,'VALOR I.'!$B$6:$K$418,10,FALSE)),"")*$C33,"")</f>
        <v/>
      </c>
      <c r="Z33" s="203" t="e">
        <f>VLOOKUP($A33,INICIO_BARRA!$A$6:$R$130,7,FALSE)</f>
        <v>#N/A</v>
      </c>
      <c r="AA33" s="203" t="e">
        <f>VLOOKUP($A33,INICIO_BARRA!$A$6:$R$130,8,FALSE)</f>
        <v>#N/A</v>
      </c>
      <c r="AB33" s="203" t="str">
        <f>IFERROR(VLOOKUP($A33,REPOSICIONES_BARRA!$A$6:$I$130,5,FALSE),"")</f>
        <v/>
      </c>
      <c r="AC33" s="315" t="e">
        <f t="shared" si="4"/>
        <v>#N/A</v>
      </c>
      <c r="AD33" s="316" t="e">
        <f t="shared" si="5"/>
        <v>#N/A</v>
      </c>
      <c r="AE33" s="317" t="str">
        <f>IFERROR(IFERROR(VLOOKUP($A33,VENTAS!$H$2:$O$201,4,FALSE),"")/$C33,"")</f>
        <v/>
      </c>
      <c r="AF33" s="111"/>
      <c r="AG33" s="203" t="e">
        <f>VLOOKUP($A33,INICIO_BARRA!$A$6:$R$130,9,FALSE)</f>
        <v>#N/A</v>
      </c>
      <c r="AH33" s="203" t="e">
        <f>VLOOKUP($A33,INICIO_BARRA!$A$6:$R$130,10,FALSE)</f>
        <v>#N/A</v>
      </c>
      <c r="AI33" s="156"/>
      <c r="AJ33" s="94" t="str">
        <f>IFERROR(IFERROR(IF(AI33&gt;0,"",AI33*VLOOKUP($A33,'VALOR I.'!$B$6:$K$418,10,FALSE)),"")*$C33,"")</f>
        <v/>
      </c>
      <c r="AK33" s="203" t="e">
        <f>VLOOKUP($A33,INICIO_BARRA!$A$6:$R$130,9,FALSE)</f>
        <v>#N/A</v>
      </c>
      <c r="AL33" s="203" t="e">
        <f>VLOOKUP($A33,INICIO_BARRA!$A$6:$R$130,10,FALSE)</f>
        <v>#N/A</v>
      </c>
      <c r="AM33" s="203" t="str">
        <f>IFERROR(VLOOKUP($A33,REPOSICIONES_BARRA!$A$6:$I$130,6,FALSE),"")</f>
        <v/>
      </c>
      <c r="AN33" s="315" t="e">
        <f t="shared" si="6"/>
        <v>#N/A</v>
      </c>
      <c r="AO33" s="316" t="e">
        <f t="shared" si="7"/>
        <v>#N/A</v>
      </c>
      <c r="AP33" s="317" t="str">
        <f>IFERROR(IFERROR(VLOOKUP($A33,VENTAS!$H$2:$O$201,5,FALSE),"")/$C33,"")</f>
        <v/>
      </c>
      <c r="AQ33" s="111"/>
      <c r="AR33" s="203" t="e">
        <f>VLOOKUP($A33,INICIO_BARRA!$A$6:$R$130,11,FALSE)</f>
        <v>#N/A</v>
      </c>
      <c r="AS33" s="203" t="e">
        <f>VLOOKUP($A33,INICIO_BARRA!$A$6:$R$130,12,FALSE)</f>
        <v>#N/A</v>
      </c>
      <c r="AT33" s="156"/>
      <c r="AU33" s="94" t="str">
        <f>IFERROR(IFERROR(IF(AT33&gt;0,"",AT33*VLOOKUP($A33,'VALOR I.'!$B$6:$K$418,10,FALSE)),"")*$C33,"")</f>
        <v/>
      </c>
      <c r="AV33" s="203" t="e">
        <f>VLOOKUP($A33,INICIO_BARRA!$A$6:$R$130,11,FALSE)</f>
        <v>#N/A</v>
      </c>
      <c r="AW33" s="203" t="e">
        <f>VLOOKUP($A33,INICIO_BARRA!$A$6:$R$130,12,FALSE)</f>
        <v>#N/A</v>
      </c>
      <c r="AX33" s="203" t="str">
        <f>IFERROR(VLOOKUP($A33,REPOSICIONES_BARRA!$A$6:$I$130,7,FALSE),"")</f>
        <v/>
      </c>
      <c r="AY33" s="315" t="e">
        <f t="shared" si="8"/>
        <v>#N/A</v>
      </c>
      <c r="AZ33" s="316" t="e">
        <f t="shared" si="9"/>
        <v>#N/A</v>
      </c>
      <c r="BA33" s="317" t="str">
        <f>IFERROR(IFERROR(VLOOKUP($A33,VENTAS!$H$2:$O$201,6,FALSE),"")/$C33,"")</f>
        <v/>
      </c>
      <c r="BB33" s="111"/>
      <c r="BC33" s="203" t="e">
        <f>VLOOKUP($A33,INICIO_BARRA!$A$6:$R$130,13,FALSE)</f>
        <v>#N/A</v>
      </c>
      <c r="BD33" s="203" t="e">
        <f>VLOOKUP($A33,INICIO_BARRA!$A$6:$R$130,14,FALSE)</f>
        <v>#N/A</v>
      </c>
      <c r="BE33" s="156"/>
      <c r="BF33" s="94" t="str">
        <f>IFERROR(IFERROR(IF(BE33&gt;0,"",BE33*VLOOKUP($A33,'VALOR I.'!$B$6:$K$418,10,FALSE)),"")*$C33,"")</f>
        <v/>
      </c>
      <c r="BG33" s="203" t="e">
        <f>VLOOKUP($A33,INICIO_BARRA!$A$6:$R$130,13,FALSE)</f>
        <v>#N/A</v>
      </c>
      <c r="BH33" s="203" t="e">
        <f>VLOOKUP($A33,INICIO_BARRA!$A$6:$R$130,14,FALSE)</f>
        <v>#N/A</v>
      </c>
      <c r="BI33" s="203" t="str">
        <f>IFERROR(VLOOKUP($A33,REPOSICIONES_BARRA!$A$6:$I$130,8,FALSE),"")</f>
        <v/>
      </c>
      <c r="BJ33" s="315" t="e">
        <f t="shared" si="10"/>
        <v>#N/A</v>
      </c>
      <c r="BK33" s="316" t="e">
        <f t="shared" si="11"/>
        <v>#N/A</v>
      </c>
      <c r="BL33" s="317" t="str">
        <f>IFERROR(IFERROR(VLOOKUP($A33,VENTAS!$H$2:$O$201,7,FALSE),"")/$C33,"")</f>
        <v/>
      </c>
      <c r="BM33" s="111"/>
      <c r="BN33" s="203" t="e">
        <f>VLOOKUP($A33,INICIO_BARRA!$A$6:$R$130,15,FALSE)</f>
        <v>#N/A</v>
      </c>
      <c r="BO33" s="203" t="e">
        <f>VLOOKUP($A33,INICIO_BARRA!$A$6:$R$130,16,FALSE)</f>
        <v>#N/A</v>
      </c>
      <c r="BP33" s="156"/>
      <c r="BQ33" s="94" t="str">
        <f>IFERROR(IFERROR(IF(BP33&gt;0,"",BP33*VLOOKUP($A33,'VALOR I.'!$B$6:$K$418,10,FALSE)),"")*$C33,"")</f>
        <v/>
      </c>
      <c r="BR33" s="203" t="e">
        <f>VLOOKUP($A33,INICIO_BARRA!$A$6:$R$130,15,FALSE)</f>
        <v>#N/A</v>
      </c>
      <c r="BS33" s="203" t="e">
        <f>VLOOKUP($A33,INICIO_BARRA!$A$6:$R$130,16,FALSE)</f>
        <v>#N/A</v>
      </c>
      <c r="BT33" s="203" t="str">
        <f>IFERROR(VLOOKUP($A33,REPOSICIONES_BARRA!$A$6:$I$130,9,FALSE),"")</f>
        <v/>
      </c>
      <c r="BU33" s="315" t="e">
        <f t="shared" si="12"/>
        <v>#N/A</v>
      </c>
      <c r="BV33" s="316" t="e">
        <f t="shared" si="13"/>
        <v>#N/A</v>
      </c>
      <c r="BW33" s="317" t="str">
        <f>IFERROR(IFERROR(VLOOKUP($A33,VENTAS!$H$2:$O$201,8,FALSE),"")/$C33,"")</f>
        <v/>
      </c>
      <c r="BX33" s="111"/>
      <c r="BY33" s="203" t="e">
        <f>VLOOKUP($A33,INICIO_BARRA!$A$6:$R$130,17,FALSE)</f>
        <v>#N/A</v>
      </c>
      <c r="BZ33" s="203" t="e">
        <f>VLOOKUP($A33,INICIO_BARRA!$A$6:$R$130,18,FALSE)</f>
        <v>#N/A</v>
      </c>
      <c r="CA33" s="156"/>
      <c r="CB33" s="94" t="str">
        <f>IFERROR(IFERROR(IF(CA33&gt;0,"",CA33*VLOOKUP($A33,'VALOR I.'!$B$6:$K$418,10,FALSE)),"")*$C33,"")</f>
        <v/>
      </c>
    </row>
    <row r="34" spans="1:80" s="7" customFormat="1" ht="30" hidden="1" customHeight="1" x14ac:dyDescent="0.45">
      <c r="A34" s="3"/>
      <c r="B34" s="30"/>
      <c r="C34" s="127"/>
      <c r="D34" s="203" t="e">
        <f>VLOOKUP($A34,INICIO_BARRA!$A$6:$R$130,3,FALSE)</f>
        <v>#N/A</v>
      </c>
      <c r="E34" s="203" t="e">
        <f>VLOOKUP($A34,INICIO_BARRA!$A$6:$R$130,4,FALSE)</f>
        <v>#N/A</v>
      </c>
      <c r="F34" s="203" t="str">
        <f>IFERROR(VLOOKUP($A34,REPOSICIONES_BARRA!$A$6:$I$130,3,FALSE),"")</f>
        <v/>
      </c>
      <c r="G34" s="315" t="e">
        <f t="shared" si="14"/>
        <v>#N/A</v>
      </c>
      <c r="H34" s="316" t="e">
        <f t="shared" si="15"/>
        <v>#N/A</v>
      </c>
      <c r="I34" s="317" t="str">
        <f>IFERROR(IFERROR(VLOOKUP($A34,VENTAS!$H$2:$O$201,2,FALSE),"")/$C34,"")</f>
        <v/>
      </c>
      <c r="J34" s="111"/>
      <c r="K34" s="203" t="e">
        <f>VLOOKUP($A34,INICIO_BARRA!$A$6:$R$130,5,FALSE)</f>
        <v>#N/A</v>
      </c>
      <c r="L34" s="203" t="e">
        <f>VLOOKUP($A34,INICIO_BARRA!$A$6:$R$130,6,FALSE)</f>
        <v>#N/A</v>
      </c>
      <c r="M34" s="156"/>
      <c r="N34" s="204" t="str">
        <f>IFERROR(IFERROR(IF(M34&gt;0,"",M34*VLOOKUP($A34,'VALOR I.'!$B$6:$K$418,10,FALSE)),"")*$C34,"")</f>
        <v/>
      </c>
      <c r="O34" s="203" t="e">
        <f>VLOOKUP($A34,INICIO_BARRA!$A$6:$R$130,5,FALSE)</f>
        <v>#N/A</v>
      </c>
      <c r="P34" s="203" t="e">
        <f>VLOOKUP($A34,INICIO_BARRA!$A$6:$R$130,6,FALSE)</f>
        <v>#N/A</v>
      </c>
      <c r="Q34" s="203" t="str">
        <f>IFERROR(VLOOKUP($A34,REPOSICIONES_BARRA!$A$6:$I$130,4,FALSE),"")</f>
        <v/>
      </c>
      <c r="R34" s="315" t="e">
        <f t="shared" si="2"/>
        <v>#N/A</v>
      </c>
      <c r="S34" s="316" t="e">
        <f t="shared" si="3"/>
        <v>#N/A</v>
      </c>
      <c r="T34" s="317" t="str">
        <f>IFERROR(IFERROR(VLOOKUP($A34,VENTAS!$H$2:$O$201,3,FALSE),"")/$C34,"")</f>
        <v/>
      </c>
      <c r="U34" s="111"/>
      <c r="V34" s="203" t="e">
        <f>VLOOKUP($A34,INICIO_BARRA!$A$6:$R$130,7,FALSE)</f>
        <v>#N/A</v>
      </c>
      <c r="W34" s="203" t="e">
        <f>VLOOKUP($A34,INICIO_BARRA!$A$6:$R$130,8,FALSE)</f>
        <v>#N/A</v>
      </c>
      <c r="X34" s="156"/>
      <c r="Y34" s="204" t="str">
        <f>IFERROR(IFERROR(IF(X34&gt;0,"",X34*VLOOKUP($A34,'VALOR I.'!$B$6:$K$418,10,FALSE)),"")*$C34,"")</f>
        <v/>
      </c>
      <c r="Z34" s="203" t="e">
        <f>VLOOKUP($A34,INICIO_BARRA!$A$6:$R$130,7,FALSE)</f>
        <v>#N/A</v>
      </c>
      <c r="AA34" s="203" t="e">
        <f>VLOOKUP($A34,INICIO_BARRA!$A$6:$R$130,8,FALSE)</f>
        <v>#N/A</v>
      </c>
      <c r="AB34" s="203" t="str">
        <f>IFERROR(VLOOKUP($A34,REPOSICIONES_BARRA!$A$6:$I$130,5,FALSE),"")</f>
        <v/>
      </c>
      <c r="AC34" s="315" t="e">
        <f t="shared" si="4"/>
        <v>#N/A</v>
      </c>
      <c r="AD34" s="316" t="e">
        <f t="shared" si="5"/>
        <v>#N/A</v>
      </c>
      <c r="AE34" s="317" t="str">
        <f>IFERROR(IFERROR(VLOOKUP($A34,VENTAS!$H$2:$O$201,4,FALSE),"")/$C34,"")</f>
        <v/>
      </c>
      <c r="AF34" s="111"/>
      <c r="AG34" s="203" t="e">
        <f>VLOOKUP($A34,INICIO_BARRA!$A$6:$R$130,9,FALSE)</f>
        <v>#N/A</v>
      </c>
      <c r="AH34" s="203" t="e">
        <f>VLOOKUP($A34,INICIO_BARRA!$A$6:$R$130,10,FALSE)</f>
        <v>#N/A</v>
      </c>
      <c r="AI34" s="156"/>
      <c r="AJ34" s="94" t="str">
        <f>IFERROR(IFERROR(IF(AI34&gt;0,"",AI34*VLOOKUP($A34,'VALOR I.'!$B$6:$K$418,10,FALSE)),"")*$C34,"")</f>
        <v/>
      </c>
      <c r="AK34" s="203" t="e">
        <f>VLOOKUP($A34,INICIO_BARRA!$A$6:$R$130,9,FALSE)</f>
        <v>#N/A</v>
      </c>
      <c r="AL34" s="203" t="e">
        <f>VLOOKUP($A34,INICIO_BARRA!$A$6:$R$130,10,FALSE)</f>
        <v>#N/A</v>
      </c>
      <c r="AM34" s="203" t="str">
        <f>IFERROR(VLOOKUP($A34,REPOSICIONES_BARRA!$A$6:$I$130,6,FALSE),"")</f>
        <v/>
      </c>
      <c r="AN34" s="315" t="e">
        <f t="shared" si="6"/>
        <v>#N/A</v>
      </c>
      <c r="AO34" s="316" t="e">
        <f t="shared" si="7"/>
        <v>#N/A</v>
      </c>
      <c r="AP34" s="317" t="str">
        <f>IFERROR(IFERROR(VLOOKUP($A34,VENTAS!$H$2:$O$201,5,FALSE),"")/$C34,"")</f>
        <v/>
      </c>
      <c r="AQ34" s="111"/>
      <c r="AR34" s="203" t="e">
        <f>VLOOKUP($A34,INICIO_BARRA!$A$6:$R$130,11,FALSE)</f>
        <v>#N/A</v>
      </c>
      <c r="AS34" s="203" t="e">
        <f>VLOOKUP($A34,INICIO_BARRA!$A$6:$R$130,12,FALSE)</f>
        <v>#N/A</v>
      </c>
      <c r="AT34" s="156"/>
      <c r="AU34" s="94" t="str">
        <f>IFERROR(IFERROR(IF(AT34&gt;0,"",AT34*VLOOKUP($A34,'VALOR I.'!$B$6:$K$418,10,FALSE)),"")*$C34,"")</f>
        <v/>
      </c>
      <c r="AV34" s="203" t="e">
        <f>VLOOKUP($A34,INICIO_BARRA!$A$6:$R$130,11,FALSE)</f>
        <v>#N/A</v>
      </c>
      <c r="AW34" s="203" t="e">
        <f>VLOOKUP($A34,INICIO_BARRA!$A$6:$R$130,12,FALSE)</f>
        <v>#N/A</v>
      </c>
      <c r="AX34" s="203" t="str">
        <f>IFERROR(VLOOKUP($A34,REPOSICIONES_BARRA!$A$6:$I$130,7,FALSE),"")</f>
        <v/>
      </c>
      <c r="AY34" s="315" t="e">
        <f t="shared" si="8"/>
        <v>#N/A</v>
      </c>
      <c r="AZ34" s="316" t="e">
        <f t="shared" si="9"/>
        <v>#N/A</v>
      </c>
      <c r="BA34" s="317" t="str">
        <f>IFERROR(IFERROR(VLOOKUP($A34,VENTAS!$H$2:$O$201,6,FALSE),"")/$C34,"")</f>
        <v/>
      </c>
      <c r="BB34" s="111"/>
      <c r="BC34" s="203" t="e">
        <f>VLOOKUP($A34,INICIO_BARRA!$A$6:$R$130,13,FALSE)</f>
        <v>#N/A</v>
      </c>
      <c r="BD34" s="203" t="e">
        <f>VLOOKUP($A34,INICIO_BARRA!$A$6:$R$130,14,FALSE)</f>
        <v>#N/A</v>
      </c>
      <c r="BE34" s="156"/>
      <c r="BF34" s="94" t="str">
        <f>IFERROR(IFERROR(IF(BE34&gt;0,"",BE34*VLOOKUP($A34,'VALOR I.'!$B$6:$K$418,10,FALSE)),"")*$C34,"")</f>
        <v/>
      </c>
      <c r="BG34" s="203" t="e">
        <f>VLOOKUP($A34,INICIO_BARRA!$A$6:$R$130,13,FALSE)</f>
        <v>#N/A</v>
      </c>
      <c r="BH34" s="203" t="e">
        <f>VLOOKUP($A34,INICIO_BARRA!$A$6:$R$130,14,FALSE)</f>
        <v>#N/A</v>
      </c>
      <c r="BI34" s="203" t="str">
        <f>IFERROR(VLOOKUP($A34,REPOSICIONES_BARRA!$A$6:$I$130,8,FALSE),"")</f>
        <v/>
      </c>
      <c r="BJ34" s="315" t="e">
        <f t="shared" si="10"/>
        <v>#N/A</v>
      </c>
      <c r="BK34" s="316" t="e">
        <f t="shared" si="11"/>
        <v>#N/A</v>
      </c>
      <c r="BL34" s="317" t="str">
        <f>IFERROR(IFERROR(VLOOKUP($A34,VENTAS!$H$2:$O$201,7,FALSE),"")/$C34,"")</f>
        <v/>
      </c>
      <c r="BM34" s="111"/>
      <c r="BN34" s="203" t="e">
        <f>VLOOKUP($A34,INICIO_BARRA!$A$6:$R$130,15,FALSE)</f>
        <v>#N/A</v>
      </c>
      <c r="BO34" s="203" t="e">
        <f>VLOOKUP($A34,INICIO_BARRA!$A$6:$R$130,16,FALSE)</f>
        <v>#N/A</v>
      </c>
      <c r="BP34" s="156"/>
      <c r="BQ34" s="94" t="str">
        <f>IFERROR(IFERROR(IF(BP34&gt;0,"",BP34*VLOOKUP($A34,'VALOR I.'!$B$6:$K$418,10,FALSE)),"")*$C34,"")</f>
        <v/>
      </c>
      <c r="BR34" s="203" t="e">
        <f>VLOOKUP($A34,INICIO_BARRA!$A$6:$R$130,15,FALSE)</f>
        <v>#N/A</v>
      </c>
      <c r="BS34" s="203" t="e">
        <f>VLOOKUP($A34,INICIO_BARRA!$A$6:$R$130,16,FALSE)</f>
        <v>#N/A</v>
      </c>
      <c r="BT34" s="203" t="str">
        <f>IFERROR(VLOOKUP($A34,REPOSICIONES_BARRA!$A$6:$I$130,9,FALSE),"")</f>
        <v/>
      </c>
      <c r="BU34" s="315" t="e">
        <f t="shared" si="12"/>
        <v>#N/A</v>
      </c>
      <c r="BV34" s="316" t="e">
        <f t="shared" si="13"/>
        <v>#N/A</v>
      </c>
      <c r="BW34" s="317" t="str">
        <f>IFERROR(IFERROR(VLOOKUP($A34,VENTAS!$H$2:$O$201,8,FALSE),"")/$C34,"")</f>
        <v/>
      </c>
      <c r="BX34" s="111"/>
      <c r="BY34" s="203" t="e">
        <f>VLOOKUP($A34,INICIO_BARRA!$A$6:$R$130,17,FALSE)</f>
        <v>#N/A</v>
      </c>
      <c r="BZ34" s="203" t="e">
        <f>VLOOKUP($A34,INICIO_BARRA!$A$6:$R$130,18,FALSE)</f>
        <v>#N/A</v>
      </c>
      <c r="CA34" s="156"/>
      <c r="CB34" s="94" t="str">
        <f>IFERROR(IFERROR(IF(CA34&gt;0,"",CA34*VLOOKUP($A34,'VALOR I.'!$B$6:$K$418,10,FALSE)),"")*$C34,"")</f>
        <v/>
      </c>
    </row>
    <row r="35" spans="1:80" s="7" customFormat="1" ht="30" hidden="1" customHeight="1" x14ac:dyDescent="0.3">
      <c r="A35" s="3"/>
      <c r="B35" s="29"/>
      <c r="C35" s="127"/>
      <c r="D35" s="203" t="e">
        <f>VLOOKUP($A35,INICIO_BARRA!$A$6:$R$130,3,FALSE)</f>
        <v>#N/A</v>
      </c>
      <c r="E35" s="203" t="e">
        <f>VLOOKUP($A35,INICIO_BARRA!$A$6:$R$130,4,FALSE)</f>
        <v>#N/A</v>
      </c>
      <c r="F35" s="203" t="str">
        <f>IFERROR(VLOOKUP($A35,REPOSICIONES_BARRA!$A$6:$I$130,3,FALSE),"")</f>
        <v/>
      </c>
      <c r="G35" s="315" t="e">
        <f t="shared" si="14"/>
        <v>#N/A</v>
      </c>
      <c r="H35" s="316" t="e">
        <f t="shared" si="15"/>
        <v>#N/A</v>
      </c>
      <c r="I35" s="317" t="str">
        <f>IFERROR(IFERROR(VLOOKUP($A35,VENTAS!$H$2:$O$201,2,FALSE),"")/$C35,"")</f>
        <v/>
      </c>
      <c r="J35" s="111"/>
      <c r="K35" s="203" t="e">
        <f>VLOOKUP($A35,INICIO_BARRA!$A$6:$R$130,5,FALSE)</f>
        <v>#N/A</v>
      </c>
      <c r="L35" s="203" t="e">
        <f>VLOOKUP($A35,INICIO_BARRA!$A$6:$R$130,6,FALSE)</f>
        <v>#N/A</v>
      </c>
      <c r="M35" s="156"/>
      <c r="N35" s="204" t="str">
        <f>IFERROR(IFERROR(IF(M35&gt;0,"",M35*VLOOKUP($A35,'VALOR I.'!$B$6:$K$418,10,FALSE)),"")*$C35,"")</f>
        <v/>
      </c>
      <c r="O35" s="203" t="e">
        <f>VLOOKUP($A35,INICIO_BARRA!$A$6:$R$130,5,FALSE)</f>
        <v>#N/A</v>
      </c>
      <c r="P35" s="203" t="e">
        <f>VLOOKUP($A35,INICIO_BARRA!$A$6:$R$130,6,FALSE)</f>
        <v>#N/A</v>
      </c>
      <c r="Q35" s="203" t="str">
        <f>IFERROR(VLOOKUP($A35,REPOSICIONES_BARRA!$A$6:$I$130,4,FALSE),"")</f>
        <v/>
      </c>
      <c r="R35" s="315" t="e">
        <f t="shared" si="2"/>
        <v>#N/A</v>
      </c>
      <c r="S35" s="316" t="e">
        <f t="shared" si="3"/>
        <v>#N/A</v>
      </c>
      <c r="T35" s="317" t="str">
        <f>IFERROR(IFERROR(VLOOKUP($A35,VENTAS!$H$2:$O$201,3,FALSE),"")/$C35,"")</f>
        <v/>
      </c>
      <c r="U35" s="111"/>
      <c r="V35" s="203" t="e">
        <f>VLOOKUP($A35,INICIO_BARRA!$A$6:$R$130,7,FALSE)</f>
        <v>#N/A</v>
      </c>
      <c r="W35" s="203" t="e">
        <f>VLOOKUP($A35,INICIO_BARRA!$A$6:$R$130,8,FALSE)</f>
        <v>#N/A</v>
      </c>
      <c r="X35" s="156"/>
      <c r="Y35" s="204" t="str">
        <f>IFERROR(IFERROR(IF(X35&gt;0,"",X35*VLOOKUP($A35,'VALOR I.'!$B$6:$K$418,10,FALSE)),"")*$C35,"")</f>
        <v/>
      </c>
      <c r="Z35" s="203" t="e">
        <f>VLOOKUP($A35,INICIO_BARRA!$A$6:$R$130,7,FALSE)</f>
        <v>#N/A</v>
      </c>
      <c r="AA35" s="203" t="e">
        <f>VLOOKUP($A35,INICIO_BARRA!$A$6:$R$130,8,FALSE)</f>
        <v>#N/A</v>
      </c>
      <c r="AB35" s="203" t="str">
        <f>IFERROR(VLOOKUP($A35,REPOSICIONES_BARRA!$A$6:$I$130,5,FALSE),"")</f>
        <v/>
      </c>
      <c r="AC35" s="315" t="e">
        <f t="shared" si="4"/>
        <v>#N/A</v>
      </c>
      <c r="AD35" s="316" t="e">
        <f t="shared" si="5"/>
        <v>#N/A</v>
      </c>
      <c r="AE35" s="317" t="str">
        <f>IFERROR(IFERROR(VLOOKUP($A35,VENTAS!$H$2:$O$201,4,FALSE),"")/$C35,"")</f>
        <v/>
      </c>
      <c r="AF35" s="111"/>
      <c r="AG35" s="203" t="e">
        <f>VLOOKUP($A35,INICIO_BARRA!$A$6:$R$130,9,FALSE)</f>
        <v>#N/A</v>
      </c>
      <c r="AH35" s="203" t="e">
        <f>VLOOKUP($A35,INICIO_BARRA!$A$6:$R$130,10,FALSE)</f>
        <v>#N/A</v>
      </c>
      <c r="AI35" s="156"/>
      <c r="AJ35" s="94" t="str">
        <f>IFERROR(IFERROR(IF(AI35&gt;0,"",AI35*VLOOKUP($A35,'VALOR I.'!$B$6:$K$418,10,FALSE)),"")*$C35,"")</f>
        <v/>
      </c>
      <c r="AK35" s="203" t="e">
        <f>VLOOKUP($A35,INICIO_BARRA!$A$6:$R$130,9,FALSE)</f>
        <v>#N/A</v>
      </c>
      <c r="AL35" s="203" t="e">
        <f>VLOOKUP($A35,INICIO_BARRA!$A$6:$R$130,10,FALSE)</f>
        <v>#N/A</v>
      </c>
      <c r="AM35" s="203" t="str">
        <f>IFERROR(VLOOKUP($A35,REPOSICIONES_BARRA!$A$6:$I$130,6,FALSE),"")</f>
        <v/>
      </c>
      <c r="AN35" s="315" t="e">
        <f t="shared" si="6"/>
        <v>#N/A</v>
      </c>
      <c r="AO35" s="316" t="e">
        <f t="shared" si="7"/>
        <v>#N/A</v>
      </c>
      <c r="AP35" s="317" t="str">
        <f>IFERROR(IFERROR(VLOOKUP($A35,VENTAS!$H$2:$O$201,5,FALSE),"")/$C35,"")</f>
        <v/>
      </c>
      <c r="AQ35" s="111"/>
      <c r="AR35" s="203" t="e">
        <f>VLOOKUP($A35,INICIO_BARRA!$A$6:$R$130,11,FALSE)</f>
        <v>#N/A</v>
      </c>
      <c r="AS35" s="203" t="e">
        <f>VLOOKUP($A35,INICIO_BARRA!$A$6:$R$130,12,FALSE)</f>
        <v>#N/A</v>
      </c>
      <c r="AT35" s="156"/>
      <c r="AU35" s="94" t="str">
        <f>IFERROR(IFERROR(IF(AT35&gt;0,"",AT35*VLOOKUP($A35,'VALOR I.'!$B$6:$K$418,10,FALSE)),"")*$C35,"")</f>
        <v/>
      </c>
      <c r="AV35" s="203" t="e">
        <f>VLOOKUP($A35,INICIO_BARRA!$A$6:$R$130,11,FALSE)</f>
        <v>#N/A</v>
      </c>
      <c r="AW35" s="203" t="e">
        <f>VLOOKUP($A35,INICIO_BARRA!$A$6:$R$130,12,FALSE)</f>
        <v>#N/A</v>
      </c>
      <c r="AX35" s="203" t="str">
        <f>IFERROR(VLOOKUP($A35,REPOSICIONES_BARRA!$A$6:$I$130,7,FALSE),"")</f>
        <v/>
      </c>
      <c r="AY35" s="315" t="e">
        <f t="shared" si="8"/>
        <v>#N/A</v>
      </c>
      <c r="AZ35" s="316" t="e">
        <f t="shared" si="9"/>
        <v>#N/A</v>
      </c>
      <c r="BA35" s="317" t="str">
        <f>IFERROR(IFERROR(VLOOKUP($A35,VENTAS!$H$2:$O$201,6,FALSE),"")/$C35,"")</f>
        <v/>
      </c>
      <c r="BB35" s="111"/>
      <c r="BC35" s="203" t="e">
        <f>VLOOKUP($A35,INICIO_BARRA!$A$6:$R$130,13,FALSE)</f>
        <v>#N/A</v>
      </c>
      <c r="BD35" s="203" t="e">
        <f>VLOOKUP($A35,INICIO_BARRA!$A$6:$R$130,14,FALSE)</f>
        <v>#N/A</v>
      </c>
      <c r="BE35" s="156"/>
      <c r="BF35" s="94" t="str">
        <f>IFERROR(IFERROR(IF(BE35&gt;0,"",BE35*VLOOKUP($A35,'VALOR I.'!$B$6:$K$418,10,FALSE)),"")*$C35,"")</f>
        <v/>
      </c>
      <c r="BG35" s="203" t="e">
        <f>VLOOKUP($A35,INICIO_BARRA!$A$6:$R$130,13,FALSE)</f>
        <v>#N/A</v>
      </c>
      <c r="BH35" s="203" t="e">
        <f>VLOOKUP($A35,INICIO_BARRA!$A$6:$R$130,14,FALSE)</f>
        <v>#N/A</v>
      </c>
      <c r="BI35" s="203" t="str">
        <f>IFERROR(VLOOKUP($A35,REPOSICIONES_BARRA!$A$6:$I$130,8,FALSE),"")</f>
        <v/>
      </c>
      <c r="BJ35" s="315" t="e">
        <f t="shared" si="10"/>
        <v>#N/A</v>
      </c>
      <c r="BK35" s="316" t="e">
        <f t="shared" si="11"/>
        <v>#N/A</v>
      </c>
      <c r="BL35" s="317" t="str">
        <f>IFERROR(IFERROR(VLOOKUP($A35,VENTAS!$H$2:$O$201,7,FALSE),"")/$C35,"")</f>
        <v/>
      </c>
      <c r="BM35" s="111"/>
      <c r="BN35" s="203" t="e">
        <f>VLOOKUP($A35,INICIO_BARRA!$A$6:$R$130,15,FALSE)</f>
        <v>#N/A</v>
      </c>
      <c r="BO35" s="203" t="e">
        <f>VLOOKUP($A35,INICIO_BARRA!$A$6:$R$130,16,FALSE)</f>
        <v>#N/A</v>
      </c>
      <c r="BP35" s="156"/>
      <c r="BQ35" s="94" t="str">
        <f>IFERROR(IFERROR(IF(BP35&gt;0,"",BP35*VLOOKUP($A35,'VALOR I.'!$B$6:$K$418,10,FALSE)),"")*$C35,"")</f>
        <v/>
      </c>
      <c r="BR35" s="203" t="e">
        <f>VLOOKUP($A35,INICIO_BARRA!$A$6:$R$130,15,FALSE)</f>
        <v>#N/A</v>
      </c>
      <c r="BS35" s="203" t="e">
        <f>VLOOKUP($A35,INICIO_BARRA!$A$6:$R$130,16,FALSE)</f>
        <v>#N/A</v>
      </c>
      <c r="BT35" s="203" t="str">
        <f>IFERROR(VLOOKUP($A35,REPOSICIONES_BARRA!$A$6:$I$130,9,FALSE),"")</f>
        <v/>
      </c>
      <c r="BU35" s="315" t="e">
        <f t="shared" si="12"/>
        <v>#N/A</v>
      </c>
      <c r="BV35" s="316" t="e">
        <f t="shared" si="13"/>
        <v>#N/A</v>
      </c>
      <c r="BW35" s="317" t="str">
        <f>IFERROR(IFERROR(VLOOKUP($A35,VENTAS!$H$2:$O$201,8,FALSE),"")/$C35,"")</f>
        <v/>
      </c>
      <c r="BX35" s="111"/>
      <c r="BY35" s="203" t="e">
        <f>VLOOKUP($A35,INICIO_BARRA!$A$6:$R$130,17,FALSE)</f>
        <v>#N/A</v>
      </c>
      <c r="BZ35" s="203" t="e">
        <f>VLOOKUP($A35,INICIO_BARRA!$A$6:$R$130,18,FALSE)</f>
        <v>#N/A</v>
      </c>
      <c r="CA35" s="156"/>
      <c r="CB35" s="94" t="str">
        <f>IFERROR(IFERROR(IF(CA35&gt;0,"",CA35*VLOOKUP($A35,'VALOR I.'!$B$6:$K$418,10,FALSE)),"")*$C35,"")</f>
        <v/>
      </c>
    </row>
    <row r="36" spans="1:80" s="7" customFormat="1" ht="30" hidden="1" customHeight="1" x14ac:dyDescent="0.45">
      <c r="A36" s="3"/>
      <c r="B36" s="28"/>
      <c r="C36" s="127"/>
      <c r="D36" s="203" t="e">
        <f>VLOOKUP($A36,INICIO_BARRA!$A$6:$R$130,3,FALSE)</f>
        <v>#N/A</v>
      </c>
      <c r="E36" s="203" t="e">
        <f>VLOOKUP($A36,INICIO_BARRA!$A$6:$R$130,4,FALSE)</f>
        <v>#N/A</v>
      </c>
      <c r="F36" s="203" t="str">
        <f>IFERROR(VLOOKUP($A36,REPOSICIONES_BARRA!$A$6:$I$130,3,FALSE),"")</f>
        <v/>
      </c>
      <c r="G36" s="315" t="e">
        <f t="shared" si="14"/>
        <v>#N/A</v>
      </c>
      <c r="H36" s="316" t="e">
        <f t="shared" si="15"/>
        <v>#N/A</v>
      </c>
      <c r="I36" s="317" t="str">
        <f>IFERROR(IFERROR(VLOOKUP($A36,VENTAS!$H$2:$O$201,2,FALSE),"")/$C36,"")</f>
        <v/>
      </c>
      <c r="J36" s="111"/>
      <c r="K36" s="203" t="e">
        <f>VLOOKUP($A36,INICIO_BARRA!$A$6:$R$130,5,FALSE)</f>
        <v>#N/A</v>
      </c>
      <c r="L36" s="203" t="e">
        <f>VLOOKUP($A36,INICIO_BARRA!$A$6:$R$130,6,FALSE)</f>
        <v>#N/A</v>
      </c>
      <c r="M36" s="156"/>
      <c r="N36" s="204" t="str">
        <f>IFERROR(IFERROR(IF(M36&gt;0,"",M36*VLOOKUP($A36,'VALOR I.'!$B$6:$K$418,10,FALSE)),"")*$C36,"")</f>
        <v/>
      </c>
      <c r="O36" s="203" t="e">
        <f>VLOOKUP($A36,INICIO_BARRA!$A$6:$R$130,5,FALSE)</f>
        <v>#N/A</v>
      </c>
      <c r="P36" s="203" t="e">
        <f>VLOOKUP($A36,INICIO_BARRA!$A$6:$R$130,6,FALSE)</f>
        <v>#N/A</v>
      </c>
      <c r="Q36" s="203" t="str">
        <f>IFERROR(VLOOKUP($A36,REPOSICIONES_BARRA!$A$6:$I$130,4,FALSE),"")</f>
        <v/>
      </c>
      <c r="R36" s="315" t="e">
        <f t="shared" si="2"/>
        <v>#N/A</v>
      </c>
      <c r="S36" s="316" t="e">
        <f t="shared" si="3"/>
        <v>#N/A</v>
      </c>
      <c r="T36" s="317" t="str">
        <f>IFERROR(IFERROR(VLOOKUP($A36,VENTAS!$H$2:$O$201,3,FALSE),"")/$C36,"")</f>
        <v/>
      </c>
      <c r="U36" s="111"/>
      <c r="V36" s="203" t="e">
        <f>VLOOKUP($A36,INICIO_BARRA!$A$6:$R$130,7,FALSE)</f>
        <v>#N/A</v>
      </c>
      <c r="W36" s="203" t="e">
        <f>VLOOKUP($A36,INICIO_BARRA!$A$6:$R$130,8,FALSE)</f>
        <v>#N/A</v>
      </c>
      <c r="X36" s="156"/>
      <c r="Y36" s="204" t="str">
        <f>IFERROR(IFERROR(IF(X36&gt;0,"",X36*VLOOKUP($A36,'VALOR I.'!$B$6:$K$418,10,FALSE)),"")*$C36,"")</f>
        <v/>
      </c>
      <c r="Z36" s="203" t="e">
        <f>VLOOKUP($A36,INICIO_BARRA!$A$6:$R$130,7,FALSE)</f>
        <v>#N/A</v>
      </c>
      <c r="AA36" s="203" t="e">
        <f>VLOOKUP($A36,INICIO_BARRA!$A$6:$R$130,8,FALSE)</f>
        <v>#N/A</v>
      </c>
      <c r="AB36" s="203" t="str">
        <f>IFERROR(VLOOKUP($A36,REPOSICIONES_BARRA!$A$6:$I$130,5,FALSE),"")</f>
        <v/>
      </c>
      <c r="AC36" s="315" t="e">
        <f t="shared" si="4"/>
        <v>#N/A</v>
      </c>
      <c r="AD36" s="316" t="e">
        <f t="shared" si="5"/>
        <v>#N/A</v>
      </c>
      <c r="AE36" s="317" t="str">
        <f>IFERROR(IFERROR(VLOOKUP($A36,VENTAS!$H$2:$O$201,4,FALSE),"")/$C36,"")</f>
        <v/>
      </c>
      <c r="AF36" s="111"/>
      <c r="AG36" s="203" t="e">
        <f>VLOOKUP($A36,INICIO_BARRA!$A$6:$R$130,9,FALSE)</f>
        <v>#N/A</v>
      </c>
      <c r="AH36" s="203" t="e">
        <f>VLOOKUP($A36,INICIO_BARRA!$A$6:$R$130,10,FALSE)</f>
        <v>#N/A</v>
      </c>
      <c r="AI36" s="156"/>
      <c r="AJ36" s="94" t="str">
        <f>IFERROR(IFERROR(IF(AI36&gt;0,"",AI36*VLOOKUP($A36,'VALOR I.'!$B$6:$K$418,10,FALSE)),"")*$C36,"")</f>
        <v/>
      </c>
      <c r="AK36" s="203" t="e">
        <f>VLOOKUP($A36,INICIO_BARRA!$A$6:$R$130,9,FALSE)</f>
        <v>#N/A</v>
      </c>
      <c r="AL36" s="203" t="e">
        <f>VLOOKUP($A36,INICIO_BARRA!$A$6:$R$130,10,FALSE)</f>
        <v>#N/A</v>
      </c>
      <c r="AM36" s="203" t="str">
        <f>IFERROR(VLOOKUP($A36,REPOSICIONES_BARRA!$A$6:$I$130,6,FALSE),"")</f>
        <v/>
      </c>
      <c r="AN36" s="315" t="e">
        <f t="shared" si="6"/>
        <v>#N/A</v>
      </c>
      <c r="AO36" s="316" t="e">
        <f t="shared" si="7"/>
        <v>#N/A</v>
      </c>
      <c r="AP36" s="317" t="str">
        <f>IFERROR(IFERROR(VLOOKUP($A36,VENTAS!$H$2:$O$201,5,FALSE),"")/$C36,"")</f>
        <v/>
      </c>
      <c r="AQ36" s="111"/>
      <c r="AR36" s="203" t="e">
        <f>VLOOKUP($A36,INICIO_BARRA!$A$6:$R$130,11,FALSE)</f>
        <v>#N/A</v>
      </c>
      <c r="AS36" s="203" t="e">
        <f>VLOOKUP($A36,INICIO_BARRA!$A$6:$R$130,12,FALSE)</f>
        <v>#N/A</v>
      </c>
      <c r="AT36" s="156"/>
      <c r="AU36" s="94" t="str">
        <f>IFERROR(IFERROR(IF(AT36&gt;0,"",AT36*VLOOKUP($A36,'VALOR I.'!$B$6:$K$418,10,FALSE)),"")*$C36,"")</f>
        <v/>
      </c>
      <c r="AV36" s="203" t="e">
        <f>VLOOKUP($A36,INICIO_BARRA!$A$6:$R$130,11,FALSE)</f>
        <v>#N/A</v>
      </c>
      <c r="AW36" s="203" t="e">
        <f>VLOOKUP($A36,INICIO_BARRA!$A$6:$R$130,12,FALSE)</f>
        <v>#N/A</v>
      </c>
      <c r="AX36" s="203" t="str">
        <f>IFERROR(VLOOKUP($A36,REPOSICIONES_BARRA!$A$6:$I$130,7,FALSE),"")</f>
        <v/>
      </c>
      <c r="AY36" s="315" t="e">
        <f t="shared" si="8"/>
        <v>#N/A</v>
      </c>
      <c r="AZ36" s="316" t="e">
        <f t="shared" si="9"/>
        <v>#N/A</v>
      </c>
      <c r="BA36" s="317" t="str">
        <f>IFERROR(IFERROR(VLOOKUP($A36,VENTAS!$H$2:$O$201,6,FALSE),"")/$C36,"")</f>
        <v/>
      </c>
      <c r="BB36" s="111"/>
      <c r="BC36" s="203" t="e">
        <f>VLOOKUP($A36,INICIO_BARRA!$A$6:$R$130,13,FALSE)</f>
        <v>#N/A</v>
      </c>
      <c r="BD36" s="203" t="e">
        <f>VLOOKUP($A36,INICIO_BARRA!$A$6:$R$130,14,FALSE)</f>
        <v>#N/A</v>
      </c>
      <c r="BE36" s="156"/>
      <c r="BF36" s="94" t="str">
        <f>IFERROR(IFERROR(IF(BE36&gt;0,"",BE36*VLOOKUP($A36,'VALOR I.'!$B$6:$K$418,10,FALSE)),"")*$C36,"")</f>
        <v/>
      </c>
      <c r="BG36" s="203" t="e">
        <f>VLOOKUP($A36,INICIO_BARRA!$A$6:$R$130,13,FALSE)</f>
        <v>#N/A</v>
      </c>
      <c r="BH36" s="203" t="e">
        <f>VLOOKUP($A36,INICIO_BARRA!$A$6:$R$130,14,FALSE)</f>
        <v>#N/A</v>
      </c>
      <c r="BI36" s="203" t="str">
        <f>IFERROR(VLOOKUP($A36,REPOSICIONES_BARRA!$A$6:$I$130,8,FALSE),"")</f>
        <v/>
      </c>
      <c r="BJ36" s="315" t="e">
        <f t="shared" si="10"/>
        <v>#N/A</v>
      </c>
      <c r="BK36" s="316" t="e">
        <f t="shared" si="11"/>
        <v>#N/A</v>
      </c>
      <c r="BL36" s="317" t="str">
        <f>IFERROR(IFERROR(VLOOKUP($A36,VENTAS!$H$2:$O$201,7,FALSE),"")/$C36,"")</f>
        <v/>
      </c>
      <c r="BM36" s="111"/>
      <c r="BN36" s="203" t="e">
        <f>VLOOKUP($A36,INICIO_BARRA!$A$6:$R$130,15,FALSE)</f>
        <v>#N/A</v>
      </c>
      <c r="BO36" s="203" t="e">
        <f>VLOOKUP($A36,INICIO_BARRA!$A$6:$R$130,16,FALSE)</f>
        <v>#N/A</v>
      </c>
      <c r="BP36" s="156"/>
      <c r="BQ36" s="94" t="str">
        <f>IFERROR(IFERROR(IF(BP36&gt;0,"",BP36*VLOOKUP($A36,'VALOR I.'!$B$6:$K$418,10,FALSE)),"")*$C36,"")</f>
        <v/>
      </c>
      <c r="BR36" s="203" t="e">
        <f>VLOOKUP($A36,INICIO_BARRA!$A$6:$R$130,15,FALSE)</f>
        <v>#N/A</v>
      </c>
      <c r="BS36" s="203" t="e">
        <f>VLOOKUP($A36,INICIO_BARRA!$A$6:$R$130,16,FALSE)</f>
        <v>#N/A</v>
      </c>
      <c r="BT36" s="203" t="str">
        <f>IFERROR(VLOOKUP($A36,REPOSICIONES_BARRA!$A$6:$I$130,9,FALSE),"")</f>
        <v/>
      </c>
      <c r="BU36" s="315" t="e">
        <f t="shared" si="12"/>
        <v>#N/A</v>
      </c>
      <c r="BV36" s="316" t="e">
        <f t="shared" si="13"/>
        <v>#N/A</v>
      </c>
      <c r="BW36" s="317" t="str">
        <f>IFERROR(IFERROR(VLOOKUP($A36,VENTAS!$H$2:$O$201,8,FALSE),"")/$C36,"")</f>
        <v/>
      </c>
      <c r="BX36" s="111"/>
      <c r="BY36" s="203" t="e">
        <f>VLOOKUP($A36,INICIO_BARRA!$A$6:$R$130,17,FALSE)</f>
        <v>#N/A</v>
      </c>
      <c r="BZ36" s="203" t="e">
        <f>VLOOKUP($A36,INICIO_BARRA!$A$6:$R$130,18,FALSE)</f>
        <v>#N/A</v>
      </c>
      <c r="CA36" s="156"/>
      <c r="CB36" s="94" t="str">
        <f>IFERROR(IFERROR(IF(CA36&gt;0,"",CA36*VLOOKUP($A36,'VALOR I.'!$B$6:$K$418,10,FALSE)),"")*$C36,"")</f>
        <v/>
      </c>
    </row>
    <row r="37" spans="1:80" s="7" customFormat="1" ht="30" customHeight="1" x14ac:dyDescent="0.3">
      <c r="A37" s="3"/>
      <c r="B37" s="300" t="s">
        <v>33</v>
      </c>
      <c r="C37" s="133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</row>
    <row r="38" spans="1:80" s="7" customFormat="1" ht="30" hidden="1" customHeight="1" x14ac:dyDescent="0.45">
      <c r="A38" s="3"/>
      <c r="B38" s="49"/>
      <c r="C38" s="134"/>
      <c r="D38" s="203" t="e">
        <f>VLOOKUP($A38,INICIO_BARRA!$A$6:$R$130,3,FALSE)</f>
        <v>#N/A</v>
      </c>
      <c r="E38" s="203" t="e">
        <f>VLOOKUP($A38,INICIO_BARRA!$A$6:$R$130,4,FALSE)</f>
        <v>#N/A</v>
      </c>
      <c r="F38" s="203" t="str">
        <f>IFERROR(VLOOKUP($A38,REPOSICIONES_BARRA!$A$6:$I$130,3,FALSE),"")</f>
        <v/>
      </c>
      <c r="G38" s="315" t="e">
        <f t="shared" si="14"/>
        <v>#N/A</v>
      </c>
      <c r="H38" s="316" t="e">
        <f t="shared" si="15"/>
        <v>#N/A</v>
      </c>
      <c r="I38" s="317" t="str">
        <f>IFERROR(IFERROR(VLOOKUP($A38,VENTAS!$H$2:$O$201,2,FALSE),"")/$C38,"")</f>
        <v/>
      </c>
      <c r="J38" s="111"/>
      <c r="K38" s="203" t="e">
        <f>VLOOKUP($A38,INICIO_BARRA!$A$6:$R$130,5,FALSE)</f>
        <v>#N/A</v>
      </c>
      <c r="L38" s="203" t="e">
        <f>VLOOKUP($A38,INICIO_BARRA!$A$6:$R$130,6,FALSE)</f>
        <v>#N/A</v>
      </c>
      <c r="M38" s="156"/>
      <c r="N38" s="204" t="str">
        <f>IFERROR(IFERROR(IF(M38&gt;0,"",M38*VLOOKUP($A38,'VALOR I.'!$B$6:$K$418,10,FALSE)),"")*$C38,"")</f>
        <v/>
      </c>
      <c r="O38" s="203" t="e">
        <f>VLOOKUP($A38,INICIO_BARRA!$A$6:$R$130,5,FALSE)</f>
        <v>#N/A</v>
      </c>
      <c r="P38" s="203" t="e">
        <f>VLOOKUP($A38,INICIO_BARRA!$A$6:$R$130,6,FALSE)</f>
        <v>#N/A</v>
      </c>
      <c r="Q38" s="203" t="str">
        <f>IFERROR(VLOOKUP($A38,REPOSICIONES_BARRA!$A$6:$I$130,4,FALSE),"")</f>
        <v/>
      </c>
      <c r="R38" s="315" t="e">
        <f t="shared" si="2"/>
        <v>#N/A</v>
      </c>
      <c r="S38" s="316" t="e">
        <f t="shared" si="3"/>
        <v>#N/A</v>
      </c>
      <c r="T38" s="317" t="str">
        <f>IFERROR(IFERROR(VLOOKUP($A38,VENTAS!$H$2:$O$201,3,FALSE),"")/$C38,"")</f>
        <v/>
      </c>
      <c r="U38" s="111"/>
      <c r="V38" s="203" t="e">
        <f>VLOOKUP($A38,INICIO_BARRA!$A$6:$R$130,7,FALSE)</f>
        <v>#N/A</v>
      </c>
      <c r="W38" s="203" t="e">
        <f>VLOOKUP($A38,INICIO_BARRA!$A$6:$R$130,8,FALSE)</f>
        <v>#N/A</v>
      </c>
      <c r="X38" s="156"/>
      <c r="Y38" s="204" t="str">
        <f>IFERROR(IFERROR(IF(X38&gt;0,"",X38*VLOOKUP($A38,'VALOR I.'!$B$6:$K$418,10,FALSE)),"")*$C38,"")</f>
        <v/>
      </c>
      <c r="Z38" s="203" t="e">
        <f>VLOOKUP($A38,INICIO_BARRA!$A$6:$R$130,7,FALSE)</f>
        <v>#N/A</v>
      </c>
      <c r="AA38" s="203" t="e">
        <f>VLOOKUP($A38,INICIO_BARRA!$A$6:$R$130,8,FALSE)</f>
        <v>#N/A</v>
      </c>
      <c r="AB38" s="203" t="str">
        <f>IFERROR(VLOOKUP($A38,REPOSICIONES_BARRA!$A$6:$I$130,5,FALSE),"")</f>
        <v/>
      </c>
      <c r="AC38" s="315" t="e">
        <f t="shared" si="4"/>
        <v>#N/A</v>
      </c>
      <c r="AD38" s="316" t="e">
        <f t="shared" si="5"/>
        <v>#N/A</v>
      </c>
      <c r="AE38" s="317" t="str">
        <f>IFERROR(IFERROR(VLOOKUP($A38,VENTAS!$H$2:$O$201,4,FALSE),"")/$C38,"")</f>
        <v/>
      </c>
      <c r="AF38" s="111"/>
      <c r="AG38" s="203" t="e">
        <f>VLOOKUP($A38,INICIO_BARRA!$A$6:$R$130,9,FALSE)</f>
        <v>#N/A</v>
      </c>
      <c r="AH38" s="203" t="e">
        <f>VLOOKUP($A38,INICIO_BARRA!$A$6:$R$130,10,FALSE)</f>
        <v>#N/A</v>
      </c>
      <c r="AI38" s="156"/>
      <c r="AJ38" s="94" t="str">
        <f>IFERROR(IFERROR(IF(AI38&gt;0,"",AI38*VLOOKUP($A38,'VALOR I.'!$B$6:$K$418,10,FALSE)),"")*$C38,"")</f>
        <v/>
      </c>
      <c r="AK38" s="203" t="e">
        <f>VLOOKUP($A38,INICIO_BARRA!$A$6:$R$130,9,FALSE)</f>
        <v>#N/A</v>
      </c>
      <c r="AL38" s="203" t="e">
        <f>VLOOKUP($A38,INICIO_BARRA!$A$6:$R$130,10,FALSE)</f>
        <v>#N/A</v>
      </c>
      <c r="AM38" s="203" t="str">
        <f>IFERROR(VLOOKUP($A38,REPOSICIONES_BARRA!$A$6:$I$130,6,FALSE),"")</f>
        <v/>
      </c>
      <c r="AN38" s="315" t="e">
        <f t="shared" si="6"/>
        <v>#N/A</v>
      </c>
      <c r="AO38" s="316" t="e">
        <f t="shared" si="7"/>
        <v>#N/A</v>
      </c>
      <c r="AP38" s="317" t="str">
        <f>IFERROR(IFERROR(VLOOKUP($A38,VENTAS!$H$2:$O$201,5,FALSE),"")/$C38,"")</f>
        <v/>
      </c>
      <c r="AQ38" s="111"/>
      <c r="AR38" s="203" t="e">
        <f>VLOOKUP($A38,INICIO_BARRA!$A$6:$R$130,11,FALSE)</f>
        <v>#N/A</v>
      </c>
      <c r="AS38" s="203" t="e">
        <f>VLOOKUP($A38,INICIO_BARRA!$A$6:$R$130,12,FALSE)</f>
        <v>#N/A</v>
      </c>
      <c r="AT38" s="156"/>
      <c r="AU38" s="94" t="str">
        <f>IFERROR(IFERROR(IF(AT38&gt;0,"",AT38*VLOOKUP($A38,'VALOR I.'!$B$6:$K$418,10,FALSE)),"")*$C38,"")</f>
        <v/>
      </c>
      <c r="AV38" s="203" t="e">
        <f>VLOOKUP($A38,INICIO_BARRA!$A$6:$R$130,11,FALSE)</f>
        <v>#N/A</v>
      </c>
      <c r="AW38" s="203" t="e">
        <f>VLOOKUP($A38,INICIO_BARRA!$A$6:$R$130,12,FALSE)</f>
        <v>#N/A</v>
      </c>
      <c r="AX38" s="203" t="str">
        <f>IFERROR(VLOOKUP($A38,REPOSICIONES_BARRA!$A$6:$I$130,7,FALSE),"")</f>
        <v/>
      </c>
      <c r="AY38" s="315" t="e">
        <f t="shared" si="8"/>
        <v>#N/A</v>
      </c>
      <c r="AZ38" s="316" t="e">
        <f t="shared" si="9"/>
        <v>#N/A</v>
      </c>
      <c r="BA38" s="317" t="str">
        <f>IFERROR(IFERROR(VLOOKUP($A38,VENTAS!$H$2:$O$201,6,FALSE),"")/$C38,"")</f>
        <v/>
      </c>
      <c r="BB38" s="111"/>
      <c r="BC38" s="203" t="e">
        <f>VLOOKUP($A38,INICIO_BARRA!$A$6:$R$130,13,FALSE)</f>
        <v>#N/A</v>
      </c>
      <c r="BD38" s="203" t="e">
        <f>VLOOKUP($A38,INICIO_BARRA!$A$6:$R$130,14,FALSE)</f>
        <v>#N/A</v>
      </c>
      <c r="BE38" s="156"/>
      <c r="BF38" s="94" t="str">
        <f>IFERROR(IFERROR(IF(BE38&gt;0,"",BE38*VLOOKUP($A38,'VALOR I.'!$B$6:$K$418,10,FALSE)),"")*$C38,"")</f>
        <v/>
      </c>
      <c r="BG38" s="203" t="e">
        <f>VLOOKUP($A38,INICIO_BARRA!$A$6:$R$130,13,FALSE)</f>
        <v>#N/A</v>
      </c>
      <c r="BH38" s="203" t="e">
        <f>VLOOKUP($A38,INICIO_BARRA!$A$6:$R$130,14,FALSE)</f>
        <v>#N/A</v>
      </c>
      <c r="BI38" s="203" t="str">
        <f>IFERROR(VLOOKUP($A38,REPOSICIONES_BARRA!$A$6:$I$130,8,FALSE),"")</f>
        <v/>
      </c>
      <c r="BJ38" s="315" t="e">
        <f t="shared" si="10"/>
        <v>#N/A</v>
      </c>
      <c r="BK38" s="316" t="e">
        <f t="shared" si="11"/>
        <v>#N/A</v>
      </c>
      <c r="BL38" s="317" t="str">
        <f>IFERROR(IFERROR(VLOOKUP($A38,VENTAS!$H$2:$O$201,7,FALSE),"")/$C38,"")</f>
        <v/>
      </c>
      <c r="BM38" s="111"/>
      <c r="BN38" s="203" t="e">
        <f>VLOOKUP($A38,INICIO_BARRA!$A$6:$R$130,15,FALSE)</f>
        <v>#N/A</v>
      </c>
      <c r="BO38" s="203" t="e">
        <f>VLOOKUP($A38,INICIO_BARRA!$A$6:$R$130,16,FALSE)</f>
        <v>#N/A</v>
      </c>
      <c r="BP38" s="156"/>
      <c r="BQ38" s="94" t="str">
        <f>IFERROR(IFERROR(IF(BP38&gt;0,"",BP38*VLOOKUP($A38,'VALOR I.'!$B$6:$K$418,10,FALSE)),"")*$C38,"")</f>
        <v/>
      </c>
      <c r="BR38" s="203" t="e">
        <f>VLOOKUP($A38,INICIO_BARRA!$A$6:$R$130,15,FALSE)</f>
        <v>#N/A</v>
      </c>
      <c r="BS38" s="203" t="e">
        <f>VLOOKUP($A38,INICIO_BARRA!$A$6:$R$130,16,FALSE)</f>
        <v>#N/A</v>
      </c>
      <c r="BT38" s="203" t="str">
        <f>IFERROR(VLOOKUP($A38,REPOSICIONES_BARRA!$A$6:$I$130,9,FALSE),"")</f>
        <v/>
      </c>
      <c r="BU38" s="315" t="e">
        <f t="shared" si="12"/>
        <v>#N/A</v>
      </c>
      <c r="BV38" s="316" t="e">
        <f t="shared" si="13"/>
        <v>#N/A</v>
      </c>
      <c r="BW38" s="317" t="str">
        <f>IFERROR(IFERROR(VLOOKUP($A38,VENTAS!$H$2:$O$201,8,FALSE),"")/$C38,"")</f>
        <v/>
      </c>
      <c r="BX38" s="111"/>
      <c r="BY38" s="203" t="e">
        <f>VLOOKUP($A38,INICIO_BARRA!$A$6:$R$130,17,FALSE)</f>
        <v>#N/A</v>
      </c>
      <c r="BZ38" s="203" t="e">
        <f>VLOOKUP($A38,INICIO_BARRA!$A$6:$R$130,18,FALSE)</f>
        <v>#N/A</v>
      </c>
      <c r="CA38" s="156"/>
      <c r="CB38" s="94" t="str">
        <f>IFERROR(IFERROR(IF(CA38&gt;0,"",CA38*VLOOKUP($A38,'VALOR I.'!$B$6:$K$418,10,FALSE)),"")*$C38,"")</f>
        <v/>
      </c>
    </row>
    <row r="39" spans="1:80" s="7" customFormat="1" ht="30" hidden="1" customHeight="1" x14ac:dyDescent="0.45">
      <c r="A39" s="3"/>
      <c r="B39" s="50"/>
      <c r="C39" s="135"/>
      <c r="D39" s="203" t="e">
        <f>VLOOKUP($A39,INICIO_BARRA!$A$6:$R$130,3,FALSE)</f>
        <v>#N/A</v>
      </c>
      <c r="E39" s="203" t="e">
        <f>VLOOKUP($A39,INICIO_BARRA!$A$6:$R$130,4,FALSE)</f>
        <v>#N/A</v>
      </c>
      <c r="F39" s="203" t="str">
        <f>IFERROR(VLOOKUP($A39,REPOSICIONES_BARRA!$A$6:$I$130,3,FALSE),"")</f>
        <v/>
      </c>
      <c r="G39" s="315" t="e">
        <f t="shared" si="14"/>
        <v>#N/A</v>
      </c>
      <c r="H39" s="316" t="e">
        <f t="shared" si="15"/>
        <v>#N/A</v>
      </c>
      <c r="I39" s="317" t="str">
        <f>IFERROR(IFERROR(VLOOKUP($A39,VENTAS!$H$2:$O$201,2,FALSE),"")/$C39,"")</f>
        <v/>
      </c>
      <c r="J39" s="111"/>
      <c r="K39" s="203" t="e">
        <f>VLOOKUP($A39,INICIO_BARRA!$A$6:$R$130,5,FALSE)</f>
        <v>#N/A</v>
      </c>
      <c r="L39" s="203" t="e">
        <f>VLOOKUP($A39,INICIO_BARRA!$A$6:$R$130,6,FALSE)</f>
        <v>#N/A</v>
      </c>
      <c r="M39" s="156"/>
      <c r="N39" s="204" t="str">
        <f>IFERROR(IFERROR(IF(M39&gt;0,"",M39*VLOOKUP($A39,'VALOR I.'!$B$6:$K$418,10,FALSE)),"")*$C39,"")</f>
        <v/>
      </c>
      <c r="O39" s="203" t="e">
        <f>VLOOKUP($A39,INICIO_BARRA!$A$6:$R$130,5,FALSE)</f>
        <v>#N/A</v>
      </c>
      <c r="P39" s="203" t="e">
        <f>VLOOKUP($A39,INICIO_BARRA!$A$6:$R$130,6,FALSE)</f>
        <v>#N/A</v>
      </c>
      <c r="Q39" s="203" t="str">
        <f>IFERROR(VLOOKUP($A39,REPOSICIONES_BARRA!$A$6:$I$130,4,FALSE),"")</f>
        <v/>
      </c>
      <c r="R39" s="315" t="e">
        <f t="shared" si="2"/>
        <v>#N/A</v>
      </c>
      <c r="S39" s="316" t="e">
        <f t="shared" si="3"/>
        <v>#N/A</v>
      </c>
      <c r="T39" s="317" t="str">
        <f>IFERROR(IFERROR(VLOOKUP($A39,VENTAS!$H$2:$O$201,3,FALSE),"")/$C39,"")</f>
        <v/>
      </c>
      <c r="U39" s="111"/>
      <c r="V39" s="203" t="e">
        <f>VLOOKUP($A39,INICIO_BARRA!$A$6:$R$130,7,FALSE)</f>
        <v>#N/A</v>
      </c>
      <c r="W39" s="203" t="e">
        <f>VLOOKUP($A39,INICIO_BARRA!$A$6:$R$130,8,FALSE)</f>
        <v>#N/A</v>
      </c>
      <c r="X39" s="156"/>
      <c r="Y39" s="204" t="str">
        <f>IFERROR(IFERROR(IF(X39&gt;0,"",X39*VLOOKUP($A39,'VALOR I.'!$B$6:$K$418,10,FALSE)),"")*$C39,"")</f>
        <v/>
      </c>
      <c r="Z39" s="203" t="e">
        <f>VLOOKUP($A39,INICIO_BARRA!$A$6:$R$130,7,FALSE)</f>
        <v>#N/A</v>
      </c>
      <c r="AA39" s="203" t="e">
        <f>VLOOKUP($A39,INICIO_BARRA!$A$6:$R$130,8,FALSE)</f>
        <v>#N/A</v>
      </c>
      <c r="AB39" s="203" t="str">
        <f>IFERROR(VLOOKUP($A39,REPOSICIONES_BARRA!$A$6:$I$130,5,FALSE),"")</f>
        <v/>
      </c>
      <c r="AC39" s="315" t="e">
        <f t="shared" si="4"/>
        <v>#N/A</v>
      </c>
      <c r="AD39" s="316" t="e">
        <f t="shared" si="5"/>
        <v>#N/A</v>
      </c>
      <c r="AE39" s="317" t="str">
        <f>IFERROR(IFERROR(VLOOKUP($A39,VENTAS!$H$2:$O$201,4,FALSE),"")/$C39,"")</f>
        <v/>
      </c>
      <c r="AF39" s="111"/>
      <c r="AG39" s="203" t="e">
        <f>VLOOKUP($A39,INICIO_BARRA!$A$6:$R$130,9,FALSE)</f>
        <v>#N/A</v>
      </c>
      <c r="AH39" s="203" t="e">
        <f>VLOOKUP($A39,INICIO_BARRA!$A$6:$R$130,10,FALSE)</f>
        <v>#N/A</v>
      </c>
      <c r="AI39" s="156"/>
      <c r="AJ39" s="94" t="str">
        <f>IFERROR(IFERROR(IF(AI39&gt;0,"",AI39*VLOOKUP($A39,'VALOR I.'!$B$6:$K$418,10,FALSE)),"")*$C39,"")</f>
        <v/>
      </c>
      <c r="AK39" s="203" t="e">
        <f>VLOOKUP($A39,INICIO_BARRA!$A$6:$R$130,9,FALSE)</f>
        <v>#N/A</v>
      </c>
      <c r="AL39" s="203" t="e">
        <f>VLOOKUP($A39,INICIO_BARRA!$A$6:$R$130,10,FALSE)</f>
        <v>#N/A</v>
      </c>
      <c r="AM39" s="203" t="str">
        <f>IFERROR(VLOOKUP($A39,REPOSICIONES_BARRA!$A$6:$I$130,6,FALSE),"")</f>
        <v/>
      </c>
      <c r="AN39" s="315" t="e">
        <f t="shared" si="6"/>
        <v>#N/A</v>
      </c>
      <c r="AO39" s="316" t="e">
        <f t="shared" si="7"/>
        <v>#N/A</v>
      </c>
      <c r="AP39" s="317" t="str">
        <f>IFERROR(IFERROR(VLOOKUP($A39,VENTAS!$H$2:$O$201,5,FALSE),"")/$C39,"")</f>
        <v/>
      </c>
      <c r="AQ39" s="111"/>
      <c r="AR39" s="203" t="e">
        <f>VLOOKUP($A39,INICIO_BARRA!$A$6:$R$130,11,FALSE)</f>
        <v>#N/A</v>
      </c>
      <c r="AS39" s="203" t="e">
        <f>VLOOKUP($A39,INICIO_BARRA!$A$6:$R$130,12,FALSE)</f>
        <v>#N/A</v>
      </c>
      <c r="AT39" s="156"/>
      <c r="AU39" s="94" t="str">
        <f>IFERROR(IFERROR(IF(AT39&gt;0,"",AT39*VLOOKUP($A39,'VALOR I.'!$B$6:$K$418,10,FALSE)),"")*$C39,"")</f>
        <v/>
      </c>
      <c r="AV39" s="203" t="e">
        <f>VLOOKUP($A39,INICIO_BARRA!$A$6:$R$130,11,FALSE)</f>
        <v>#N/A</v>
      </c>
      <c r="AW39" s="203" t="e">
        <f>VLOOKUP($A39,INICIO_BARRA!$A$6:$R$130,12,FALSE)</f>
        <v>#N/A</v>
      </c>
      <c r="AX39" s="203" t="str">
        <f>IFERROR(VLOOKUP($A39,REPOSICIONES_BARRA!$A$6:$I$130,7,FALSE),"")</f>
        <v/>
      </c>
      <c r="AY39" s="315" t="e">
        <f t="shared" si="8"/>
        <v>#N/A</v>
      </c>
      <c r="AZ39" s="316" t="e">
        <f t="shared" si="9"/>
        <v>#N/A</v>
      </c>
      <c r="BA39" s="317" t="str">
        <f>IFERROR(IFERROR(VLOOKUP($A39,VENTAS!$H$2:$O$201,6,FALSE),"")/$C39,"")</f>
        <v/>
      </c>
      <c r="BB39" s="111"/>
      <c r="BC39" s="203" t="e">
        <f>VLOOKUP($A39,INICIO_BARRA!$A$6:$R$130,13,FALSE)</f>
        <v>#N/A</v>
      </c>
      <c r="BD39" s="203" t="e">
        <f>VLOOKUP($A39,INICIO_BARRA!$A$6:$R$130,14,FALSE)</f>
        <v>#N/A</v>
      </c>
      <c r="BE39" s="156"/>
      <c r="BF39" s="94" t="str">
        <f>IFERROR(IFERROR(IF(BE39&gt;0,"",BE39*VLOOKUP($A39,'VALOR I.'!$B$6:$K$418,10,FALSE)),"")*$C39,"")</f>
        <v/>
      </c>
      <c r="BG39" s="203" t="e">
        <f>VLOOKUP($A39,INICIO_BARRA!$A$6:$R$130,13,FALSE)</f>
        <v>#N/A</v>
      </c>
      <c r="BH39" s="203" t="e">
        <f>VLOOKUP($A39,INICIO_BARRA!$A$6:$R$130,14,FALSE)</f>
        <v>#N/A</v>
      </c>
      <c r="BI39" s="203" t="str">
        <f>IFERROR(VLOOKUP($A39,REPOSICIONES_BARRA!$A$6:$I$130,8,FALSE),"")</f>
        <v/>
      </c>
      <c r="BJ39" s="315" t="e">
        <f t="shared" si="10"/>
        <v>#N/A</v>
      </c>
      <c r="BK39" s="316" t="e">
        <f t="shared" si="11"/>
        <v>#N/A</v>
      </c>
      <c r="BL39" s="317" t="str">
        <f>IFERROR(IFERROR(VLOOKUP($A39,VENTAS!$H$2:$O$201,7,FALSE),"")/$C39,"")</f>
        <v/>
      </c>
      <c r="BM39" s="111"/>
      <c r="BN39" s="203" t="e">
        <f>VLOOKUP($A39,INICIO_BARRA!$A$6:$R$130,15,FALSE)</f>
        <v>#N/A</v>
      </c>
      <c r="BO39" s="203" t="e">
        <f>VLOOKUP($A39,INICIO_BARRA!$A$6:$R$130,16,FALSE)</f>
        <v>#N/A</v>
      </c>
      <c r="BP39" s="156"/>
      <c r="BQ39" s="94" t="str">
        <f>IFERROR(IFERROR(IF(BP39&gt;0,"",BP39*VLOOKUP($A39,'VALOR I.'!$B$6:$K$418,10,FALSE)),"")*$C39,"")</f>
        <v/>
      </c>
      <c r="BR39" s="203" t="e">
        <f>VLOOKUP($A39,INICIO_BARRA!$A$6:$R$130,15,FALSE)</f>
        <v>#N/A</v>
      </c>
      <c r="BS39" s="203" t="e">
        <f>VLOOKUP($A39,INICIO_BARRA!$A$6:$R$130,16,FALSE)</f>
        <v>#N/A</v>
      </c>
      <c r="BT39" s="203" t="str">
        <f>IFERROR(VLOOKUP($A39,REPOSICIONES_BARRA!$A$6:$I$130,9,FALSE),"")</f>
        <v/>
      </c>
      <c r="BU39" s="315" t="e">
        <f t="shared" si="12"/>
        <v>#N/A</v>
      </c>
      <c r="BV39" s="316" t="e">
        <f t="shared" si="13"/>
        <v>#N/A</v>
      </c>
      <c r="BW39" s="317" t="str">
        <f>IFERROR(IFERROR(VLOOKUP($A39,VENTAS!$H$2:$O$201,8,FALSE),"")/$C39,"")</f>
        <v/>
      </c>
      <c r="BX39" s="111"/>
      <c r="BY39" s="203" t="e">
        <f>VLOOKUP($A39,INICIO_BARRA!$A$6:$R$130,17,FALSE)</f>
        <v>#N/A</v>
      </c>
      <c r="BZ39" s="203" t="e">
        <f>VLOOKUP($A39,INICIO_BARRA!$A$6:$R$130,18,FALSE)</f>
        <v>#N/A</v>
      </c>
      <c r="CA39" s="156"/>
      <c r="CB39" s="94" t="str">
        <f>IFERROR(IFERROR(IF(CA39&gt;0,"",CA39*VLOOKUP($A39,'VALOR I.'!$B$6:$K$418,10,FALSE)),"")*$C39,"")</f>
        <v/>
      </c>
    </row>
    <row r="40" spans="1:80" s="7" customFormat="1" ht="30" hidden="1" customHeight="1" x14ac:dyDescent="0.45">
      <c r="A40" s="3"/>
      <c r="B40" s="49"/>
      <c r="C40" s="135"/>
      <c r="D40" s="203" t="e">
        <f>VLOOKUP($A40,INICIO_BARRA!$A$6:$R$130,3,FALSE)</f>
        <v>#N/A</v>
      </c>
      <c r="E40" s="203" t="e">
        <f>VLOOKUP($A40,INICIO_BARRA!$A$6:$R$130,4,FALSE)</f>
        <v>#N/A</v>
      </c>
      <c r="F40" s="203" t="str">
        <f>IFERROR(VLOOKUP($A40,REPOSICIONES_BARRA!$A$6:$I$130,3,FALSE),"")</f>
        <v/>
      </c>
      <c r="G40" s="315" t="e">
        <f t="shared" si="14"/>
        <v>#N/A</v>
      </c>
      <c r="H40" s="316" t="e">
        <f t="shared" si="15"/>
        <v>#N/A</v>
      </c>
      <c r="I40" s="317" t="str">
        <f>IFERROR(IFERROR(VLOOKUP($A40,VENTAS!$H$2:$O$201,2,FALSE),"")/$C40,"")</f>
        <v/>
      </c>
      <c r="J40" s="111"/>
      <c r="K40" s="203" t="e">
        <f>VLOOKUP($A40,INICIO_BARRA!$A$6:$R$130,5,FALSE)</f>
        <v>#N/A</v>
      </c>
      <c r="L40" s="203" t="e">
        <f>VLOOKUP($A40,INICIO_BARRA!$A$6:$R$130,6,FALSE)</f>
        <v>#N/A</v>
      </c>
      <c r="M40" s="156"/>
      <c r="N40" s="204" t="str">
        <f>IFERROR(IFERROR(IF(M40&gt;0,"",M40*VLOOKUP($A40,'VALOR I.'!$B$6:$K$418,10,FALSE)),"")*$C40,"")</f>
        <v/>
      </c>
      <c r="O40" s="203" t="e">
        <f>VLOOKUP($A40,INICIO_BARRA!$A$6:$R$130,5,FALSE)</f>
        <v>#N/A</v>
      </c>
      <c r="P40" s="203" t="e">
        <f>VLOOKUP($A40,INICIO_BARRA!$A$6:$R$130,6,FALSE)</f>
        <v>#N/A</v>
      </c>
      <c r="Q40" s="203" t="str">
        <f>IFERROR(VLOOKUP($A40,REPOSICIONES_BARRA!$A$6:$I$130,4,FALSE),"")</f>
        <v/>
      </c>
      <c r="R40" s="315" t="e">
        <f t="shared" si="2"/>
        <v>#N/A</v>
      </c>
      <c r="S40" s="316" t="e">
        <f t="shared" si="3"/>
        <v>#N/A</v>
      </c>
      <c r="T40" s="317" t="str">
        <f>IFERROR(IFERROR(VLOOKUP($A40,VENTAS!$H$2:$O$201,3,FALSE),"")/$C40,"")</f>
        <v/>
      </c>
      <c r="U40" s="111"/>
      <c r="V40" s="203" t="e">
        <f>VLOOKUP($A40,INICIO_BARRA!$A$6:$R$130,7,FALSE)</f>
        <v>#N/A</v>
      </c>
      <c r="W40" s="203" t="e">
        <f>VLOOKUP($A40,INICIO_BARRA!$A$6:$R$130,8,FALSE)</f>
        <v>#N/A</v>
      </c>
      <c r="X40" s="156"/>
      <c r="Y40" s="204" t="str">
        <f>IFERROR(IFERROR(IF(X40&gt;0,"",X40*VLOOKUP($A40,'VALOR I.'!$B$6:$K$418,10,FALSE)),"")*$C40,"")</f>
        <v/>
      </c>
      <c r="Z40" s="203" t="e">
        <f>VLOOKUP($A40,INICIO_BARRA!$A$6:$R$130,7,FALSE)</f>
        <v>#N/A</v>
      </c>
      <c r="AA40" s="203" t="e">
        <f>VLOOKUP($A40,INICIO_BARRA!$A$6:$R$130,8,FALSE)</f>
        <v>#N/A</v>
      </c>
      <c r="AB40" s="203" t="str">
        <f>IFERROR(VLOOKUP($A40,REPOSICIONES_BARRA!$A$6:$I$130,5,FALSE),"")</f>
        <v/>
      </c>
      <c r="AC40" s="315" t="e">
        <f t="shared" si="4"/>
        <v>#N/A</v>
      </c>
      <c r="AD40" s="316" t="e">
        <f t="shared" si="5"/>
        <v>#N/A</v>
      </c>
      <c r="AE40" s="317" t="str">
        <f>IFERROR(IFERROR(VLOOKUP($A40,VENTAS!$H$2:$O$201,4,FALSE),"")/$C40,"")</f>
        <v/>
      </c>
      <c r="AF40" s="111"/>
      <c r="AG40" s="203" t="e">
        <f>VLOOKUP($A40,INICIO_BARRA!$A$6:$R$130,9,FALSE)</f>
        <v>#N/A</v>
      </c>
      <c r="AH40" s="203" t="e">
        <f>VLOOKUP($A40,INICIO_BARRA!$A$6:$R$130,10,FALSE)</f>
        <v>#N/A</v>
      </c>
      <c r="AI40" s="156"/>
      <c r="AJ40" s="94" t="str">
        <f>IFERROR(IFERROR(IF(AI40&gt;0,"",AI40*VLOOKUP($A40,'VALOR I.'!$B$6:$K$418,10,FALSE)),"")*$C40,"")</f>
        <v/>
      </c>
      <c r="AK40" s="203" t="e">
        <f>VLOOKUP($A40,INICIO_BARRA!$A$6:$R$130,9,FALSE)</f>
        <v>#N/A</v>
      </c>
      <c r="AL40" s="203" t="e">
        <f>VLOOKUP($A40,INICIO_BARRA!$A$6:$R$130,10,FALSE)</f>
        <v>#N/A</v>
      </c>
      <c r="AM40" s="203" t="str">
        <f>IFERROR(VLOOKUP($A40,REPOSICIONES_BARRA!$A$6:$I$130,6,FALSE),"")</f>
        <v/>
      </c>
      <c r="AN40" s="315" t="e">
        <f t="shared" si="6"/>
        <v>#N/A</v>
      </c>
      <c r="AO40" s="316" t="e">
        <f t="shared" si="7"/>
        <v>#N/A</v>
      </c>
      <c r="AP40" s="317" t="str">
        <f>IFERROR(IFERROR(VLOOKUP($A40,VENTAS!$H$2:$O$201,5,FALSE),"")/$C40,"")</f>
        <v/>
      </c>
      <c r="AQ40" s="111"/>
      <c r="AR40" s="203" t="e">
        <f>VLOOKUP($A40,INICIO_BARRA!$A$6:$R$130,11,FALSE)</f>
        <v>#N/A</v>
      </c>
      <c r="AS40" s="203" t="e">
        <f>VLOOKUP($A40,INICIO_BARRA!$A$6:$R$130,12,FALSE)</f>
        <v>#N/A</v>
      </c>
      <c r="AT40" s="156"/>
      <c r="AU40" s="94" t="str">
        <f>IFERROR(IFERROR(IF(AT40&gt;0,"",AT40*VLOOKUP($A40,'VALOR I.'!$B$6:$K$418,10,FALSE)),"")*$C40,"")</f>
        <v/>
      </c>
      <c r="AV40" s="203" t="e">
        <f>VLOOKUP($A40,INICIO_BARRA!$A$6:$R$130,11,FALSE)</f>
        <v>#N/A</v>
      </c>
      <c r="AW40" s="203" t="e">
        <f>VLOOKUP($A40,INICIO_BARRA!$A$6:$R$130,12,FALSE)</f>
        <v>#N/A</v>
      </c>
      <c r="AX40" s="203" t="str">
        <f>IFERROR(VLOOKUP($A40,REPOSICIONES_BARRA!$A$6:$I$130,7,FALSE),"")</f>
        <v/>
      </c>
      <c r="AY40" s="315" t="e">
        <f t="shared" si="8"/>
        <v>#N/A</v>
      </c>
      <c r="AZ40" s="316" t="e">
        <f t="shared" si="9"/>
        <v>#N/A</v>
      </c>
      <c r="BA40" s="317" t="str">
        <f>IFERROR(IFERROR(VLOOKUP($A40,VENTAS!$H$2:$O$201,6,FALSE),"")/$C40,"")</f>
        <v/>
      </c>
      <c r="BB40" s="111"/>
      <c r="BC40" s="203" t="e">
        <f>VLOOKUP($A40,INICIO_BARRA!$A$6:$R$130,13,FALSE)</f>
        <v>#N/A</v>
      </c>
      <c r="BD40" s="203" t="e">
        <f>VLOOKUP($A40,INICIO_BARRA!$A$6:$R$130,14,FALSE)</f>
        <v>#N/A</v>
      </c>
      <c r="BE40" s="156"/>
      <c r="BF40" s="94" t="str">
        <f>IFERROR(IFERROR(IF(BE40&gt;0,"",BE40*VLOOKUP($A40,'VALOR I.'!$B$6:$K$418,10,FALSE)),"")*$C40,"")</f>
        <v/>
      </c>
      <c r="BG40" s="203" t="e">
        <f>VLOOKUP($A40,INICIO_BARRA!$A$6:$R$130,13,FALSE)</f>
        <v>#N/A</v>
      </c>
      <c r="BH40" s="203" t="e">
        <f>VLOOKUP($A40,INICIO_BARRA!$A$6:$R$130,14,FALSE)</f>
        <v>#N/A</v>
      </c>
      <c r="BI40" s="203" t="str">
        <f>IFERROR(VLOOKUP($A40,REPOSICIONES_BARRA!$A$6:$I$130,8,FALSE),"")</f>
        <v/>
      </c>
      <c r="BJ40" s="315" t="e">
        <f t="shared" si="10"/>
        <v>#N/A</v>
      </c>
      <c r="BK40" s="316" t="e">
        <f t="shared" si="11"/>
        <v>#N/A</v>
      </c>
      <c r="BL40" s="317" t="str">
        <f>IFERROR(IFERROR(VLOOKUP($A40,VENTAS!$H$2:$O$201,7,FALSE),"")/$C40,"")</f>
        <v/>
      </c>
      <c r="BM40" s="111"/>
      <c r="BN40" s="203" t="e">
        <f>VLOOKUP($A40,INICIO_BARRA!$A$6:$R$130,15,FALSE)</f>
        <v>#N/A</v>
      </c>
      <c r="BO40" s="203" t="e">
        <f>VLOOKUP($A40,INICIO_BARRA!$A$6:$R$130,16,FALSE)</f>
        <v>#N/A</v>
      </c>
      <c r="BP40" s="156"/>
      <c r="BQ40" s="94" t="str">
        <f>IFERROR(IFERROR(IF(BP40&gt;0,"",BP40*VLOOKUP($A40,'VALOR I.'!$B$6:$K$418,10,FALSE)),"")*$C40,"")</f>
        <v/>
      </c>
      <c r="BR40" s="203" t="e">
        <f>VLOOKUP($A40,INICIO_BARRA!$A$6:$R$130,15,FALSE)</f>
        <v>#N/A</v>
      </c>
      <c r="BS40" s="203" t="e">
        <f>VLOOKUP($A40,INICIO_BARRA!$A$6:$R$130,16,FALSE)</f>
        <v>#N/A</v>
      </c>
      <c r="BT40" s="203" t="str">
        <f>IFERROR(VLOOKUP($A40,REPOSICIONES_BARRA!$A$6:$I$130,9,FALSE),"")</f>
        <v/>
      </c>
      <c r="BU40" s="315" t="e">
        <f t="shared" si="12"/>
        <v>#N/A</v>
      </c>
      <c r="BV40" s="316" t="e">
        <f t="shared" si="13"/>
        <v>#N/A</v>
      </c>
      <c r="BW40" s="317" t="str">
        <f>IFERROR(IFERROR(VLOOKUP($A40,VENTAS!$H$2:$O$201,8,FALSE),"")/$C40,"")</f>
        <v/>
      </c>
      <c r="BX40" s="111"/>
      <c r="BY40" s="203" t="e">
        <f>VLOOKUP($A40,INICIO_BARRA!$A$6:$R$130,17,FALSE)</f>
        <v>#N/A</v>
      </c>
      <c r="BZ40" s="203" t="e">
        <f>VLOOKUP($A40,INICIO_BARRA!$A$6:$R$130,18,FALSE)</f>
        <v>#N/A</v>
      </c>
      <c r="CA40" s="156"/>
      <c r="CB40" s="94" t="str">
        <f>IFERROR(IFERROR(IF(CA40&gt;0,"",CA40*VLOOKUP($A40,'VALOR I.'!$B$6:$K$418,10,FALSE)),"")*$C40,"")</f>
        <v/>
      </c>
    </row>
    <row r="41" spans="1:80" s="7" customFormat="1" ht="30" customHeight="1" x14ac:dyDescent="0.3">
      <c r="A41" s="3" t="s">
        <v>207</v>
      </c>
      <c r="B41" s="301" t="s">
        <v>61</v>
      </c>
      <c r="C41" s="135">
        <v>1</v>
      </c>
      <c r="D41" s="203">
        <f>VLOOKUP($A41,INICIO_BARRA!$A$6:$R$130,3,FALSE)</f>
        <v>0</v>
      </c>
      <c r="E41" s="203">
        <f>VLOOKUP($A41,INICIO_BARRA!$A$6:$R$130,4,FALSE)</f>
        <v>0</v>
      </c>
      <c r="F41" s="203">
        <f>IFERROR(VLOOKUP($A41,REPOSICIONES_BARRA!$A$6:$I$130,3,FALSE),"")</f>
        <v>0</v>
      </c>
      <c r="G41" s="315">
        <f t="shared" si="14"/>
        <v>0</v>
      </c>
      <c r="H41" s="316">
        <f t="shared" si="15"/>
        <v>0</v>
      </c>
      <c r="I41" s="317">
        <f>IFERROR(IFERROR(VLOOKUP($A41,VENTAS!$H$2:$O$201,2,FALSE),"")/$C41,"")</f>
        <v>0</v>
      </c>
      <c r="J41" s="318">
        <f t="shared" ref="J41:J73" si="28">IFERROR(G41-I41,"")</f>
        <v>0</v>
      </c>
      <c r="K41" s="203">
        <f>VLOOKUP($A41,INICIO_BARRA!$A$6:$R$130,5,FALSE)</f>
        <v>29</v>
      </c>
      <c r="L41" s="203">
        <f>VLOOKUP($A41,INICIO_BARRA!$A$6:$R$130,6,FALSE)</f>
        <v>0</v>
      </c>
      <c r="M41" s="319">
        <f t="shared" ref="M41:M73" si="29">IFERROR(K41-J41,"")</f>
        <v>29</v>
      </c>
      <c r="N41" s="204" t="str">
        <f>IFERROR(IFERROR(IF(M41&gt;0,"",M41*VLOOKUP($A41,'VALOR I.'!$B$6:$K$418,10,FALSE)),"")*$C41,"")</f>
        <v/>
      </c>
      <c r="O41" s="203">
        <f>VLOOKUP($A41,INICIO_BARRA!$A$6:$R$130,5,FALSE)</f>
        <v>29</v>
      </c>
      <c r="P41" s="203">
        <f>VLOOKUP($A41,INICIO_BARRA!$A$6:$R$130,6,FALSE)</f>
        <v>0</v>
      </c>
      <c r="Q41" s="203">
        <f>IFERROR(VLOOKUP($A41,REPOSICIONES_BARRA!$A$6:$I$130,4,FALSE),"")</f>
        <v>6</v>
      </c>
      <c r="R41" s="315">
        <f t="shared" si="2"/>
        <v>35</v>
      </c>
      <c r="S41" s="316">
        <f t="shared" si="3"/>
        <v>0</v>
      </c>
      <c r="T41" s="317">
        <f>IFERROR(IFERROR(VLOOKUP($A41,VENTAS!$H$2:$O$201,3,FALSE),"")/$C41,"")</f>
        <v>2</v>
      </c>
      <c r="U41" s="318">
        <f t="shared" ref="U41:U43" si="30">IFERROR(R41-T41,"")</f>
        <v>33</v>
      </c>
      <c r="V41" s="203">
        <f>VLOOKUP($A41,INICIO_BARRA!$A$6:$R$130,7,FALSE)</f>
        <v>30</v>
      </c>
      <c r="W41" s="203">
        <f>VLOOKUP($A41,INICIO_BARRA!$A$6:$R$130,8,FALSE)</f>
        <v>0</v>
      </c>
      <c r="X41" s="319">
        <f t="shared" ref="X41:X43" si="31">IFERROR(V41-U41,"")</f>
        <v>-3</v>
      </c>
      <c r="Y41" s="204">
        <f>IFERROR(IFERROR(IF(X41&gt;0,"",X41*VLOOKUP($A41,'VALOR I.'!$B$6:$K$418,10,FALSE)),"")*$C41,"")</f>
        <v>-1993.0500000000002</v>
      </c>
      <c r="Z41" s="203">
        <f>VLOOKUP($A41,INICIO_BARRA!$A$6:$R$130,7,FALSE)</f>
        <v>30</v>
      </c>
      <c r="AA41" s="203">
        <f>VLOOKUP($A41,INICIO_BARRA!$A$6:$R$130,8,FALSE)</f>
        <v>0</v>
      </c>
      <c r="AB41" s="203">
        <f>IFERROR(VLOOKUP($A41,REPOSICIONES_BARRA!$A$6:$I$130,5,FALSE),"")</f>
        <v>6</v>
      </c>
      <c r="AC41" s="315">
        <f t="shared" si="4"/>
        <v>36</v>
      </c>
      <c r="AD41" s="316">
        <f t="shared" si="5"/>
        <v>0</v>
      </c>
      <c r="AE41" s="317">
        <f>IFERROR(IFERROR(VLOOKUP($A41,VENTAS!$H$2:$O$201,4,FALSE),"")/$C41,"")</f>
        <v>0</v>
      </c>
      <c r="AF41" s="318">
        <f t="shared" ref="AF41:AF43" si="32">IFERROR(AC41-AE41,"")</f>
        <v>36</v>
      </c>
      <c r="AG41" s="203">
        <f>VLOOKUP($A41,INICIO_BARRA!$A$6:$R$130,9,FALSE)</f>
        <v>27</v>
      </c>
      <c r="AH41" s="203">
        <f>VLOOKUP($A41,INICIO_BARRA!$A$6:$R$130,10,FALSE)</f>
        <v>0</v>
      </c>
      <c r="AI41" s="319">
        <f t="shared" ref="AI41:AI43" si="33">IFERROR(AG41-AF41,"")</f>
        <v>-9</v>
      </c>
      <c r="AJ41" s="204">
        <f>IFERROR(IFERROR(IF(AI41&gt;0,"",AI41*VLOOKUP($A41,'VALOR I.'!$B$6:$K$418,10,FALSE)),"")*$C41,"")</f>
        <v>-5979.1500000000005</v>
      </c>
      <c r="AK41" s="203">
        <f>VLOOKUP($A41,INICIO_BARRA!$A$6:$R$130,9,FALSE)</f>
        <v>27</v>
      </c>
      <c r="AL41" s="203">
        <f>VLOOKUP($A41,INICIO_BARRA!$A$6:$R$130,10,FALSE)</f>
        <v>0</v>
      </c>
      <c r="AM41" s="203">
        <f>IFERROR(VLOOKUP($A41,REPOSICIONES_BARRA!$A$6:$I$130,6,FALSE),"")</f>
        <v>6</v>
      </c>
      <c r="AN41" s="315">
        <f t="shared" si="6"/>
        <v>33</v>
      </c>
      <c r="AO41" s="316">
        <f t="shared" si="7"/>
        <v>0</v>
      </c>
      <c r="AP41" s="317">
        <f>IFERROR(IFERROR(VLOOKUP($A41,VENTAS!$H$2:$O$201,5,FALSE),"")/$C41,"")</f>
        <v>6</v>
      </c>
      <c r="AQ41" s="318">
        <f t="shared" ref="AQ41:AQ43" si="34">IFERROR(AN41-AP41,"")</f>
        <v>27</v>
      </c>
      <c r="AR41" s="203">
        <f>VLOOKUP($A41,INICIO_BARRA!$A$6:$R$130,11,FALSE)</f>
        <v>17</v>
      </c>
      <c r="AS41" s="203">
        <f>VLOOKUP($A41,INICIO_BARRA!$A$6:$R$130,12,FALSE)</f>
        <v>0</v>
      </c>
      <c r="AT41" s="319">
        <f t="shared" ref="AT41:AT43" si="35">IFERROR(AR41-AQ41,"")</f>
        <v>-10</v>
      </c>
      <c r="AU41" s="204">
        <f>IFERROR(IFERROR(IF(AT41&gt;0,"",AT41*VLOOKUP($A41,'VALOR I.'!$B$6:$K$418,10,FALSE)),"")*$C41,"")</f>
        <v>-6643.5</v>
      </c>
      <c r="AV41" s="203">
        <f>VLOOKUP($A41,INICIO_BARRA!$A$6:$R$130,11,FALSE)</f>
        <v>17</v>
      </c>
      <c r="AW41" s="203">
        <f>VLOOKUP($A41,INICIO_BARRA!$A$6:$R$130,12,FALSE)</f>
        <v>0</v>
      </c>
      <c r="AX41" s="203">
        <f>IFERROR(VLOOKUP($A41,REPOSICIONES_BARRA!$A$6:$I$130,7,FALSE),"")</f>
        <v>18</v>
      </c>
      <c r="AY41" s="315">
        <f t="shared" si="8"/>
        <v>35</v>
      </c>
      <c r="AZ41" s="316">
        <f t="shared" si="9"/>
        <v>0</v>
      </c>
      <c r="BA41" s="317">
        <f>IFERROR(IFERROR(VLOOKUP($A41,VENTAS!$H$2:$O$201,6,FALSE),"")/$C41,"")</f>
        <v>9</v>
      </c>
      <c r="BB41" s="318">
        <f t="shared" ref="BB41:BB43" si="36">IFERROR(AY41-BA41,"")</f>
        <v>26</v>
      </c>
      <c r="BC41" s="203">
        <f>VLOOKUP($A41,INICIO_BARRA!$A$6:$R$130,13,FALSE)</f>
        <v>20</v>
      </c>
      <c r="BD41" s="203">
        <f>VLOOKUP($A41,INICIO_BARRA!$A$6:$R$130,14,FALSE)</f>
        <v>0</v>
      </c>
      <c r="BE41" s="319">
        <f t="shared" ref="BE41:BE43" si="37">IFERROR(BC41-BB41,"")</f>
        <v>-6</v>
      </c>
      <c r="BF41" s="204">
        <f>IFERROR(IFERROR(IF(BE41&gt;0,"",BE41*VLOOKUP($A41,'VALOR I.'!$B$6:$K$418,10,FALSE)),"")*$C41,"")</f>
        <v>-3986.1000000000004</v>
      </c>
      <c r="BG41" s="203">
        <f>VLOOKUP($A41,INICIO_BARRA!$A$6:$R$130,13,FALSE)</f>
        <v>20</v>
      </c>
      <c r="BH41" s="203">
        <f>VLOOKUP($A41,INICIO_BARRA!$A$6:$R$130,14,FALSE)</f>
        <v>0</v>
      </c>
      <c r="BI41" s="203">
        <f>IFERROR(VLOOKUP($A41,REPOSICIONES_BARRA!$A$6:$I$130,8,FALSE),"")</f>
        <v>12</v>
      </c>
      <c r="BJ41" s="315">
        <f t="shared" si="10"/>
        <v>32</v>
      </c>
      <c r="BK41" s="316">
        <f t="shared" si="11"/>
        <v>0</v>
      </c>
      <c r="BL41" s="317">
        <f>IFERROR(IFERROR(VLOOKUP($A41,VENTAS!$H$2:$O$201,7,FALSE),"")/$C41,"")</f>
        <v>1</v>
      </c>
      <c r="BM41" s="318">
        <f t="shared" ref="BM41:BM43" si="38">IFERROR(BJ41-BL41,"")</f>
        <v>31</v>
      </c>
      <c r="BN41" s="203">
        <f>VLOOKUP($A41,INICIO_BARRA!$A$6:$R$130,15,FALSE)</f>
        <v>20</v>
      </c>
      <c r="BO41" s="203">
        <f>VLOOKUP($A41,INICIO_BARRA!$A$6:$R$130,16,FALSE)</f>
        <v>0</v>
      </c>
      <c r="BP41" s="319">
        <f t="shared" ref="BP41:BP43" si="39">IFERROR(BN41-BM41,"")</f>
        <v>-11</v>
      </c>
      <c r="BQ41" s="204">
        <f>IFERROR(IFERROR(IF(BP41&gt;0,"",BP41*VLOOKUP($A41,'VALOR I.'!$B$6:$K$418,10,FALSE)),"")*$C41,"")</f>
        <v>-7307.85</v>
      </c>
      <c r="BR41" s="203"/>
      <c r="BS41" s="203"/>
      <c r="BT41" s="203"/>
      <c r="BU41" s="315"/>
      <c r="BV41" s="316"/>
      <c r="BW41" s="317"/>
      <c r="BX41" s="318"/>
      <c r="BY41" s="203"/>
      <c r="BZ41" s="203"/>
      <c r="CA41" s="319"/>
      <c r="CB41" s="204"/>
    </row>
    <row r="42" spans="1:80" s="7" customFormat="1" ht="30" customHeight="1" x14ac:dyDescent="0.3">
      <c r="A42" s="3" t="s">
        <v>206</v>
      </c>
      <c r="B42" s="302" t="s">
        <v>62</v>
      </c>
      <c r="C42" s="135">
        <v>1</v>
      </c>
      <c r="D42" s="203">
        <f>VLOOKUP($A42,INICIO_BARRA!$A$6:$R$130,3,FALSE)</f>
        <v>0</v>
      </c>
      <c r="E42" s="203">
        <f>VLOOKUP($A42,INICIO_BARRA!$A$6:$R$130,4,FALSE)</f>
        <v>0</v>
      </c>
      <c r="F42" s="203">
        <f>IFERROR(VLOOKUP($A42,REPOSICIONES_BARRA!$A$6:$I$130,3,FALSE),"")</f>
        <v>0</v>
      </c>
      <c r="G42" s="315">
        <f t="shared" si="14"/>
        <v>0</v>
      </c>
      <c r="H42" s="316">
        <f t="shared" si="15"/>
        <v>0</v>
      </c>
      <c r="I42" s="317">
        <f>IFERROR(IFERROR(VLOOKUP($A42,VENTAS!$H$2:$O$201,2,FALSE),"")/$C42,"")</f>
        <v>0</v>
      </c>
      <c r="J42" s="318">
        <f t="shared" si="28"/>
        <v>0</v>
      </c>
      <c r="K42" s="203">
        <f>VLOOKUP($A42,INICIO_BARRA!$A$6:$R$130,5,FALSE)</f>
        <v>32</v>
      </c>
      <c r="L42" s="203">
        <f>VLOOKUP($A42,INICIO_BARRA!$A$6:$R$130,6,FALSE)</f>
        <v>0</v>
      </c>
      <c r="M42" s="319">
        <f t="shared" si="29"/>
        <v>32</v>
      </c>
      <c r="N42" s="204" t="str">
        <f>IFERROR(IFERROR(IF(M42&gt;0,"",M42*VLOOKUP($A42,'VALOR I.'!$B$6:$K$418,10,FALSE)),"")*$C42,"")</f>
        <v/>
      </c>
      <c r="O42" s="203">
        <f>VLOOKUP($A42,INICIO_BARRA!$A$6:$R$130,5,FALSE)</f>
        <v>32</v>
      </c>
      <c r="P42" s="203">
        <f>VLOOKUP($A42,INICIO_BARRA!$A$6:$R$130,6,FALSE)</f>
        <v>0</v>
      </c>
      <c r="Q42" s="203">
        <f>IFERROR(VLOOKUP($A42,REPOSICIONES_BARRA!$A$6:$I$130,4,FALSE),"")</f>
        <v>4</v>
      </c>
      <c r="R42" s="315">
        <f t="shared" si="2"/>
        <v>36</v>
      </c>
      <c r="S42" s="316">
        <f t="shared" si="3"/>
        <v>0</v>
      </c>
      <c r="T42" s="317">
        <f>IFERROR(IFERROR(VLOOKUP($A42,VENTAS!$H$2:$O$201,3,FALSE),"")/$C42,"")</f>
        <v>0</v>
      </c>
      <c r="U42" s="318">
        <f t="shared" si="30"/>
        <v>36</v>
      </c>
      <c r="V42" s="203">
        <f>VLOOKUP($A42,INICIO_BARRA!$A$6:$R$130,7,FALSE)</f>
        <v>35</v>
      </c>
      <c r="W42" s="203">
        <f>VLOOKUP($A42,INICIO_BARRA!$A$6:$R$130,8,FALSE)</f>
        <v>0</v>
      </c>
      <c r="X42" s="319">
        <f t="shared" si="31"/>
        <v>-1</v>
      </c>
      <c r="Y42" s="204">
        <f>IFERROR(IFERROR(IF(X42&gt;0,"",X42*VLOOKUP($A42,'VALOR I.'!$B$6:$K$418,10,FALSE)),"")*$C42,"")</f>
        <v>-302.76300000000003</v>
      </c>
      <c r="Z42" s="203">
        <f>VLOOKUP($A42,INICIO_BARRA!$A$6:$R$130,7,FALSE)</f>
        <v>35</v>
      </c>
      <c r="AA42" s="203">
        <f>VLOOKUP($A42,INICIO_BARRA!$A$6:$R$130,8,FALSE)</f>
        <v>0</v>
      </c>
      <c r="AB42" s="203">
        <f>IFERROR(VLOOKUP($A42,REPOSICIONES_BARRA!$A$6:$I$130,5,FALSE),"")</f>
        <v>0</v>
      </c>
      <c r="AC42" s="315">
        <f t="shared" si="4"/>
        <v>35</v>
      </c>
      <c r="AD42" s="316">
        <f t="shared" si="5"/>
        <v>0</v>
      </c>
      <c r="AE42" s="317">
        <f>IFERROR(IFERROR(VLOOKUP($A42,VENTAS!$H$2:$O$201,4,FALSE),"")/$C42,"")</f>
        <v>0</v>
      </c>
      <c r="AF42" s="318">
        <f t="shared" si="32"/>
        <v>35</v>
      </c>
      <c r="AG42" s="203">
        <f>VLOOKUP($A42,INICIO_BARRA!$A$6:$R$130,9,FALSE)</f>
        <v>35</v>
      </c>
      <c r="AH42" s="203">
        <f>VLOOKUP($A42,INICIO_BARRA!$A$6:$R$130,10,FALSE)</f>
        <v>0</v>
      </c>
      <c r="AI42" s="319">
        <f t="shared" si="33"/>
        <v>0</v>
      </c>
      <c r="AJ42" s="204">
        <f>IFERROR(IFERROR(IF(AI42&gt;0,"",AI42*VLOOKUP($A42,'VALOR I.'!$B$6:$K$418,10,FALSE)),"")*$C42,"")</f>
        <v>0</v>
      </c>
      <c r="AK42" s="203">
        <f>VLOOKUP($A42,INICIO_BARRA!$A$6:$R$130,9,FALSE)</f>
        <v>35</v>
      </c>
      <c r="AL42" s="203">
        <f>VLOOKUP($A42,INICIO_BARRA!$A$6:$R$130,10,FALSE)</f>
        <v>0</v>
      </c>
      <c r="AM42" s="203">
        <f>IFERROR(VLOOKUP($A42,REPOSICIONES_BARRA!$A$6:$I$130,6,FALSE),"")</f>
        <v>0</v>
      </c>
      <c r="AN42" s="315">
        <f t="shared" si="6"/>
        <v>35</v>
      </c>
      <c r="AO42" s="316">
        <f t="shared" si="7"/>
        <v>0</v>
      </c>
      <c r="AP42" s="317">
        <f>IFERROR(IFERROR(VLOOKUP($A42,VENTAS!$H$2:$O$201,5,FALSE),"")/$C42,"")</f>
        <v>0</v>
      </c>
      <c r="AQ42" s="318">
        <f t="shared" si="34"/>
        <v>35</v>
      </c>
      <c r="AR42" s="203">
        <f>VLOOKUP($A42,INICIO_BARRA!$A$6:$R$130,11,FALSE)</f>
        <v>33</v>
      </c>
      <c r="AS42" s="203">
        <f>VLOOKUP($A42,INICIO_BARRA!$A$6:$R$130,12,FALSE)</f>
        <v>0</v>
      </c>
      <c r="AT42" s="319">
        <f t="shared" si="35"/>
        <v>-2</v>
      </c>
      <c r="AU42" s="204">
        <f>IFERROR(IFERROR(IF(AT42&gt;0,"",AT42*VLOOKUP($A42,'VALOR I.'!$B$6:$K$418,10,FALSE)),"")*$C42,"")</f>
        <v>-605.52600000000007</v>
      </c>
      <c r="AV42" s="203">
        <f>VLOOKUP($A42,INICIO_BARRA!$A$6:$R$130,11,FALSE)</f>
        <v>33</v>
      </c>
      <c r="AW42" s="203">
        <f>VLOOKUP($A42,INICIO_BARRA!$A$6:$R$130,12,FALSE)</f>
        <v>0</v>
      </c>
      <c r="AX42" s="203">
        <f>IFERROR(VLOOKUP($A42,REPOSICIONES_BARRA!$A$6:$I$130,7,FALSE),"")</f>
        <v>0</v>
      </c>
      <c r="AY42" s="315">
        <f t="shared" si="8"/>
        <v>33</v>
      </c>
      <c r="AZ42" s="316">
        <f t="shared" si="9"/>
        <v>0</v>
      </c>
      <c r="BA42" s="317">
        <f>IFERROR(IFERROR(VLOOKUP($A42,VENTAS!$H$2:$O$201,6,FALSE),"")/$C42,"")</f>
        <v>2</v>
      </c>
      <c r="BB42" s="318">
        <f t="shared" si="36"/>
        <v>31</v>
      </c>
      <c r="BC42" s="203">
        <f>VLOOKUP($A42,INICIO_BARRA!$A$6:$R$130,13,FALSE)</f>
        <v>27</v>
      </c>
      <c r="BD42" s="203">
        <f>VLOOKUP($A42,INICIO_BARRA!$A$6:$R$130,14,FALSE)</f>
        <v>0</v>
      </c>
      <c r="BE42" s="319">
        <f t="shared" si="37"/>
        <v>-4</v>
      </c>
      <c r="BF42" s="204">
        <f>IFERROR(IFERROR(IF(BE42&gt;0,"",BE42*VLOOKUP($A42,'VALOR I.'!$B$6:$K$418,10,FALSE)),"")*$C42,"")</f>
        <v>-1211.0520000000001</v>
      </c>
      <c r="BG42" s="203">
        <f>VLOOKUP($A42,INICIO_BARRA!$A$6:$R$130,13,FALSE)</f>
        <v>27</v>
      </c>
      <c r="BH42" s="203">
        <f>VLOOKUP($A42,INICIO_BARRA!$A$6:$R$130,14,FALSE)</f>
        <v>0</v>
      </c>
      <c r="BI42" s="203">
        <f>IFERROR(VLOOKUP($A42,REPOSICIONES_BARRA!$A$6:$I$130,8,FALSE),"")</f>
        <v>8</v>
      </c>
      <c r="BJ42" s="315">
        <f t="shared" si="10"/>
        <v>35</v>
      </c>
      <c r="BK42" s="316">
        <f t="shared" si="11"/>
        <v>0</v>
      </c>
      <c r="BL42" s="317">
        <f>IFERROR(IFERROR(VLOOKUP($A42,VENTAS!$H$2:$O$201,7,FALSE),"")/$C42,"")</f>
        <v>2</v>
      </c>
      <c r="BM42" s="318">
        <f t="shared" si="38"/>
        <v>33</v>
      </c>
      <c r="BN42" s="203">
        <f>VLOOKUP($A42,INICIO_BARRA!$A$6:$R$130,15,FALSE)</f>
        <v>33</v>
      </c>
      <c r="BO42" s="203">
        <f>VLOOKUP($A42,INICIO_BARRA!$A$6:$R$130,16,FALSE)</f>
        <v>0</v>
      </c>
      <c r="BP42" s="319">
        <f t="shared" si="39"/>
        <v>0</v>
      </c>
      <c r="BQ42" s="204">
        <f>IFERROR(IFERROR(IF(BP42&gt;0,"",BP42*VLOOKUP($A42,'VALOR I.'!$B$6:$K$418,10,FALSE)),"")*$C42,"")</f>
        <v>0</v>
      </c>
      <c r="BR42" s="203"/>
      <c r="BS42" s="203"/>
      <c r="BT42" s="203"/>
      <c r="BU42" s="315"/>
      <c r="BV42" s="316"/>
      <c r="BW42" s="317"/>
      <c r="BX42" s="318"/>
      <c r="BY42" s="203"/>
      <c r="BZ42" s="203"/>
      <c r="CA42" s="319"/>
      <c r="CB42" s="204"/>
    </row>
    <row r="43" spans="1:80" s="7" customFormat="1" ht="30" customHeight="1" x14ac:dyDescent="0.3">
      <c r="A43" s="3" t="s">
        <v>208</v>
      </c>
      <c r="B43" s="303" t="s">
        <v>63</v>
      </c>
      <c r="C43" s="135">
        <v>1</v>
      </c>
      <c r="D43" s="203">
        <f>VLOOKUP($A43,INICIO_BARRA!$A$6:$R$130,3,FALSE)</f>
        <v>0</v>
      </c>
      <c r="E43" s="203">
        <f>VLOOKUP($A43,INICIO_BARRA!$A$6:$R$130,4,FALSE)</f>
        <v>0</v>
      </c>
      <c r="F43" s="203">
        <f>IFERROR(VLOOKUP($A43,REPOSICIONES_BARRA!$A$6:$I$130,3,FALSE),"")</f>
        <v>0</v>
      </c>
      <c r="G43" s="315">
        <f t="shared" si="14"/>
        <v>0</v>
      </c>
      <c r="H43" s="316">
        <f t="shared" si="15"/>
        <v>0</v>
      </c>
      <c r="I43" s="317">
        <f>IFERROR(IFERROR(VLOOKUP($A43,VENTAS!$H$2:$O$201,2,FALSE),"")/$C43,"")</f>
        <v>0</v>
      </c>
      <c r="J43" s="318">
        <f t="shared" si="28"/>
        <v>0</v>
      </c>
      <c r="K43" s="203">
        <f>VLOOKUP($A43,INICIO_BARRA!$A$6:$R$130,5,FALSE)</f>
        <v>32</v>
      </c>
      <c r="L43" s="203">
        <f>VLOOKUP($A43,INICIO_BARRA!$A$6:$R$130,6,FALSE)</f>
        <v>0</v>
      </c>
      <c r="M43" s="319">
        <f t="shared" si="29"/>
        <v>32</v>
      </c>
      <c r="N43" s="204" t="str">
        <f>IFERROR(IFERROR(IF(M43&gt;0,"",M43*VLOOKUP($A43,'VALOR I.'!$B$6:$K$418,10,FALSE)),"")*$C43,"")</f>
        <v/>
      </c>
      <c r="O43" s="203">
        <f>VLOOKUP($A43,INICIO_BARRA!$A$6:$R$130,5,FALSE)</f>
        <v>32</v>
      </c>
      <c r="P43" s="203">
        <f>VLOOKUP($A43,INICIO_BARRA!$A$6:$R$130,6,FALSE)</f>
        <v>0</v>
      </c>
      <c r="Q43" s="203">
        <f>IFERROR(VLOOKUP($A43,REPOSICIONES_BARRA!$A$6:$I$130,4,FALSE),"")</f>
        <v>6</v>
      </c>
      <c r="R43" s="315">
        <f t="shared" si="2"/>
        <v>38</v>
      </c>
      <c r="S43" s="316">
        <f t="shared" si="3"/>
        <v>0</v>
      </c>
      <c r="T43" s="317">
        <f>IFERROR(IFERROR(VLOOKUP($A43,VENTAS!$H$2:$O$201,3,FALSE),"")/$C43,"")</f>
        <v>0</v>
      </c>
      <c r="U43" s="318">
        <f t="shared" si="30"/>
        <v>38</v>
      </c>
      <c r="V43" s="203">
        <f>VLOOKUP($A43,INICIO_BARRA!$A$6:$R$130,7,FALSE)</f>
        <v>30</v>
      </c>
      <c r="W43" s="203">
        <f>VLOOKUP($A43,INICIO_BARRA!$A$6:$R$130,8,FALSE)</f>
        <v>0</v>
      </c>
      <c r="X43" s="319">
        <f t="shared" si="31"/>
        <v>-8</v>
      </c>
      <c r="Y43" s="204">
        <f>IFERROR(IFERROR(IF(X43&gt;0,"",X43*VLOOKUP($A43,'VALOR I.'!$B$6:$K$418,10,FALSE)),"")*$C43,"")</f>
        <v>-5313.9743999999992</v>
      </c>
      <c r="Z43" s="203">
        <f>VLOOKUP($A43,INICIO_BARRA!$A$6:$R$130,7,FALSE)</f>
        <v>30</v>
      </c>
      <c r="AA43" s="203">
        <f>VLOOKUP($A43,INICIO_BARRA!$A$6:$R$130,8,FALSE)</f>
        <v>0</v>
      </c>
      <c r="AB43" s="203">
        <f>IFERROR(VLOOKUP($A43,REPOSICIONES_BARRA!$A$6:$I$130,5,FALSE),"")</f>
        <v>6</v>
      </c>
      <c r="AC43" s="315">
        <f t="shared" si="4"/>
        <v>36</v>
      </c>
      <c r="AD43" s="316">
        <f t="shared" si="5"/>
        <v>0</v>
      </c>
      <c r="AE43" s="317">
        <f>IFERROR(IFERROR(VLOOKUP($A43,VENTAS!$H$2:$O$201,4,FALSE),"")/$C43,"")</f>
        <v>1</v>
      </c>
      <c r="AF43" s="318">
        <f t="shared" si="32"/>
        <v>35</v>
      </c>
      <c r="AG43" s="203">
        <f>VLOOKUP($A43,INICIO_BARRA!$A$6:$R$130,9,FALSE)</f>
        <v>32</v>
      </c>
      <c r="AH43" s="203">
        <f>VLOOKUP($A43,INICIO_BARRA!$A$6:$R$130,10,FALSE)</f>
        <v>0</v>
      </c>
      <c r="AI43" s="319">
        <f t="shared" si="33"/>
        <v>-3</v>
      </c>
      <c r="AJ43" s="204">
        <f>IFERROR(IFERROR(IF(AI43&gt;0,"",AI43*VLOOKUP($A43,'VALOR I.'!$B$6:$K$418,10,FALSE)),"")*$C43,"")</f>
        <v>-1992.7403999999997</v>
      </c>
      <c r="AK43" s="203">
        <f>VLOOKUP($A43,INICIO_BARRA!$A$6:$R$130,9,FALSE)</f>
        <v>32</v>
      </c>
      <c r="AL43" s="203">
        <f>VLOOKUP($A43,INICIO_BARRA!$A$6:$R$130,10,FALSE)</f>
        <v>0</v>
      </c>
      <c r="AM43" s="203">
        <f>IFERROR(VLOOKUP($A43,REPOSICIONES_BARRA!$A$6:$I$130,6,FALSE),"")</f>
        <v>12</v>
      </c>
      <c r="AN43" s="315">
        <f t="shared" si="6"/>
        <v>44</v>
      </c>
      <c r="AO43" s="316">
        <f t="shared" si="7"/>
        <v>0</v>
      </c>
      <c r="AP43" s="317">
        <f>IFERROR(IFERROR(VLOOKUP($A43,VENTAS!$H$2:$O$201,5,FALSE),"")/$C43,"")</f>
        <v>1</v>
      </c>
      <c r="AQ43" s="318">
        <f t="shared" si="34"/>
        <v>43</v>
      </c>
      <c r="AR43" s="203">
        <f>VLOOKUP($A43,INICIO_BARRA!$A$6:$R$130,11,FALSE)</f>
        <v>35</v>
      </c>
      <c r="AS43" s="203">
        <f>VLOOKUP($A43,INICIO_BARRA!$A$6:$R$130,12,FALSE)</f>
        <v>0</v>
      </c>
      <c r="AT43" s="319">
        <f t="shared" si="35"/>
        <v>-8</v>
      </c>
      <c r="AU43" s="204">
        <f>IFERROR(IFERROR(IF(AT43&gt;0,"",AT43*VLOOKUP($A43,'VALOR I.'!$B$6:$K$418,10,FALSE)),"")*$C43,"")</f>
        <v>-5313.9743999999992</v>
      </c>
      <c r="AV43" s="203">
        <f>VLOOKUP($A43,INICIO_BARRA!$A$6:$R$130,11,FALSE)</f>
        <v>35</v>
      </c>
      <c r="AW43" s="203">
        <f>VLOOKUP($A43,INICIO_BARRA!$A$6:$R$130,12,FALSE)</f>
        <v>0</v>
      </c>
      <c r="AX43" s="203">
        <f>IFERROR(VLOOKUP($A43,REPOSICIONES_BARRA!$A$6:$I$130,7,FALSE),"")</f>
        <v>0</v>
      </c>
      <c r="AY43" s="315">
        <f t="shared" si="8"/>
        <v>35</v>
      </c>
      <c r="AZ43" s="316">
        <f t="shared" si="9"/>
        <v>0</v>
      </c>
      <c r="BA43" s="317">
        <f>IFERROR(IFERROR(VLOOKUP($A43,VENTAS!$H$2:$O$201,6,FALSE),"")/$C43,"")</f>
        <v>7</v>
      </c>
      <c r="BB43" s="318">
        <f t="shared" si="36"/>
        <v>28</v>
      </c>
      <c r="BC43" s="203">
        <f>VLOOKUP($A43,INICIO_BARRA!$A$6:$R$130,13,FALSE)</f>
        <v>21</v>
      </c>
      <c r="BD43" s="203">
        <f>VLOOKUP($A43,INICIO_BARRA!$A$6:$R$130,14,FALSE)</f>
        <v>0</v>
      </c>
      <c r="BE43" s="319">
        <f t="shared" si="37"/>
        <v>-7</v>
      </c>
      <c r="BF43" s="204">
        <f>IFERROR(IFERROR(IF(BE43&gt;0,"",BE43*VLOOKUP($A43,'VALOR I.'!$B$6:$K$418,10,FALSE)),"")*$C43,"")</f>
        <v>-4649.7275999999993</v>
      </c>
      <c r="BG43" s="203">
        <f>VLOOKUP($A43,INICIO_BARRA!$A$6:$R$130,13,FALSE)</f>
        <v>21</v>
      </c>
      <c r="BH43" s="203">
        <f>VLOOKUP($A43,INICIO_BARRA!$A$6:$R$130,14,FALSE)</f>
        <v>0</v>
      </c>
      <c r="BI43" s="203">
        <f>IFERROR(VLOOKUP($A43,REPOSICIONES_BARRA!$A$6:$I$130,8,FALSE),"")</f>
        <v>12</v>
      </c>
      <c r="BJ43" s="315">
        <f t="shared" si="10"/>
        <v>33</v>
      </c>
      <c r="BK43" s="316">
        <f t="shared" si="11"/>
        <v>0</v>
      </c>
      <c r="BL43" s="317">
        <f>IFERROR(IFERROR(VLOOKUP($A43,VENTAS!$H$2:$O$201,7,FALSE),"")/$C43,"")</f>
        <v>6</v>
      </c>
      <c r="BM43" s="318">
        <f t="shared" si="38"/>
        <v>27</v>
      </c>
      <c r="BN43" s="203">
        <f>VLOOKUP($A43,INICIO_BARRA!$A$6:$R$130,15,FALSE)</f>
        <v>27</v>
      </c>
      <c r="BO43" s="203">
        <f>VLOOKUP($A43,INICIO_BARRA!$A$6:$R$130,16,FALSE)</f>
        <v>0</v>
      </c>
      <c r="BP43" s="319">
        <f t="shared" si="39"/>
        <v>0</v>
      </c>
      <c r="BQ43" s="204">
        <f>IFERROR(IFERROR(IF(BP43&gt;0,"",BP43*VLOOKUP($A43,'VALOR I.'!$B$6:$K$418,10,FALSE)),"")*$C43,"")</f>
        <v>0</v>
      </c>
      <c r="BR43" s="203"/>
      <c r="BS43" s="203"/>
      <c r="BT43" s="203"/>
      <c r="BU43" s="315"/>
      <c r="BV43" s="316"/>
      <c r="BW43" s="317"/>
      <c r="BX43" s="318"/>
      <c r="BY43" s="203"/>
      <c r="BZ43" s="203"/>
      <c r="CA43" s="319"/>
      <c r="CB43" s="204"/>
    </row>
    <row r="44" spans="1:80" s="7" customFormat="1" ht="30" hidden="1" customHeight="1" x14ac:dyDescent="0.45">
      <c r="A44" s="3"/>
      <c r="B44" s="51"/>
      <c r="C44" s="135"/>
      <c r="D44" s="203" t="e">
        <f>VLOOKUP($A44,INICIO_BARRA!$A$6:$R$130,3,FALSE)</f>
        <v>#N/A</v>
      </c>
      <c r="E44" s="203" t="e">
        <f>VLOOKUP($A44,INICIO_BARRA!$A$6:$R$130,4,FALSE)</f>
        <v>#N/A</v>
      </c>
      <c r="F44" s="203" t="str">
        <f>IFERROR(VLOOKUP($A44,REPOSICIONES_BARRA!$A$6:$I$130,3,FALSE),"")</f>
        <v/>
      </c>
      <c r="G44" s="315" t="e">
        <f t="shared" si="14"/>
        <v>#N/A</v>
      </c>
      <c r="H44" s="316" t="e">
        <f t="shared" si="15"/>
        <v>#N/A</v>
      </c>
      <c r="I44" s="317" t="str">
        <f>IFERROR(IFERROR(VLOOKUP($A44,VENTAS!$H$2:$O$201,2,FALSE),"")/$C44,"")</f>
        <v/>
      </c>
      <c r="J44" s="111"/>
      <c r="K44" s="203" t="e">
        <f>VLOOKUP($A44,INICIO_BARRA!$A$6:$R$130,5,FALSE)</f>
        <v>#N/A</v>
      </c>
      <c r="L44" s="203" t="e">
        <f>VLOOKUP($A44,INICIO_BARRA!$A$6:$R$130,6,FALSE)</f>
        <v>#N/A</v>
      </c>
      <c r="M44" s="156"/>
      <c r="N44" s="204" t="str">
        <f>IFERROR(IFERROR(IF(M44&gt;0,"",M44*VLOOKUP($A44,'VALOR I.'!$B$6:$K$418,10,FALSE)),"")*$C44,"")</f>
        <v/>
      </c>
      <c r="O44" s="203" t="e">
        <f>VLOOKUP($A44,INICIO_BARRA!$A$6:$R$130,5,FALSE)</f>
        <v>#N/A</v>
      </c>
      <c r="P44" s="203" t="e">
        <f>VLOOKUP($A44,INICIO_BARRA!$A$6:$R$130,6,FALSE)</f>
        <v>#N/A</v>
      </c>
      <c r="Q44" s="203" t="str">
        <f>IFERROR(VLOOKUP($A44,REPOSICIONES_BARRA!$A$6:$I$130,4,FALSE),"")</f>
        <v/>
      </c>
      <c r="R44" s="315" t="e">
        <f t="shared" si="2"/>
        <v>#N/A</v>
      </c>
      <c r="S44" s="316" t="e">
        <f t="shared" si="3"/>
        <v>#N/A</v>
      </c>
      <c r="T44" s="317" t="str">
        <f>IFERROR(IFERROR(VLOOKUP($A44,VENTAS!$H$2:$O$201,3,FALSE),"")/$C44,"")</f>
        <v/>
      </c>
      <c r="U44" s="111"/>
      <c r="V44" s="203" t="e">
        <f>VLOOKUP($A44,INICIO_BARRA!$A$6:$R$130,7,FALSE)</f>
        <v>#N/A</v>
      </c>
      <c r="W44" s="203" t="e">
        <f>VLOOKUP($A44,INICIO_BARRA!$A$6:$R$130,8,FALSE)</f>
        <v>#N/A</v>
      </c>
      <c r="X44" s="156"/>
      <c r="Y44" s="204" t="str">
        <f>IFERROR(IFERROR(IF(X44&gt;0,"",X44*VLOOKUP($A44,'VALOR I.'!$B$6:$K$418,10,FALSE)),"")*$C44,"")</f>
        <v/>
      </c>
      <c r="Z44" s="203" t="e">
        <f>VLOOKUP($A44,INICIO_BARRA!$A$6:$R$130,7,FALSE)</f>
        <v>#N/A</v>
      </c>
      <c r="AA44" s="203" t="e">
        <f>VLOOKUP($A44,INICIO_BARRA!$A$6:$R$130,8,FALSE)</f>
        <v>#N/A</v>
      </c>
      <c r="AB44" s="203" t="str">
        <f>IFERROR(VLOOKUP($A44,REPOSICIONES_BARRA!$A$6:$I$130,5,FALSE),"")</f>
        <v/>
      </c>
      <c r="AC44" s="315" t="e">
        <f t="shared" si="4"/>
        <v>#N/A</v>
      </c>
      <c r="AD44" s="316" t="e">
        <f t="shared" si="5"/>
        <v>#N/A</v>
      </c>
      <c r="AE44" s="317" t="str">
        <f>IFERROR(IFERROR(VLOOKUP($A44,VENTAS!$H$2:$O$201,4,FALSE),"")/$C44,"")</f>
        <v/>
      </c>
      <c r="AF44" s="111"/>
      <c r="AG44" s="203" t="e">
        <f>VLOOKUP($A44,INICIO_BARRA!$A$6:$R$130,9,FALSE)</f>
        <v>#N/A</v>
      </c>
      <c r="AH44" s="203" t="e">
        <f>VLOOKUP($A44,INICIO_BARRA!$A$6:$R$130,10,FALSE)</f>
        <v>#N/A</v>
      </c>
      <c r="AI44" s="156"/>
      <c r="AJ44" s="94" t="str">
        <f>IFERROR(IFERROR(IF(AI44&gt;0,"",AI44*VLOOKUP($A44,'VALOR I.'!$B$6:$K$418,10,FALSE)),"")*$C44,"")</f>
        <v/>
      </c>
      <c r="AK44" s="203" t="e">
        <f>VLOOKUP($A44,INICIO_BARRA!$A$6:$R$130,9,FALSE)</f>
        <v>#N/A</v>
      </c>
      <c r="AL44" s="203" t="e">
        <f>VLOOKUP($A44,INICIO_BARRA!$A$6:$R$130,10,FALSE)</f>
        <v>#N/A</v>
      </c>
      <c r="AM44" s="203" t="str">
        <f>IFERROR(VLOOKUP($A44,REPOSICIONES_BARRA!$A$6:$I$130,6,FALSE),"")</f>
        <v/>
      </c>
      <c r="AN44" s="315" t="e">
        <f t="shared" si="6"/>
        <v>#N/A</v>
      </c>
      <c r="AO44" s="316" t="e">
        <f t="shared" si="7"/>
        <v>#N/A</v>
      </c>
      <c r="AP44" s="317" t="str">
        <f>IFERROR(IFERROR(VLOOKUP($A44,VENTAS!$H$2:$O$201,5,FALSE),"")/$C44,"")</f>
        <v/>
      </c>
      <c r="AQ44" s="111"/>
      <c r="AR44" s="203" t="e">
        <f>VLOOKUP($A44,INICIO_BARRA!$A$6:$R$130,11,FALSE)</f>
        <v>#N/A</v>
      </c>
      <c r="AS44" s="203" t="e">
        <f>VLOOKUP($A44,INICIO_BARRA!$A$6:$R$130,12,FALSE)</f>
        <v>#N/A</v>
      </c>
      <c r="AT44" s="156"/>
      <c r="AU44" s="94" t="str">
        <f>IFERROR(IFERROR(IF(AT44&gt;0,"",AT44*VLOOKUP($A44,'VALOR I.'!$B$6:$K$418,10,FALSE)),"")*$C44,"")</f>
        <v/>
      </c>
      <c r="AV44" s="203" t="e">
        <f>VLOOKUP($A44,INICIO_BARRA!$A$6:$R$130,11,FALSE)</f>
        <v>#N/A</v>
      </c>
      <c r="AW44" s="203" t="e">
        <f>VLOOKUP($A44,INICIO_BARRA!$A$6:$R$130,12,FALSE)</f>
        <v>#N/A</v>
      </c>
      <c r="AX44" s="203" t="str">
        <f>IFERROR(VLOOKUP($A44,REPOSICIONES_BARRA!$A$6:$I$130,7,FALSE),"")</f>
        <v/>
      </c>
      <c r="AY44" s="315" t="e">
        <f t="shared" si="8"/>
        <v>#N/A</v>
      </c>
      <c r="AZ44" s="316" t="e">
        <f t="shared" si="9"/>
        <v>#N/A</v>
      </c>
      <c r="BA44" s="317" t="str">
        <f>IFERROR(IFERROR(VLOOKUP($A44,VENTAS!$H$2:$O$201,6,FALSE),"")/$C44,"")</f>
        <v/>
      </c>
      <c r="BB44" s="111"/>
      <c r="BC44" s="203" t="e">
        <f>VLOOKUP($A44,INICIO_BARRA!$A$6:$R$130,13,FALSE)</f>
        <v>#N/A</v>
      </c>
      <c r="BD44" s="203" t="e">
        <f>VLOOKUP($A44,INICIO_BARRA!$A$6:$R$130,14,FALSE)</f>
        <v>#N/A</v>
      </c>
      <c r="BE44" s="156"/>
      <c r="BF44" s="94" t="str">
        <f>IFERROR(IFERROR(IF(BE44&gt;0,"",BE44*VLOOKUP($A44,'VALOR I.'!$B$6:$K$418,10,FALSE)),"")*$C44,"")</f>
        <v/>
      </c>
      <c r="BG44" s="203" t="e">
        <f>VLOOKUP($A44,INICIO_BARRA!$A$6:$R$130,13,FALSE)</f>
        <v>#N/A</v>
      </c>
      <c r="BH44" s="203" t="e">
        <f>VLOOKUP($A44,INICIO_BARRA!$A$6:$R$130,14,FALSE)</f>
        <v>#N/A</v>
      </c>
      <c r="BI44" s="203" t="str">
        <f>IFERROR(VLOOKUP($A44,REPOSICIONES_BARRA!$A$6:$I$130,8,FALSE),"")</f>
        <v/>
      </c>
      <c r="BJ44" s="315" t="e">
        <f t="shared" si="10"/>
        <v>#N/A</v>
      </c>
      <c r="BK44" s="316" t="e">
        <f t="shared" si="11"/>
        <v>#N/A</v>
      </c>
      <c r="BL44" s="317" t="str">
        <f>IFERROR(IFERROR(VLOOKUP($A44,VENTAS!$H$2:$O$201,7,FALSE),"")/$C44,"")</f>
        <v/>
      </c>
      <c r="BM44" s="111"/>
      <c r="BN44" s="203" t="e">
        <f>VLOOKUP($A44,INICIO_BARRA!$A$6:$R$130,15,FALSE)</f>
        <v>#N/A</v>
      </c>
      <c r="BO44" s="203" t="e">
        <f>VLOOKUP($A44,INICIO_BARRA!$A$6:$R$130,16,FALSE)</f>
        <v>#N/A</v>
      </c>
      <c r="BP44" s="156"/>
      <c r="BQ44" s="94" t="str">
        <f>IFERROR(IFERROR(IF(BP44&gt;0,"",BP44*VLOOKUP($A44,'VALOR I.'!$B$6:$K$418,10,FALSE)),"")*$C44,"")</f>
        <v/>
      </c>
      <c r="BR44" s="203" t="e">
        <f>VLOOKUP($A44,INICIO_BARRA!$A$6:$R$130,15,FALSE)</f>
        <v>#N/A</v>
      </c>
      <c r="BS44" s="203" t="e">
        <f>VLOOKUP($A44,INICIO_BARRA!$A$6:$R$130,16,FALSE)</f>
        <v>#N/A</v>
      </c>
      <c r="BT44" s="203" t="str">
        <f>IFERROR(VLOOKUP($A44,REPOSICIONES_BARRA!$A$6:$I$130,9,FALSE),"")</f>
        <v/>
      </c>
      <c r="BU44" s="315" t="e">
        <f t="shared" si="12"/>
        <v>#N/A</v>
      </c>
      <c r="BV44" s="316" t="e">
        <f t="shared" si="13"/>
        <v>#N/A</v>
      </c>
      <c r="BW44" s="317" t="str">
        <f>IFERROR(IFERROR(VLOOKUP($A44,VENTAS!$H$2:$O$201,8,FALSE),"")/$C44,"")</f>
        <v/>
      </c>
      <c r="BX44" s="111"/>
      <c r="BY44" s="203" t="e">
        <f>VLOOKUP($A44,INICIO_BARRA!$A$6:$R$130,17,FALSE)</f>
        <v>#N/A</v>
      </c>
      <c r="BZ44" s="203" t="e">
        <f>VLOOKUP($A44,INICIO_BARRA!$A$6:$R$130,18,FALSE)</f>
        <v>#N/A</v>
      </c>
      <c r="CA44" s="156"/>
      <c r="CB44" s="94" t="str">
        <f>IFERROR(IFERROR(IF(CA44&gt;0,"",CA44*VLOOKUP($A44,'VALOR I.'!$B$6:$K$418,10,FALSE)),"")*$C44,"")</f>
        <v/>
      </c>
    </row>
    <row r="45" spans="1:80" s="7" customFormat="1" ht="30" customHeight="1" x14ac:dyDescent="0.3">
      <c r="A45" s="3" t="s">
        <v>211</v>
      </c>
      <c r="B45" s="302" t="s">
        <v>64</v>
      </c>
      <c r="C45" s="135">
        <v>1</v>
      </c>
      <c r="D45" s="203">
        <f>VLOOKUP($A45,INICIO_BARRA!$A$6:$R$130,3,FALSE)</f>
        <v>0</v>
      </c>
      <c r="E45" s="203">
        <f>VLOOKUP($A45,INICIO_BARRA!$A$6:$R$130,4,FALSE)</f>
        <v>0</v>
      </c>
      <c r="F45" s="203">
        <f>IFERROR(VLOOKUP($A45,REPOSICIONES_BARRA!$A$6:$I$130,3,FALSE),"")</f>
        <v>0</v>
      </c>
      <c r="G45" s="315">
        <f t="shared" si="14"/>
        <v>0</v>
      </c>
      <c r="H45" s="316">
        <f t="shared" si="15"/>
        <v>0</v>
      </c>
      <c r="I45" s="317">
        <f>IFERROR(IFERROR(VLOOKUP($A45,VENTAS!$H$2:$O$201,2,FALSE),"")/$C45,"")</f>
        <v>0</v>
      </c>
      <c r="J45" s="318">
        <f t="shared" si="28"/>
        <v>0</v>
      </c>
      <c r="K45" s="203">
        <f>VLOOKUP($A45,INICIO_BARRA!$A$6:$R$130,5,FALSE)</f>
        <v>32</v>
      </c>
      <c r="L45" s="203">
        <f>VLOOKUP($A45,INICIO_BARRA!$A$6:$R$130,6,FALSE)</f>
        <v>0</v>
      </c>
      <c r="M45" s="319">
        <f t="shared" si="29"/>
        <v>32</v>
      </c>
      <c r="N45" s="204" t="str">
        <f>IFERROR(IFERROR(IF(M45&gt;0,"",M45*VLOOKUP($A45,'VALOR I.'!$B$6:$K$418,10,FALSE)),"")*$C45,"")</f>
        <v/>
      </c>
      <c r="O45" s="203">
        <f>VLOOKUP($A45,INICIO_BARRA!$A$6:$R$130,5,FALSE)</f>
        <v>32</v>
      </c>
      <c r="P45" s="203">
        <f>VLOOKUP($A45,INICIO_BARRA!$A$6:$R$130,6,FALSE)</f>
        <v>0</v>
      </c>
      <c r="Q45" s="203">
        <f>IFERROR(VLOOKUP($A45,REPOSICIONES_BARRA!$A$6:$I$130,4,FALSE),"")</f>
        <v>6</v>
      </c>
      <c r="R45" s="315">
        <f t="shared" si="2"/>
        <v>38</v>
      </c>
      <c r="S45" s="316">
        <f t="shared" si="3"/>
        <v>0</v>
      </c>
      <c r="T45" s="317">
        <f>IFERROR(IFERROR(VLOOKUP($A45,VENTAS!$H$2:$O$201,3,FALSE),"")/$C45,"")</f>
        <v>6</v>
      </c>
      <c r="U45" s="318">
        <f t="shared" ref="U45:U46" si="40">IFERROR(R45-T45,"")</f>
        <v>32</v>
      </c>
      <c r="V45" s="203">
        <f>VLOOKUP($A45,INICIO_BARRA!$A$6:$R$130,7,FALSE)</f>
        <v>27</v>
      </c>
      <c r="W45" s="203">
        <f>VLOOKUP($A45,INICIO_BARRA!$A$6:$R$130,8,FALSE)</f>
        <v>0</v>
      </c>
      <c r="X45" s="319">
        <f t="shared" ref="X45:X46" si="41">IFERROR(V45-U45,"")</f>
        <v>-5</v>
      </c>
      <c r="Y45" s="204">
        <f>IFERROR(IFERROR(IF(X45&gt;0,"",X45*VLOOKUP($A45,'VALOR I.'!$B$6:$K$418,10,FALSE)),"")*$C45,"")</f>
        <v>-3321.2339999999995</v>
      </c>
      <c r="Z45" s="203">
        <f>VLOOKUP($A45,INICIO_BARRA!$A$6:$R$130,7,FALSE)</f>
        <v>27</v>
      </c>
      <c r="AA45" s="203">
        <f>VLOOKUP($A45,INICIO_BARRA!$A$6:$R$130,8,FALSE)</f>
        <v>0</v>
      </c>
      <c r="AB45" s="203">
        <f>IFERROR(VLOOKUP($A45,REPOSICIONES_BARRA!$A$6:$I$130,5,FALSE),"")</f>
        <v>0</v>
      </c>
      <c r="AC45" s="315">
        <f t="shared" si="4"/>
        <v>27</v>
      </c>
      <c r="AD45" s="316">
        <f t="shared" si="5"/>
        <v>0</v>
      </c>
      <c r="AE45" s="317">
        <f>IFERROR(IFERROR(VLOOKUP($A45,VENTAS!$H$2:$O$201,4,FALSE),"")/$C45,"")</f>
        <v>2</v>
      </c>
      <c r="AF45" s="318">
        <f t="shared" ref="AF45:AF46" si="42">IFERROR(AC45-AE45,"")</f>
        <v>25</v>
      </c>
      <c r="AG45" s="203">
        <f>VLOOKUP($A45,INICIO_BARRA!$A$6:$R$130,9,FALSE)</f>
        <v>30</v>
      </c>
      <c r="AH45" s="203">
        <f>VLOOKUP($A45,INICIO_BARRA!$A$6:$R$130,10,FALSE)</f>
        <v>0</v>
      </c>
      <c r="AI45" s="319">
        <f t="shared" ref="AI45:AI46" si="43">IFERROR(AG45-AF45,"")</f>
        <v>5</v>
      </c>
      <c r="AJ45" s="204" t="str">
        <f>IFERROR(IFERROR(IF(AI45&gt;0,"",AI45*VLOOKUP($A45,'VALOR I.'!$B$6:$K$418,10,FALSE)),"")*$C45,"")</f>
        <v/>
      </c>
      <c r="AK45" s="203">
        <f>VLOOKUP($A45,INICIO_BARRA!$A$6:$R$130,9,FALSE)</f>
        <v>30</v>
      </c>
      <c r="AL45" s="203">
        <f>VLOOKUP($A45,INICIO_BARRA!$A$6:$R$130,10,FALSE)</f>
        <v>0</v>
      </c>
      <c r="AM45" s="203">
        <f>IFERROR(VLOOKUP($A45,REPOSICIONES_BARRA!$A$6:$I$130,6,FALSE),"")</f>
        <v>6</v>
      </c>
      <c r="AN45" s="315">
        <f t="shared" si="6"/>
        <v>36</v>
      </c>
      <c r="AO45" s="316">
        <f t="shared" si="7"/>
        <v>0</v>
      </c>
      <c r="AP45" s="317">
        <f>IFERROR(IFERROR(VLOOKUP($A45,VENTAS!$H$2:$O$201,5,FALSE),"")/$C45,"")</f>
        <v>13</v>
      </c>
      <c r="AQ45" s="318">
        <f t="shared" ref="AQ45:AQ46" si="44">IFERROR(AN45-AP45,"")</f>
        <v>23</v>
      </c>
      <c r="AR45" s="203">
        <f>VLOOKUP($A45,INICIO_BARRA!$A$6:$R$130,11,FALSE)</f>
        <v>17</v>
      </c>
      <c r="AS45" s="203">
        <f>VLOOKUP($A45,INICIO_BARRA!$A$6:$R$130,12,FALSE)</f>
        <v>0</v>
      </c>
      <c r="AT45" s="319">
        <f t="shared" ref="AT45:AT46" si="45">IFERROR(AR45-AQ45,"")</f>
        <v>-6</v>
      </c>
      <c r="AU45" s="204">
        <f>IFERROR(IFERROR(IF(AT45&gt;0,"",AT45*VLOOKUP($A45,'VALOR I.'!$B$6:$K$418,10,FALSE)),"")*$C45,"")</f>
        <v>-3985.4807999999994</v>
      </c>
      <c r="AV45" s="203">
        <f>VLOOKUP($A45,INICIO_BARRA!$A$6:$R$130,11,FALSE)</f>
        <v>17</v>
      </c>
      <c r="AW45" s="203">
        <f>VLOOKUP($A45,INICIO_BARRA!$A$6:$R$130,12,FALSE)</f>
        <v>0</v>
      </c>
      <c r="AX45" s="203">
        <f>IFERROR(VLOOKUP($A45,REPOSICIONES_BARRA!$A$6:$I$130,7,FALSE),"")</f>
        <v>18</v>
      </c>
      <c r="AY45" s="315">
        <f t="shared" si="8"/>
        <v>35</v>
      </c>
      <c r="AZ45" s="316">
        <f t="shared" si="9"/>
        <v>0</v>
      </c>
      <c r="BA45" s="317">
        <f>IFERROR(IFERROR(VLOOKUP($A45,VENTAS!$H$2:$O$201,6,FALSE),"")/$C45,"")</f>
        <v>18</v>
      </c>
      <c r="BB45" s="318">
        <f t="shared" ref="BB45:BB46" si="46">IFERROR(AY45-BA45,"")</f>
        <v>17</v>
      </c>
      <c r="BC45" s="203">
        <f>VLOOKUP($A45,INICIO_BARRA!$A$6:$R$130,13,FALSE)</f>
        <v>16</v>
      </c>
      <c r="BD45" s="203">
        <f>VLOOKUP($A45,INICIO_BARRA!$A$6:$R$130,14,FALSE)</f>
        <v>0</v>
      </c>
      <c r="BE45" s="319">
        <f t="shared" ref="BE45:BE46" si="47">IFERROR(BC45-BB45,"")</f>
        <v>-1</v>
      </c>
      <c r="BF45" s="204">
        <f>IFERROR(IFERROR(IF(BE45&gt;0,"",BE45*VLOOKUP($A45,'VALOR I.'!$B$6:$K$418,10,FALSE)),"")*$C45,"")</f>
        <v>-664.24679999999989</v>
      </c>
      <c r="BG45" s="203">
        <f>VLOOKUP($A45,INICIO_BARRA!$A$6:$R$130,13,FALSE)</f>
        <v>16</v>
      </c>
      <c r="BH45" s="203">
        <f>VLOOKUP($A45,INICIO_BARRA!$A$6:$R$130,14,FALSE)</f>
        <v>0</v>
      </c>
      <c r="BI45" s="203">
        <f>IFERROR(VLOOKUP($A45,REPOSICIONES_BARRA!$A$6:$I$130,8,FALSE),"")</f>
        <v>18</v>
      </c>
      <c r="BJ45" s="315">
        <f t="shared" si="10"/>
        <v>34</v>
      </c>
      <c r="BK45" s="316">
        <f t="shared" si="11"/>
        <v>0</v>
      </c>
      <c r="BL45" s="317">
        <f>IFERROR(IFERROR(VLOOKUP($A45,VENTAS!$H$2:$O$201,7,FALSE),"")/$C45,"")</f>
        <v>2</v>
      </c>
      <c r="BM45" s="318">
        <f t="shared" ref="BM45:BM46" si="48">IFERROR(BJ45-BL45,"")</f>
        <v>32</v>
      </c>
      <c r="BN45" s="203">
        <f>VLOOKUP($A45,INICIO_BARRA!$A$6:$R$130,15,FALSE)</f>
        <v>25</v>
      </c>
      <c r="BO45" s="203">
        <f>VLOOKUP($A45,INICIO_BARRA!$A$6:$R$130,16,FALSE)</f>
        <v>0</v>
      </c>
      <c r="BP45" s="319">
        <f t="shared" ref="BP45:BP46" si="49">IFERROR(BN45-BM45,"")</f>
        <v>-7</v>
      </c>
      <c r="BQ45" s="204">
        <f>IFERROR(IFERROR(IF(BP45&gt;0,"",BP45*VLOOKUP($A45,'VALOR I.'!$B$6:$K$418,10,FALSE)),"")*$C45,"")</f>
        <v>-4649.7275999999993</v>
      </c>
      <c r="BR45" s="203"/>
      <c r="BS45" s="203"/>
      <c r="BT45" s="203"/>
      <c r="BU45" s="315"/>
      <c r="BV45" s="316"/>
      <c r="BW45" s="317"/>
      <c r="BX45" s="318"/>
      <c r="BY45" s="203"/>
      <c r="BZ45" s="203"/>
      <c r="CA45" s="319"/>
      <c r="CB45" s="204"/>
    </row>
    <row r="46" spans="1:80" s="7" customFormat="1" ht="30" customHeight="1" x14ac:dyDescent="0.3">
      <c r="A46" s="3" t="s">
        <v>210</v>
      </c>
      <c r="B46" s="304" t="s">
        <v>65</v>
      </c>
      <c r="C46" s="135">
        <v>1</v>
      </c>
      <c r="D46" s="203">
        <f>VLOOKUP($A46,INICIO_BARRA!$A$6:$R$130,3,FALSE)</f>
        <v>0</v>
      </c>
      <c r="E46" s="203">
        <f>VLOOKUP($A46,INICIO_BARRA!$A$6:$R$130,4,FALSE)</f>
        <v>0</v>
      </c>
      <c r="F46" s="203">
        <f>IFERROR(VLOOKUP($A46,REPOSICIONES_BARRA!$A$6:$I$130,3,FALSE),"")</f>
        <v>0</v>
      </c>
      <c r="G46" s="315">
        <f t="shared" si="14"/>
        <v>0</v>
      </c>
      <c r="H46" s="316">
        <f t="shared" si="15"/>
        <v>0</v>
      </c>
      <c r="I46" s="317">
        <f>IFERROR(IFERROR(VLOOKUP($A46,VENTAS!$H$2:$O$201,2,FALSE),"")/$C46,"")</f>
        <v>0</v>
      </c>
      <c r="J46" s="318">
        <f t="shared" si="28"/>
        <v>0</v>
      </c>
      <c r="K46" s="203">
        <f>VLOOKUP($A46,INICIO_BARRA!$A$6:$R$130,5,FALSE)</f>
        <v>29</v>
      </c>
      <c r="L46" s="203">
        <f>VLOOKUP($A46,INICIO_BARRA!$A$6:$R$130,6,FALSE)</f>
        <v>0</v>
      </c>
      <c r="M46" s="319">
        <f t="shared" si="29"/>
        <v>29</v>
      </c>
      <c r="N46" s="204" t="str">
        <f>IFERROR(IFERROR(IF(M46&gt;0,"",M46*VLOOKUP($A46,'VALOR I.'!$B$6:$K$418,10,FALSE)),"")*$C46,"")</f>
        <v/>
      </c>
      <c r="O46" s="203">
        <f>VLOOKUP($A46,INICIO_BARRA!$A$6:$R$130,5,FALSE)</f>
        <v>29</v>
      </c>
      <c r="P46" s="203">
        <f>VLOOKUP($A46,INICIO_BARRA!$A$6:$R$130,6,FALSE)</f>
        <v>0</v>
      </c>
      <c r="Q46" s="203">
        <f>IFERROR(VLOOKUP($A46,REPOSICIONES_BARRA!$A$6:$I$130,4,FALSE),"")</f>
        <v>4</v>
      </c>
      <c r="R46" s="315">
        <f t="shared" si="2"/>
        <v>33</v>
      </c>
      <c r="S46" s="316">
        <f t="shared" si="3"/>
        <v>0</v>
      </c>
      <c r="T46" s="317">
        <f>IFERROR(IFERROR(VLOOKUP($A46,VENTAS!$H$2:$O$201,3,FALSE),"")/$C46,"")</f>
        <v>5</v>
      </c>
      <c r="U46" s="318">
        <f t="shared" si="40"/>
        <v>28</v>
      </c>
      <c r="V46" s="203">
        <f>VLOOKUP($A46,INICIO_BARRA!$A$6:$R$130,7,FALSE)</f>
        <v>25</v>
      </c>
      <c r="W46" s="203">
        <f>VLOOKUP($A46,INICIO_BARRA!$A$6:$R$130,8,FALSE)</f>
        <v>0</v>
      </c>
      <c r="X46" s="319">
        <f t="shared" si="41"/>
        <v>-3</v>
      </c>
      <c r="Y46" s="204">
        <f>IFERROR(IFERROR(IF(X46&gt;0,"",X46*VLOOKUP($A46,'VALOR I.'!$B$6:$K$418,10,FALSE)),"")*$C46,"")</f>
        <v>-952.21350000000007</v>
      </c>
      <c r="Z46" s="203">
        <f>VLOOKUP($A46,INICIO_BARRA!$A$6:$R$130,7,FALSE)</f>
        <v>25</v>
      </c>
      <c r="AA46" s="203">
        <f>VLOOKUP($A46,INICIO_BARRA!$A$6:$R$130,8,FALSE)</f>
        <v>0</v>
      </c>
      <c r="AB46" s="203">
        <f>IFERROR(VLOOKUP($A46,REPOSICIONES_BARRA!$A$6:$I$130,5,FALSE),"")</f>
        <v>0</v>
      </c>
      <c r="AC46" s="315">
        <f t="shared" si="4"/>
        <v>25</v>
      </c>
      <c r="AD46" s="316">
        <f t="shared" si="5"/>
        <v>0</v>
      </c>
      <c r="AE46" s="317">
        <f>IFERROR(IFERROR(VLOOKUP($A46,VENTAS!$H$2:$O$201,4,FALSE),"")/$C46,"")</f>
        <v>4</v>
      </c>
      <c r="AF46" s="318">
        <f t="shared" si="42"/>
        <v>21</v>
      </c>
      <c r="AG46" s="203">
        <f>VLOOKUP($A46,INICIO_BARRA!$A$6:$R$130,9,FALSE)</f>
        <v>23</v>
      </c>
      <c r="AH46" s="203">
        <f>VLOOKUP($A46,INICIO_BARRA!$A$6:$R$130,10,FALSE)</f>
        <v>0</v>
      </c>
      <c r="AI46" s="319">
        <f t="shared" si="43"/>
        <v>2</v>
      </c>
      <c r="AJ46" s="204" t="str">
        <f>IFERROR(IFERROR(IF(AI46&gt;0,"",AI46*VLOOKUP($A46,'VALOR I.'!$B$6:$K$418,10,FALSE)),"")*$C46,"")</f>
        <v/>
      </c>
      <c r="AK46" s="203">
        <f>VLOOKUP($A46,INICIO_BARRA!$A$6:$R$130,9,FALSE)</f>
        <v>23</v>
      </c>
      <c r="AL46" s="203">
        <f>VLOOKUP($A46,INICIO_BARRA!$A$6:$R$130,10,FALSE)</f>
        <v>0</v>
      </c>
      <c r="AM46" s="203">
        <f>IFERROR(VLOOKUP($A46,REPOSICIONES_BARRA!$A$6:$I$130,6,FALSE),"")</f>
        <v>12</v>
      </c>
      <c r="AN46" s="315">
        <f t="shared" si="6"/>
        <v>35</v>
      </c>
      <c r="AO46" s="316">
        <f t="shared" si="7"/>
        <v>0</v>
      </c>
      <c r="AP46" s="317">
        <f>IFERROR(IFERROR(VLOOKUP($A46,VENTAS!$H$2:$O$201,5,FALSE),"")/$C46,"")</f>
        <v>1</v>
      </c>
      <c r="AQ46" s="318">
        <f t="shared" si="44"/>
        <v>34</v>
      </c>
      <c r="AR46" s="203">
        <f>VLOOKUP($A46,INICIO_BARRA!$A$6:$R$130,11,FALSE)</f>
        <v>34</v>
      </c>
      <c r="AS46" s="203">
        <f>VLOOKUP($A46,INICIO_BARRA!$A$6:$R$130,12,FALSE)</f>
        <v>0</v>
      </c>
      <c r="AT46" s="319">
        <f t="shared" si="45"/>
        <v>0</v>
      </c>
      <c r="AU46" s="204">
        <f>IFERROR(IFERROR(IF(AT46&gt;0,"",AT46*VLOOKUP($A46,'VALOR I.'!$B$6:$K$418,10,FALSE)),"")*$C46,"")</f>
        <v>0</v>
      </c>
      <c r="AV46" s="203">
        <f>VLOOKUP($A46,INICIO_BARRA!$A$6:$R$130,11,FALSE)</f>
        <v>34</v>
      </c>
      <c r="AW46" s="203">
        <f>VLOOKUP($A46,INICIO_BARRA!$A$6:$R$130,12,FALSE)</f>
        <v>0</v>
      </c>
      <c r="AX46" s="203">
        <f>IFERROR(VLOOKUP($A46,REPOSICIONES_BARRA!$A$6:$I$130,7,FALSE),"")</f>
        <v>0</v>
      </c>
      <c r="AY46" s="315">
        <f t="shared" si="8"/>
        <v>34</v>
      </c>
      <c r="AZ46" s="316">
        <f t="shared" si="9"/>
        <v>0</v>
      </c>
      <c r="BA46" s="317">
        <f>IFERROR(IFERROR(VLOOKUP($A46,VENTAS!$H$2:$O$201,6,FALSE),"")/$C46,"")</f>
        <v>10</v>
      </c>
      <c r="BB46" s="318">
        <f t="shared" si="46"/>
        <v>24</v>
      </c>
      <c r="BC46" s="203">
        <f>VLOOKUP($A46,INICIO_BARRA!$A$6:$R$130,13,FALSE)</f>
        <v>28</v>
      </c>
      <c r="BD46" s="203">
        <f>VLOOKUP($A46,INICIO_BARRA!$A$6:$R$130,14,FALSE)</f>
        <v>0</v>
      </c>
      <c r="BE46" s="319">
        <f t="shared" si="47"/>
        <v>4</v>
      </c>
      <c r="BF46" s="204" t="str">
        <f>IFERROR(IFERROR(IF(BE46&gt;0,"",BE46*VLOOKUP($A46,'VALOR I.'!$B$6:$K$418,10,FALSE)),"")*$C46,"")</f>
        <v/>
      </c>
      <c r="BG46" s="203">
        <f>VLOOKUP($A46,INICIO_BARRA!$A$6:$R$130,13,FALSE)</f>
        <v>28</v>
      </c>
      <c r="BH46" s="203">
        <f>VLOOKUP($A46,INICIO_BARRA!$A$6:$R$130,14,FALSE)</f>
        <v>0</v>
      </c>
      <c r="BI46" s="203">
        <f>IFERROR(VLOOKUP($A46,REPOSICIONES_BARRA!$A$6:$I$130,8,FALSE),"")</f>
        <v>8</v>
      </c>
      <c r="BJ46" s="315">
        <f t="shared" si="10"/>
        <v>36</v>
      </c>
      <c r="BK46" s="316">
        <f t="shared" si="11"/>
        <v>0</v>
      </c>
      <c r="BL46" s="317">
        <f>IFERROR(IFERROR(VLOOKUP($A46,VENTAS!$H$2:$O$201,7,FALSE),"")/$C46,"")</f>
        <v>20</v>
      </c>
      <c r="BM46" s="318">
        <f t="shared" si="48"/>
        <v>16</v>
      </c>
      <c r="BN46" s="203">
        <f>VLOOKUP($A46,INICIO_BARRA!$A$6:$R$130,15,FALSE)</f>
        <v>16</v>
      </c>
      <c r="BO46" s="203">
        <f>VLOOKUP($A46,INICIO_BARRA!$A$6:$R$130,16,FALSE)</f>
        <v>0</v>
      </c>
      <c r="BP46" s="319">
        <f t="shared" si="49"/>
        <v>0</v>
      </c>
      <c r="BQ46" s="204">
        <f>IFERROR(IFERROR(IF(BP46&gt;0,"",BP46*VLOOKUP($A46,'VALOR I.'!$B$6:$K$418,10,FALSE)),"")*$C46,"")</f>
        <v>0</v>
      </c>
      <c r="BR46" s="203"/>
      <c r="BS46" s="203"/>
      <c r="BT46" s="203"/>
      <c r="BU46" s="315"/>
      <c r="BV46" s="316"/>
      <c r="BW46" s="317"/>
      <c r="BX46" s="318"/>
      <c r="BY46" s="203"/>
      <c r="BZ46" s="203"/>
      <c r="CA46" s="319"/>
      <c r="CB46" s="204"/>
    </row>
    <row r="47" spans="1:80" s="7" customFormat="1" ht="30" hidden="1" customHeight="1" x14ac:dyDescent="0.3">
      <c r="A47" s="3"/>
      <c r="B47" s="52"/>
      <c r="C47" s="135"/>
      <c r="D47" s="203" t="e">
        <f>VLOOKUP($A47,INICIO_BARRA!$A$6:$R$130,3,FALSE)</f>
        <v>#N/A</v>
      </c>
      <c r="E47" s="203" t="e">
        <f>VLOOKUP($A47,INICIO_BARRA!$A$6:$R$130,4,FALSE)</f>
        <v>#N/A</v>
      </c>
      <c r="F47" s="203" t="str">
        <f>IFERROR(VLOOKUP($A47,REPOSICIONES_BARRA!$A$6:$I$130,3,FALSE),"")</f>
        <v/>
      </c>
      <c r="G47" s="315" t="e">
        <f t="shared" si="14"/>
        <v>#N/A</v>
      </c>
      <c r="H47" s="316" t="e">
        <f t="shared" si="15"/>
        <v>#N/A</v>
      </c>
      <c r="I47" s="317" t="str">
        <f>IFERROR(IFERROR(VLOOKUP($A47,VENTAS!$H$2:$O$201,2,FALSE),"")/$C47,"")</f>
        <v/>
      </c>
      <c r="J47" s="111"/>
      <c r="K47" s="203" t="e">
        <f>VLOOKUP($A47,INICIO_BARRA!$A$6:$R$130,5,FALSE)</f>
        <v>#N/A</v>
      </c>
      <c r="L47" s="203" t="e">
        <f>VLOOKUP($A47,INICIO_BARRA!$A$6:$R$130,6,FALSE)</f>
        <v>#N/A</v>
      </c>
      <c r="M47" s="156"/>
      <c r="N47" s="204" t="str">
        <f>IFERROR(IFERROR(IF(M47&gt;0,"",M47*VLOOKUP($A47,'VALOR I.'!$B$6:$K$418,10,FALSE)),"")*$C47,"")</f>
        <v/>
      </c>
      <c r="O47" s="203" t="e">
        <f>VLOOKUP($A47,INICIO_BARRA!$A$6:$R$130,5,FALSE)</f>
        <v>#N/A</v>
      </c>
      <c r="P47" s="203" t="e">
        <f>VLOOKUP($A47,INICIO_BARRA!$A$6:$R$130,6,FALSE)</f>
        <v>#N/A</v>
      </c>
      <c r="Q47" s="203" t="str">
        <f>IFERROR(VLOOKUP($A47,REPOSICIONES_BARRA!$A$6:$I$130,4,FALSE),"")</f>
        <v/>
      </c>
      <c r="R47" s="315" t="e">
        <f t="shared" si="2"/>
        <v>#N/A</v>
      </c>
      <c r="S47" s="316" t="e">
        <f t="shared" si="3"/>
        <v>#N/A</v>
      </c>
      <c r="T47" s="317" t="str">
        <f>IFERROR(IFERROR(VLOOKUP($A47,VENTAS!$H$2:$O$201,3,FALSE),"")/$C47,"")</f>
        <v/>
      </c>
      <c r="U47" s="111"/>
      <c r="V47" s="203" t="e">
        <f>VLOOKUP($A47,INICIO_BARRA!$A$6:$R$130,7,FALSE)</f>
        <v>#N/A</v>
      </c>
      <c r="W47" s="203" t="e">
        <f>VLOOKUP($A47,INICIO_BARRA!$A$6:$R$130,8,FALSE)</f>
        <v>#N/A</v>
      </c>
      <c r="X47" s="156"/>
      <c r="Y47" s="204" t="str">
        <f>IFERROR(IFERROR(IF(X47&gt;0,"",X47*VLOOKUP($A47,'VALOR I.'!$B$6:$K$418,10,FALSE)),"")*$C47,"")</f>
        <v/>
      </c>
      <c r="Z47" s="203" t="e">
        <f>VLOOKUP($A47,INICIO_BARRA!$A$6:$R$130,7,FALSE)</f>
        <v>#N/A</v>
      </c>
      <c r="AA47" s="203" t="e">
        <f>VLOOKUP($A47,INICIO_BARRA!$A$6:$R$130,8,FALSE)</f>
        <v>#N/A</v>
      </c>
      <c r="AB47" s="203" t="str">
        <f>IFERROR(VLOOKUP($A47,REPOSICIONES_BARRA!$A$6:$I$130,5,FALSE),"")</f>
        <v/>
      </c>
      <c r="AC47" s="315" t="e">
        <f t="shared" si="4"/>
        <v>#N/A</v>
      </c>
      <c r="AD47" s="316" t="e">
        <f t="shared" si="5"/>
        <v>#N/A</v>
      </c>
      <c r="AE47" s="317" t="str">
        <f>IFERROR(IFERROR(VLOOKUP($A47,VENTAS!$H$2:$O$201,4,FALSE),"")/$C47,"")</f>
        <v/>
      </c>
      <c r="AF47" s="111"/>
      <c r="AG47" s="203" t="e">
        <f>VLOOKUP($A47,INICIO_BARRA!$A$6:$R$130,9,FALSE)</f>
        <v>#N/A</v>
      </c>
      <c r="AH47" s="203" t="e">
        <f>VLOOKUP($A47,INICIO_BARRA!$A$6:$R$130,10,FALSE)</f>
        <v>#N/A</v>
      </c>
      <c r="AI47" s="156"/>
      <c r="AJ47" s="94" t="str">
        <f>IFERROR(IFERROR(IF(AI47&gt;0,"",AI47*VLOOKUP($A47,'VALOR I.'!$B$6:$K$418,10,FALSE)),"")*$C47,"")</f>
        <v/>
      </c>
      <c r="AK47" s="203" t="e">
        <f>VLOOKUP($A47,INICIO_BARRA!$A$6:$R$130,9,FALSE)</f>
        <v>#N/A</v>
      </c>
      <c r="AL47" s="203" t="e">
        <f>VLOOKUP($A47,INICIO_BARRA!$A$6:$R$130,10,FALSE)</f>
        <v>#N/A</v>
      </c>
      <c r="AM47" s="203" t="str">
        <f>IFERROR(VLOOKUP($A47,REPOSICIONES_BARRA!$A$6:$I$130,6,FALSE),"")</f>
        <v/>
      </c>
      <c r="AN47" s="315" t="e">
        <f t="shared" si="6"/>
        <v>#N/A</v>
      </c>
      <c r="AO47" s="316" t="e">
        <f t="shared" si="7"/>
        <v>#N/A</v>
      </c>
      <c r="AP47" s="317" t="str">
        <f>IFERROR(IFERROR(VLOOKUP($A47,VENTAS!$H$2:$O$201,5,FALSE),"")/$C47,"")</f>
        <v/>
      </c>
      <c r="AQ47" s="111"/>
      <c r="AR47" s="203" t="e">
        <f>VLOOKUP($A47,INICIO_BARRA!$A$6:$R$130,11,FALSE)</f>
        <v>#N/A</v>
      </c>
      <c r="AS47" s="203" t="e">
        <f>VLOOKUP($A47,INICIO_BARRA!$A$6:$R$130,12,FALSE)</f>
        <v>#N/A</v>
      </c>
      <c r="AT47" s="156"/>
      <c r="AU47" s="94" t="str">
        <f>IFERROR(IFERROR(IF(AT47&gt;0,"",AT47*VLOOKUP($A47,'VALOR I.'!$B$6:$K$418,10,FALSE)),"")*$C47,"")</f>
        <v/>
      </c>
      <c r="AV47" s="203" t="e">
        <f>VLOOKUP($A47,INICIO_BARRA!$A$6:$R$130,11,FALSE)</f>
        <v>#N/A</v>
      </c>
      <c r="AW47" s="203" t="e">
        <f>VLOOKUP($A47,INICIO_BARRA!$A$6:$R$130,12,FALSE)</f>
        <v>#N/A</v>
      </c>
      <c r="AX47" s="203" t="str">
        <f>IFERROR(VLOOKUP($A47,REPOSICIONES_BARRA!$A$6:$I$130,7,FALSE),"")</f>
        <v/>
      </c>
      <c r="AY47" s="315" t="e">
        <f t="shared" si="8"/>
        <v>#N/A</v>
      </c>
      <c r="AZ47" s="316" t="e">
        <f t="shared" si="9"/>
        <v>#N/A</v>
      </c>
      <c r="BA47" s="317" t="str">
        <f>IFERROR(IFERROR(VLOOKUP($A47,VENTAS!$H$2:$O$201,6,FALSE),"")/$C47,"")</f>
        <v/>
      </c>
      <c r="BB47" s="111"/>
      <c r="BC47" s="203" t="e">
        <f>VLOOKUP($A47,INICIO_BARRA!$A$6:$R$130,13,FALSE)</f>
        <v>#N/A</v>
      </c>
      <c r="BD47" s="203" t="e">
        <f>VLOOKUP($A47,INICIO_BARRA!$A$6:$R$130,14,FALSE)</f>
        <v>#N/A</v>
      </c>
      <c r="BE47" s="156"/>
      <c r="BF47" s="94" t="str">
        <f>IFERROR(IFERROR(IF(BE47&gt;0,"",BE47*VLOOKUP($A47,'VALOR I.'!$B$6:$K$418,10,FALSE)),"")*$C47,"")</f>
        <v/>
      </c>
      <c r="BG47" s="203" t="e">
        <f>VLOOKUP($A47,INICIO_BARRA!$A$6:$R$130,13,FALSE)</f>
        <v>#N/A</v>
      </c>
      <c r="BH47" s="203" t="e">
        <f>VLOOKUP($A47,INICIO_BARRA!$A$6:$R$130,14,FALSE)</f>
        <v>#N/A</v>
      </c>
      <c r="BI47" s="203" t="str">
        <f>IFERROR(VLOOKUP($A47,REPOSICIONES_BARRA!$A$6:$I$130,8,FALSE),"")</f>
        <v/>
      </c>
      <c r="BJ47" s="315" t="e">
        <f t="shared" si="10"/>
        <v>#N/A</v>
      </c>
      <c r="BK47" s="316" t="e">
        <f t="shared" si="11"/>
        <v>#N/A</v>
      </c>
      <c r="BL47" s="317" t="str">
        <f>IFERROR(IFERROR(VLOOKUP($A47,VENTAS!$H$2:$O$201,7,FALSE),"")/$C47,"")</f>
        <v/>
      </c>
      <c r="BM47" s="111"/>
      <c r="BN47" s="203" t="e">
        <f>VLOOKUP($A47,INICIO_BARRA!$A$6:$R$130,15,FALSE)</f>
        <v>#N/A</v>
      </c>
      <c r="BO47" s="203" t="e">
        <f>VLOOKUP($A47,INICIO_BARRA!$A$6:$R$130,16,FALSE)</f>
        <v>#N/A</v>
      </c>
      <c r="BP47" s="156"/>
      <c r="BQ47" s="94" t="str">
        <f>IFERROR(IFERROR(IF(BP47&gt;0,"",BP47*VLOOKUP($A47,'VALOR I.'!$B$6:$K$418,10,FALSE)),"")*$C47,"")</f>
        <v/>
      </c>
      <c r="BR47" s="203" t="e">
        <f>VLOOKUP($A47,INICIO_BARRA!$A$6:$R$130,15,FALSE)</f>
        <v>#N/A</v>
      </c>
      <c r="BS47" s="203" t="e">
        <f>VLOOKUP($A47,INICIO_BARRA!$A$6:$R$130,16,FALSE)</f>
        <v>#N/A</v>
      </c>
      <c r="BT47" s="203" t="str">
        <f>IFERROR(VLOOKUP($A47,REPOSICIONES_BARRA!$A$6:$I$130,9,FALSE),"")</f>
        <v/>
      </c>
      <c r="BU47" s="315" t="e">
        <f t="shared" si="12"/>
        <v>#N/A</v>
      </c>
      <c r="BV47" s="316" t="e">
        <f t="shared" si="13"/>
        <v>#N/A</v>
      </c>
      <c r="BW47" s="317" t="str">
        <f>IFERROR(IFERROR(VLOOKUP($A47,VENTAS!$H$2:$O$201,8,FALSE),"")/$C47,"")</f>
        <v/>
      </c>
      <c r="BX47" s="111"/>
      <c r="BY47" s="203" t="e">
        <f>VLOOKUP($A47,INICIO_BARRA!$A$6:$R$130,17,FALSE)</f>
        <v>#N/A</v>
      </c>
      <c r="BZ47" s="203" t="e">
        <f>VLOOKUP($A47,INICIO_BARRA!$A$6:$R$130,18,FALSE)</f>
        <v>#N/A</v>
      </c>
      <c r="CA47" s="156"/>
      <c r="CB47" s="94" t="str">
        <f>IFERROR(IFERROR(IF(CA47&gt;0,"",CA47*VLOOKUP($A47,'VALOR I.'!$B$6:$K$418,10,FALSE)),"")*$C47,"")</f>
        <v/>
      </c>
    </row>
    <row r="48" spans="1:80" s="7" customFormat="1" ht="30" hidden="1" customHeight="1" x14ac:dyDescent="0.45">
      <c r="A48" s="3"/>
      <c r="B48" s="51"/>
      <c r="C48" s="135"/>
      <c r="D48" s="203" t="e">
        <f>VLOOKUP($A48,INICIO_BARRA!$A$6:$R$130,3,FALSE)</f>
        <v>#N/A</v>
      </c>
      <c r="E48" s="203" t="e">
        <f>VLOOKUP($A48,INICIO_BARRA!$A$6:$R$130,4,FALSE)</f>
        <v>#N/A</v>
      </c>
      <c r="F48" s="203" t="str">
        <f>IFERROR(VLOOKUP($A48,REPOSICIONES_BARRA!$A$6:$I$130,3,FALSE),"")</f>
        <v/>
      </c>
      <c r="G48" s="315" t="e">
        <f t="shared" si="14"/>
        <v>#N/A</v>
      </c>
      <c r="H48" s="316" t="e">
        <f t="shared" si="15"/>
        <v>#N/A</v>
      </c>
      <c r="I48" s="317" t="str">
        <f>IFERROR(IFERROR(VLOOKUP($A48,VENTAS!$H$2:$O$201,2,FALSE),"")/$C48,"")</f>
        <v/>
      </c>
      <c r="J48" s="111"/>
      <c r="K48" s="203" t="e">
        <f>VLOOKUP($A48,INICIO_BARRA!$A$6:$R$130,5,FALSE)</f>
        <v>#N/A</v>
      </c>
      <c r="L48" s="203" t="e">
        <f>VLOOKUP($A48,INICIO_BARRA!$A$6:$R$130,6,FALSE)</f>
        <v>#N/A</v>
      </c>
      <c r="M48" s="156"/>
      <c r="N48" s="204" t="str">
        <f>IFERROR(IFERROR(IF(M48&gt;0,"",M48*VLOOKUP($A48,'VALOR I.'!$B$6:$K$418,10,FALSE)),"")*$C48,"")</f>
        <v/>
      </c>
      <c r="O48" s="203" t="e">
        <f>VLOOKUP($A48,INICIO_BARRA!$A$6:$R$130,5,FALSE)</f>
        <v>#N/A</v>
      </c>
      <c r="P48" s="203" t="e">
        <f>VLOOKUP($A48,INICIO_BARRA!$A$6:$R$130,6,FALSE)</f>
        <v>#N/A</v>
      </c>
      <c r="Q48" s="203" t="str">
        <f>IFERROR(VLOOKUP($A48,REPOSICIONES_BARRA!$A$6:$I$130,4,FALSE),"")</f>
        <v/>
      </c>
      <c r="R48" s="315" t="e">
        <f t="shared" si="2"/>
        <v>#N/A</v>
      </c>
      <c r="S48" s="316" t="e">
        <f t="shared" si="3"/>
        <v>#N/A</v>
      </c>
      <c r="T48" s="317" t="str">
        <f>IFERROR(IFERROR(VLOOKUP($A48,VENTAS!$H$2:$O$201,3,FALSE),"")/$C48,"")</f>
        <v/>
      </c>
      <c r="U48" s="111"/>
      <c r="V48" s="203" t="e">
        <f>VLOOKUP($A48,INICIO_BARRA!$A$6:$R$130,7,FALSE)</f>
        <v>#N/A</v>
      </c>
      <c r="W48" s="203" t="e">
        <f>VLOOKUP($A48,INICIO_BARRA!$A$6:$R$130,8,FALSE)</f>
        <v>#N/A</v>
      </c>
      <c r="X48" s="156"/>
      <c r="Y48" s="204" t="str">
        <f>IFERROR(IFERROR(IF(X48&gt;0,"",X48*VLOOKUP($A48,'VALOR I.'!$B$6:$K$418,10,FALSE)),"")*$C48,"")</f>
        <v/>
      </c>
      <c r="Z48" s="203" t="e">
        <f>VLOOKUP($A48,INICIO_BARRA!$A$6:$R$130,7,FALSE)</f>
        <v>#N/A</v>
      </c>
      <c r="AA48" s="203" t="e">
        <f>VLOOKUP($A48,INICIO_BARRA!$A$6:$R$130,8,FALSE)</f>
        <v>#N/A</v>
      </c>
      <c r="AB48" s="203" t="str">
        <f>IFERROR(VLOOKUP($A48,REPOSICIONES_BARRA!$A$6:$I$130,5,FALSE),"")</f>
        <v/>
      </c>
      <c r="AC48" s="315" t="e">
        <f t="shared" si="4"/>
        <v>#N/A</v>
      </c>
      <c r="AD48" s="316" t="e">
        <f t="shared" si="5"/>
        <v>#N/A</v>
      </c>
      <c r="AE48" s="317" t="str">
        <f>IFERROR(IFERROR(VLOOKUP($A48,VENTAS!$H$2:$O$201,4,FALSE),"")/$C48,"")</f>
        <v/>
      </c>
      <c r="AF48" s="111"/>
      <c r="AG48" s="203" t="e">
        <f>VLOOKUP($A48,INICIO_BARRA!$A$6:$R$130,9,FALSE)</f>
        <v>#N/A</v>
      </c>
      <c r="AH48" s="203" t="e">
        <f>VLOOKUP($A48,INICIO_BARRA!$A$6:$R$130,10,FALSE)</f>
        <v>#N/A</v>
      </c>
      <c r="AI48" s="156"/>
      <c r="AJ48" s="94" t="str">
        <f>IFERROR(IFERROR(IF(AI48&gt;0,"",AI48*VLOOKUP($A48,'VALOR I.'!$B$6:$K$418,10,FALSE)),"")*$C48,"")</f>
        <v/>
      </c>
      <c r="AK48" s="203" t="e">
        <f>VLOOKUP($A48,INICIO_BARRA!$A$6:$R$130,9,FALSE)</f>
        <v>#N/A</v>
      </c>
      <c r="AL48" s="203" t="e">
        <f>VLOOKUP($A48,INICIO_BARRA!$A$6:$R$130,10,FALSE)</f>
        <v>#N/A</v>
      </c>
      <c r="AM48" s="203" t="str">
        <f>IFERROR(VLOOKUP($A48,REPOSICIONES_BARRA!$A$6:$I$130,6,FALSE),"")</f>
        <v/>
      </c>
      <c r="AN48" s="315" t="e">
        <f t="shared" si="6"/>
        <v>#N/A</v>
      </c>
      <c r="AO48" s="316" t="e">
        <f t="shared" si="7"/>
        <v>#N/A</v>
      </c>
      <c r="AP48" s="317" t="str">
        <f>IFERROR(IFERROR(VLOOKUP($A48,VENTAS!$H$2:$O$201,5,FALSE),"")/$C48,"")</f>
        <v/>
      </c>
      <c r="AQ48" s="111"/>
      <c r="AR48" s="203" t="e">
        <f>VLOOKUP($A48,INICIO_BARRA!$A$6:$R$130,11,FALSE)</f>
        <v>#N/A</v>
      </c>
      <c r="AS48" s="203" t="e">
        <f>VLOOKUP($A48,INICIO_BARRA!$A$6:$R$130,12,FALSE)</f>
        <v>#N/A</v>
      </c>
      <c r="AT48" s="156"/>
      <c r="AU48" s="94" t="str">
        <f>IFERROR(IFERROR(IF(AT48&gt;0,"",AT48*VLOOKUP($A48,'VALOR I.'!$B$6:$K$418,10,FALSE)),"")*$C48,"")</f>
        <v/>
      </c>
      <c r="AV48" s="203" t="e">
        <f>VLOOKUP($A48,INICIO_BARRA!$A$6:$R$130,11,FALSE)</f>
        <v>#N/A</v>
      </c>
      <c r="AW48" s="203" t="e">
        <f>VLOOKUP($A48,INICIO_BARRA!$A$6:$R$130,12,FALSE)</f>
        <v>#N/A</v>
      </c>
      <c r="AX48" s="203" t="str">
        <f>IFERROR(VLOOKUP($A48,REPOSICIONES_BARRA!$A$6:$I$130,7,FALSE),"")</f>
        <v/>
      </c>
      <c r="AY48" s="315" t="e">
        <f t="shared" si="8"/>
        <v>#N/A</v>
      </c>
      <c r="AZ48" s="316" t="e">
        <f t="shared" si="9"/>
        <v>#N/A</v>
      </c>
      <c r="BA48" s="317" t="str">
        <f>IFERROR(IFERROR(VLOOKUP($A48,VENTAS!$H$2:$O$201,6,FALSE),"")/$C48,"")</f>
        <v/>
      </c>
      <c r="BB48" s="111"/>
      <c r="BC48" s="203" t="e">
        <f>VLOOKUP($A48,INICIO_BARRA!$A$6:$R$130,13,FALSE)</f>
        <v>#N/A</v>
      </c>
      <c r="BD48" s="203" t="e">
        <f>VLOOKUP($A48,INICIO_BARRA!$A$6:$R$130,14,FALSE)</f>
        <v>#N/A</v>
      </c>
      <c r="BE48" s="156"/>
      <c r="BF48" s="94" t="str">
        <f>IFERROR(IFERROR(IF(BE48&gt;0,"",BE48*VLOOKUP($A48,'VALOR I.'!$B$6:$K$418,10,FALSE)),"")*$C48,"")</f>
        <v/>
      </c>
      <c r="BG48" s="203" t="e">
        <f>VLOOKUP($A48,INICIO_BARRA!$A$6:$R$130,13,FALSE)</f>
        <v>#N/A</v>
      </c>
      <c r="BH48" s="203" t="e">
        <f>VLOOKUP($A48,INICIO_BARRA!$A$6:$R$130,14,FALSE)</f>
        <v>#N/A</v>
      </c>
      <c r="BI48" s="203" t="str">
        <f>IFERROR(VLOOKUP($A48,REPOSICIONES_BARRA!$A$6:$I$130,8,FALSE),"")</f>
        <v/>
      </c>
      <c r="BJ48" s="315" t="e">
        <f t="shared" si="10"/>
        <v>#N/A</v>
      </c>
      <c r="BK48" s="316" t="e">
        <f t="shared" si="11"/>
        <v>#N/A</v>
      </c>
      <c r="BL48" s="317" t="str">
        <f>IFERROR(IFERROR(VLOOKUP($A48,VENTAS!$H$2:$O$201,7,FALSE),"")/$C48,"")</f>
        <v/>
      </c>
      <c r="BM48" s="111"/>
      <c r="BN48" s="203" t="e">
        <f>VLOOKUP($A48,INICIO_BARRA!$A$6:$R$130,15,FALSE)</f>
        <v>#N/A</v>
      </c>
      <c r="BO48" s="203" t="e">
        <f>VLOOKUP($A48,INICIO_BARRA!$A$6:$R$130,16,FALSE)</f>
        <v>#N/A</v>
      </c>
      <c r="BP48" s="156"/>
      <c r="BQ48" s="94" t="str">
        <f>IFERROR(IFERROR(IF(BP48&gt;0,"",BP48*VLOOKUP($A48,'VALOR I.'!$B$6:$K$418,10,FALSE)),"")*$C48,"")</f>
        <v/>
      </c>
      <c r="BR48" s="203" t="e">
        <f>VLOOKUP($A48,INICIO_BARRA!$A$6:$R$130,15,FALSE)</f>
        <v>#N/A</v>
      </c>
      <c r="BS48" s="203" t="e">
        <f>VLOOKUP($A48,INICIO_BARRA!$A$6:$R$130,16,FALSE)</f>
        <v>#N/A</v>
      </c>
      <c r="BT48" s="203" t="str">
        <f>IFERROR(VLOOKUP($A48,REPOSICIONES_BARRA!$A$6:$I$130,9,FALSE),"")</f>
        <v/>
      </c>
      <c r="BU48" s="315" t="e">
        <f t="shared" si="12"/>
        <v>#N/A</v>
      </c>
      <c r="BV48" s="316" t="e">
        <f t="shared" si="13"/>
        <v>#N/A</v>
      </c>
      <c r="BW48" s="317" t="str">
        <f>IFERROR(IFERROR(VLOOKUP($A48,VENTAS!$H$2:$O$201,8,FALSE),"")/$C48,"")</f>
        <v/>
      </c>
      <c r="BX48" s="111"/>
      <c r="BY48" s="203" t="e">
        <f>VLOOKUP($A48,INICIO_BARRA!$A$6:$R$130,17,FALSE)</f>
        <v>#N/A</v>
      </c>
      <c r="BZ48" s="203" t="e">
        <f>VLOOKUP($A48,INICIO_BARRA!$A$6:$R$130,18,FALSE)</f>
        <v>#N/A</v>
      </c>
      <c r="CA48" s="156"/>
      <c r="CB48" s="94" t="str">
        <f>IFERROR(IFERROR(IF(CA48&gt;0,"",CA48*VLOOKUP($A48,'VALOR I.'!$B$6:$K$418,10,FALSE)),"")*$C48,"")</f>
        <v/>
      </c>
    </row>
    <row r="49" spans="1:80" s="7" customFormat="1" ht="30" hidden="1" customHeight="1" x14ac:dyDescent="0.45">
      <c r="A49" s="3"/>
      <c r="B49" s="51"/>
      <c r="C49" s="135"/>
      <c r="D49" s="203" t="e">
        <f>VLOOKUP($A49,INICIO_BARRA!$A$6:$R$130,3,FALSE)</f>
        <v>#N/A</v>
      </c>
      <c r="E49" s="203" t="e">
        <f>VLOOKUP($A49,INICIO_BARRA!$A$6:$R$130,4,FALSE)</f>
        <v>#N/A</v>
      </c>
      <c r="F49" s="203" t="str">
        <f>IFERROR(VLOOKUP($A49,REPOSICIONES_BARRA!$A$6:$I$130,3,FALSE),"")</f>
        <v/>
      </c>
      <c r="G49" s="315" t="e">
        <f t="shared" si="14"/>
        <v>#N/A</v>
      </c>
      <c r="H49" s="316" t="e">
        <f t="shared" si="15"/>
        <v>#N/A</v>
      </c>
      <c r="I49" s="317" t="str">
        <f>IFERROR(IFERROR(VLOOKUP($A49,VENTAS!$H$2:$O$201,2,FALSE),"")/$C49,"")</f>
        <v/>
      </c>
      <c r="J49" s="111"/>
      <c r="K49" s="203" t="e">
        <f>VLOOKUP($A49,INICIO_BARRA!$A$6:$R$130,5,FALSE)</f>
        <v>#N/A</v>
      </c>
      <c r="L49" s="203" t="e">
        <f>VLOOKUP($A49,INICIO_BARRA!$A$6:$R$130,6,FALSE)</f>
        <v>#N/A</v>
      </c>
      <c r="M49" s="156"/>
      <c r="N49" s="204" t="str">
        <f>IFERROR(IFERROR(IF(M49&gt;0,"",M49*VLOOKUP($A49,'VALOR I.'!$B$6:$K$418,10,FALSE)),"")*$C49,"")</f>
        <v/>
      </c>
      <c r="O49" s="203" t="e">
        <f>VLOOKUP($A49,INICIO_BARRA!$A$6:$R$130,5,FALSE)</f>
        <v>#N/A</v>
      </c>
      <c r="P49" s="203" t="e">
        <f>VLOOKUP($A49,INICIO_BARRA!$A$6:$R$130,6,FALSE)</f>
        <v>#N/A</v>
      </c>
      <c r="Q49" s="203" t="str">
        <f>IFERROR(VLOOKUP($A49,REPOSICIONES_BARRA!$A$6:$I$130,4,FALSE),"")</f>
        <v/>
      </c>
      <c r="R49" s="315" t="e">
        <f t="shared" si="2"/>
        <v>#N/A</v>
      </c>
      <c r="S49" s="316" t="e">
        <f t="shared" si="3"/>
        <v>#N/A</v>
      </c>
      <c r="T49" s="317" t="str">
        <f>IFERROR(IFERROR(VLOOKUP($A49,VENTAS!$H$2:$O$201,3,FALSE),"")/$C49,"")</f>
        <v/>
      </c>
      <c r="U49" s="111"/>
      <c r="V49" s="203" t="e">
        <f>VLOOKUP($A49,INICIO_BARRA!$A$6:$R$130,7,FALSE)</f>
        <v>#N/A</v>
      </c>
      <c r="W49" s="203" t="e">
        <f>VLOOKUP($A49,INICIO_BARRA!$A$6:$R$130,8,FALSE)</f>
        <v>#N/A</v>
      </c>
      <c r="X49" s="156"/>
      <c r="Y49" s="204" t="str">
        <f>IFERROR(IFERROR(IF(X49&gt;0,"",X49*VLOOKUP($A49,'VALOR I.'!$B$6:$K$418,10,FALSE)),"")*$C49,"")</f>
        <v/>
      </c>
      <c r="Z49" s="203" t="e">
        <f>VLOOKUP($A49,INICIO_BARRA!$A$6:$R$130,7,FALSE)</f>
        <v>#N/A</v>
      </c>
      <c r="AA49" s="203" t="e">
        <f>VLOOKUP($A49,INICIO_BARRA!$A$6:$R$130,8,FALSE)</f>
        <v>#N/A</v>
      </c>
      <c r="AB49" s="203" t="str">
        <f>IFERROR(VLOOKUP($A49,REPOSICIONES_BARRA!$A$6:$I$130,5,FALSE),"")</f>
        <v/>
      </c>
      <c r="AC49" s="315" t="e">
        <f t="shared" si="4"/>
        <v>#N/A</v>
      </c>
      <c r="AD49" s="316" t="e">
        <f t="shared" si="5"/>
        <v>#N/A</v>
      </c>
      <c r="AE49" s="317" t="str">
        <f>IFERROR(IFERROR(VLOOKUP($A49,VENTAS!$H$2:$O$201,4,FALSE),"")/$C49,"")</f>
        <v/>
      </c>
      <c r="AF49" s="111"/>
      <c r="AG49" s="203" t="e">
        <f>VLOOKUP($A49,INICIO_BARRA!$A$6:$R$130,9,FALSE)</f>
        <v>#N/A</v>
      </c>
      <c r="AH49" s="203" t="e">
        <f>VLOOKUP($A49,INICIO_BARRA!$A$6:$R$130,10,FALSE)</f>
        <v>#N/A</v>
      </c>
      <c r="AI49" s="156"/>
      <c r="AJ49" s="94" t="str">
        <f>IFERROR(IFERROR(IF(AI49&gt;0,"",AI49*VLOOKUP($A49,'VALOR I.'!$B$6:$K$418,10,FALSE)),"")*$C49,"")</f>
        <v/>
      </c>
      <c r="AK49" s="203" t="e">
        <f>VLOOKUP($A49,INICIO_BARRA!$A$6:$R$130,9,FALSE)</f>
        <v>#N/A</v>
      </c>
      <c r="AL49" s="203" t="e">
        <f>VLOOKUP($A49,INICIO_BARRA!$A$6:$R$130,10,FALSE)</f>
        <v>#N/A</v>
      </c>
      <c r="AM49" s="203" t="str">
        <f>IFERROR(VLOOKUP($A49,REPOSICIONES_BARRA!$A$6:$I$130,6,FALSE),"")</f>
        <v/>
      </c>
      <c r="AN49" s="315" t="e">
        <f t="shared" si="6"/>
        <v>#N/A</v>
      </c>
      <c r="AO49" s="316" t="e">
        <f t="shared" si="7"/>
        <v>#N/A</v>
      </c>
      <c r="AP49" s="317" t="str">
        <f>IFERROR(IFERROR(VLOOKUP($A49,VENTAS!$H$2:$O$201,5,FALSE),"")/$C49,"")</f>
        <v/>
      </c>
      <c r="AQ49" s="111"/>
      <c r="AR49" s="203" t="e">
        <f>VLOOKUP($A49,INICIO_BARRA!$A$6:$R$130,11,FALSE)</f>
        <v>#N/A</v>
      </c>
      <c r="AS49" s="203" t="e">
        <f>VLOOKUP($A49,INICIO_BARRA!$A$6:$R$130,12,FALSE)</f>
        <v>#N/A</v>
      </c>
      <c r="AT49" s="156"/>
      <c r="AU49" s="94" t="str">
        <f>IFERROR(IFERROR(IF(AT49&gt;0,"",AT49*VLOOKUP($A49,'VALOR I.'!$B$6:$K$418,10,FALSE)),"")*$C49,"")</f>
        <v/>
      </c>
      <c r="AV49" s="203" t="e">
        <f>VLOOKUP($A49,INICIO_BARRA!$A$6:$R$130,11,FALSE)</f>
        <v>#N/A</v>
      </c>
      <c r="AW49" s="203" t="e">
        <f>VLOOKUP($A49,INICIO_BARRA!$A$6:$R$130,12,FALSE)</f>
        <v>#N/A</v>
      </c>
      <c r="AX49" s="203" t="str">
        <f>IFERROR(VLOOKUP($A49,REPOSICIONES_BARRA!$A$6:$I$130,7,FALSE),"")</f>
        <v/>
      </c>
      <c r="AY49" s="315" t="e">
        <f t="shared" si="8"/>
        <v>#N/A</v>
      </c>
      <c r="AZ49" s="316" t="e">
        <f t="shared" si="9"/>
        <v>#N/A</v>
      </c>
      <c r="BA49" s="317" t="str">
        <f>IFERROR(IFERROR(VLOOKUP($A49,VENTAS!$H$2:$O$201,6,FALSE),"")/$C49,"")</f>
        <v/>
      </c>
      <c r="BB49" s="111"/>
      <c r="BC49" s="203" t="e">
        <f>VLOOKUP($A49,INICIO_BARRA!$A$6:$R$130,13,FALSE)</f>
        <v>#N/A</v>
      </c>
      <c r="BD49" s="203" t="e">
        <f>VLOOKUP($A49,INICIO_BARRA!$A$6:$R$130,14,FALSE)</f>
        <v>#N/A</v>
      </c>
      <c r="BE49" s="156"/>
      <c r="BF49" s="94" t="str">
        <f>IFERROR(IFERROR(IF(BE49&gt;0,"",BE49*VLOOKUP($A49,'VALOR I.'!$B$6:$K$418,10,FALSE)),"")*$C49,"")</f>
        <v/>
      </c>
      <c r="BG49" s="203" t="e">
        <f>VLOOKUP($A49,INICIO_BARRA!$A$6:$R$130,13,FALSE)</f>
        <v>#N/A</v>
      </c>
      <c r="BH49" s="203" t="e">
        <f>VLOOKUP($A49,INICIO_BARRA!$A$6:$R$130,14,FALSE)</f>
        <v>#N/A</v>
      </c>
      <c r="BI49" s="203" t="str">
        <f>IFERROR(VLOOKUP($A49,REPOSICIONES_BARRA!$A$6:$I$130,8,FALSE),"")</f>
        <v/>
      </c>
      <c r="BJ49" s="315" t="e">
        <f t="shared" si="10"/>
        <v>#N/A</v>
      </c>
      <c r="BK49" s="316" t="e">
        <f t="shared" si="11"/>
        <v>#N/A</v>
      </c>
      <c r="BL49" s="317" t="str">
        <f>IFERROR(IFERROR(VLOOKUP($A49,VENTAS!$H$2:$O$201,7,FALSE),"")/$C49,"")</f>
        <v/>
      </c>
      <c r="BM49" s="111"/>
      <c r="BN49" s="203" t="e">
        <f>VLOOKUP($A49,INICIO_BARRA!$A$6:$R$130,15,FALSE)</f>
        <v>#N/A</v>
      </c>
      <c r="BO49" s="203" t="e">
        <f>VLOOKUP($A49,INICIO_BARRA!$A$6:$R$130,16,FALSE)</f>
        <v>#N/A</v>
      </c>
      <c r="BP49" s="156"/>
      <c r="BQ49" s="94" t="str">
        <f>IFERROR(IFERROR(IF(BP49&gt;0,"",BP49*VLOOKUP($A49,'VALOR I.'!$B$6:$K$418,10,FALSE)),"")*$C49,"")</f>
        <v/>
      </c>
      <c r="BR49" s="203" t="e">
        <f>VLOOKUP($A49,INICIO_BARRA!$A$6:$R$130,15,FALSE)</f>
        <v>#N/A</v>
      </c>
      <c r="BS49" s="203" t="e">
        <f>VLOOKUP($A49,INICIO_BARRA!$A$6:$R$130,16,FALSE)</f>
        <v>#N/A</v>
      </c>
      <c r="BT49" s="203" t="str">
        <f>IFERROR(VLOOKUP($A49,REPOSICIONES_BARRA!$A$6:$I$130,9,FALSE),"")</f>
        <v/>
      </c>
      <c r="BU49" s="315" t="e">
        <f t="shared" si="12"/>
        <v>#N/A</v>
      </c>
      <c r="BV49" s="316" t="e">
        <f t="shared" si="13"/>
        <v>#N/A</v>
      </c>
      <c r="BW49" s="317" t="str">
        <f>IFERROR(IFERROR(VLOOKUP($A49,VENTAS!$H$2:$O$201,8,FALSE),"")/$C49,"")</f>
        <v/>
      </c>
      <c r="BX49" s="111"/>
      <c r="BY49" s="203" t="e">
        <f>VLOOKUP($A49,INICIO_BARRA!$A$6:$R$130,17,FALSE)</f>
        <v>#N/A</v>
      </c>
      <c r="BZ49" s="203" t="e">
        <f>VLOOKUP($A49,INICIO_BARRA!$A$6:$R$130,18,FALSE)</f>
        <v>#N/A</v>
      </c>
      <c r="CA49" s="156"/>
      <c r="CB49" s="94" t="str">
        <f>IFERROR(IFERROR(IF(CA49&gt;0,"",CA49*VLOOKUP($A49,'VALOR I.'!$B$6:$K$418,10,FALSE)),"")*$C49,"")</f>
        <v/>
      </c>
    </row>
    <row r="50" spans="1:80" s="7" customFormat="1" ht="30" hidden="1" customHeight="1" x14ac:dyDescent="0.45">
      <c r="A50" s="3"/>
      <c r="B50" s="51"/>
      <c r="C50" s="135"/>
      <c r="D50" s="203" t="e">
        <f>VLOOKUP($A50,INICIO_BARRA!$A$6:$R$130,3,FALSE)</f>
        <v>#N/A</v>
      </c>
      <c r="E50" s="203" t="e">
        <f>VLOOKUP($A50,INICIO_BARRA!$A$6:$R$130,4,FALSE)</f>
        <v>#N/A</v>
      </c>
      <c r="F50" s="203" t="str">
        <f>IFERROR(VLOOKUP($A50,REPOSICIONES_BARRA!$A$6:$I$130,3,FALSE),"")</f>
        <v/>
      </c>
      <c r="G50" s="315" t="e">
        <f t="shared" si="14"/>
        <v>#N/A</v>
      </c>
      <c r="H50" s="316" t="e">
        <f t="shared" si="15"/>
        <v>#N/A</v>
      </c>
      <c r="I50" s="317" t="str">
        <f>IFERROR(IFERROR(VLOOKUP($A50,VENTAS!$H$2:$O$201,2,FALSE),"")/$C50,"")</f>
        <v/>
      </c>
      <c r="J50" s="111"/>
      <c r="K50" s="203" t="e">
        <f>VLOOKUP($A50,INICIO_BARRA!$A$6:$R$130,5,FALSE)</f>
        <v>#N/A</v>
      </c>
      <c r="L50" s="203" t="e">
        <f>VLOOKUP($A50,INICIO_BARRA!$A$6:$R$130,6,FALSE)</f>
        <v>#N/A</v>
      </c>
      <c r="M50" s="156"/>
      <c r="N50" s="204" t="str">
        <f>IFERROR(IFERROR(IF(M50&gt;0,"",M50*VLOOKUP($A50,'VALOR I.'!$B$6:$K$418,10,FALSE)),"")*$C50,"")</f>
        <v/>
      </c>
      <c r="O50" s="203" t="e">
        <f>VLOOKUP($A50,INICIO_BARRA!$A$6:$R$130,5,FALSE)</f>
        <v>#N/A</v>
      </c>
      <c r="P50" s="203" t="e">
        <f>VLOOKUP($A50,INICIO_BARRA!$A$6:$R$130,6,FALSE)</f>
        <v>#N/A</v>
      </c>
      <c r="Q50" s="203" t="str">
        <f>IFERROR(VLOOKUP($A50,REPOSICIONES_BARRA!$A$6:$I$130,4,FALSE),"")</f>
        <v/>
      </c>
      <c r="R50" s="315" t="e">
        <f t="shared" si="2"/>
        <v>#N/A</v>
      </c>
      <c r="S50" s="316" t="e">
        <f t="shared" si="3"/>
        <v>#N/A</v>
      </c>
      <c r="T50" s="317" t="str">
        <f>IFERROR(IFERROR(VLOOKUP($A50,VENTAS!$H$2:$O$201,3,FALSE),"")/$C50,"")</f>
        <v/>
      </c>
      <c r="U50" s="111"/>
      <c r="V50" s="203" t="e">
        <f>VLOOKUP($A50,INICIO_BARRA!$A$6:$R$130,7,FALSE)</f>
        <v>#N/A</v>
      </c>
      <c r="W50" s="203" t="e">
        <f>VLOOKUP($A50,INICIO_BARRA!$A$6:$R$130,8,FALSE)</f>
        <v>#N/A</v>
      </c>
      <c r="X50" s="156"/>
      <c r="Y50" s="204" t="str">
        <f>IFERROR(IFERROR(IF(X50&gt;0,"",X50*VLOOKUP($A50,'VALOR I.'!$B$6:$K$418,10,FALSE)),"")*$C50,"")</f>
        <v/>
      </c>
      <c r="Z50" s="203" t="e">
        <f>VLOOKUP($A50,INICIO_BARRA!$A$6:$R$130,7,FALSE)</f>
        <v>#N/A</v>
      </c>
      <c r="AA50" s="203" t="e">
        <f>VLOOKUP($A50,INICIO_BARRA!$A$6:$R$130,8,FALSE)</f>
        <v>#N/A</v>
      </c>
      <c r="AB50" s="203" t="str">
        <f>IFERROR(VLOOKUP($A50,REPOSICIONES_BARRA!$A$6:$I$130,5,FALSE),"")</f>
        <v/>
      </c>
      <c r="AC50" s="315" t="e">
        <f t="shared" si="4"/>
        <v>#N/A</v>
      </c>
      <c r="AD50" s="316" t="e">
        <f t="shared" si="5"/>
        <v>#N/A</v>
      </c>
      <c r="AE50" s="317" t="str">
        <f>IFERROR(IFERROR(VLOOKUP($A50,VENTAS!$H$2:$O$201,4,FALSE),"")/$C50,"")</f>
        <v/>
      </c>
      <c r="AF50" s="111"/>
      <c r="AG50" s="203" t="e">
        <f>VLOOKUP($A50,INICIO_BARRA!$A$6:$R$130,9,FALSE)</f>
        <v>#N/A</v>
      </c>
      <c r="AH50" s="203" t="e">
        <f>VLOOKUP($A50,INICIO_BARRA!$A$6:$R$130,10,FALSE)</f>
        <v>#N/A</v>
      </c>
      <c r="AI50" s="156"/>
      <c r="AJ50" s="94" t="str">
        <f>IFERROR(IFERROR(IF(AI50&gt;0,"",AI50*VLOOKUP($A50,'VALOR I.'!$B$6:$K$418,10,FALSE)),"")*$C50,"")</f>
        <v/>
      </c>
      <c r="AK50" s="203" t="e">
        <f>VLOOKUP($A50,INICIO_BARRA!$A$6:$R$130,9,FALSE)</f>
        <v>#N/A</v>
      </c>
      <c r="AL50" s="203" t="e">
        <f>VLOOKUP($A50,INICIO_BARRA!$A$6:$R$130,10,FALSE)</f>
        <v>#N/A</v>
      </c>
      <c r="AM50" s="203" t="str">
        <f>IFERROR(VLOOKUP($A50,REPOSICIONES_BARRA!$A$6:$I$130,6,FALSE),"")</f>
        <v/>
      </c>
      <c r="AN50" s="315" t="e">
        <f t="shared" si="6"/>
        <v>#N/A</v>
      </c>
      <c r="AO50" s="316" t="e">
        <f t="shared" si="7"/>
        <v>#N/A</v>
      </c>
      <c r="AP50" s="317" t="str">
        <f>IFERROR(IFERROR(VLOOKUP($A50,VENTAS!$H$2:$O$201,5,FALSE),"")/$C50,"")</f>
        <v/>
      </c>
      <c r="AQ50" s="111"/>
      <c r="AR50" s="203" t="e">
        <f>VLOOKUP($A50,INICIO_BARRA!$A$6:$R$130,11,FALSE)</f>
        <v>#N/A</v>
      </c>
      <c r="AS50" s="203" t="e">
        <f>VLOOKUP($A50,INICIO_BARRA!$A$6:$R$130,12,FALSE)</f>
        <v>#N/A</v>
      </c>
      <c r="AT50" s="156"/>
      <c r="AU50" s="94" t="str">
        <f>IFERROR(IFERROR(IF(AT50&gt;0,"",AT50*VLOOKUP($A50,'VALOR I.'!$B$6:$K$418,10,FALSE)),"")*$C50,"")</f>
        <v/>
      </c>
      <c r="AV50" s="203" t="e">
        <f>VLOOKUP($A50,INICIO_BARRA!$A$6:$R$130,11,FALSE)</f>
        <v>#N/A</v>
      </c>
      <c r="AW50" s="203" t="e">
        <f>VLOOKUP($A50,INICIO_BARRA!$A$6:$R$130,12,FALSE)</f>
        <v>#N/A</v>
      </c>
      <c r="AX50" s="203" t="str">
        <f>IFERROR(VLOOKUP($A50,REPOSICIONES_BARRA!$A$6:$I$130,7,FALSE),"")</f>
        <v/>
      </c>
      <c r="AY50" s="315" t="e">
        <f t="shared" si="8"/>
        <v>#N/A</v>
      </c>
      <c r="AZ50" s="316" t="e">
        <f t="shared" si="9"/>
        <v>#N/A</v>
      </c>
      <c r="BA50" s="317" t="str">
        <f>IFERROR(IFERROR(VLOOKUP($A50,VENTAS!$H$2:$O$201,6,FALSE),"")/$C50,"")</f>
        <v/>
      </c>
      <c r="BB50" s="111"/>
      <c r="BC50" s="203" t="e">
        <f>VLOOKUP($A50,INICIO_BARRA!$A$6:$R$130,13,FALSE)</f>
        <v>#N/A</v>
      </c>
      <c r="BD50" s="203" t="e">
        <f>VLOOKUP($A50,INICIO_BARRA!$A$6:$R$130,14,FALSE)</f>
        <v>#N/A</v>
      </c>
      <c r="BE50" s="156"/>
      <c r="BF50" s="94" t="str">
        <f>IFERROR(IFERROR(IF(BE50&gt;0,"",BE50*VLOOKUP($A50,'VALOR I.'!$B$6:$K$418,10,FALSE)),"")*$C50,"")</f>
        <v/>
      </c>
      <c r="BG50" s="203" t="e">
        <f>VLOOKUP($A50,INICIO_BARRA!$A$6:$R$130,13,FALSE)</f>
        <v>#N/A</v>
      </c>
      <c r="BH50" s="203" t="e">
        <f>VLOOKUP($A50,INICIO_BARRA!$A$6:$R$130,14,FALSE)</f>
        <v>#N/A</v>
      </c>
      <c r="BI50" s="203" t="str">
        <f>IFERROR(VLOOKUP($A50,REPOSICIONES_BARRA!$A$6:$I$130,8,FALSE),"")</f>
        <v/>
      </c>
      <c r="BJ50" s="315" t="e">
        <f t="shared" si="10"/>
        <v>#N/A</v>
      </c>
      <c r="BK50" s="316" t="e">
        <f t="shared" si="11"/>
        <v>#N/A</v>
      </c>
      <c r="BL50" s="317" t="str">
        <f>IFERROR(IFERROR(VLOOKUP($A50,VENTAS!$H$2:$O$201,7,FALSE),"")/$C50,"")</f>
        <v/>
      </c>
      <c r="BM50" s="111"/>
      <c r="BN50" s="203" t="e">
        <f>VLOOKUP($A50,INICIO_BARRA!$A$6:$R$130,15,FALSE)</f>
        <v>#N/A</v>
      </c>
      <c r="BO50" s="203" t="e">
        <f>VLOOKUP($A50,INICIO_BARRA!$A$6:$R$130,16,FALSE)</f>
        <v>#N/A</v>
      </c>
      <c r="BP50" s="156"/>
      <c r="BQ50" s="94" t="str">
        <f>IFERROR(IFERROR(IF(BP50&gt;0,"",BP50*VLOOKUP($A50,'VALOR I.'!$B$6:$K$418,10,FALSE)),"")*$C50,"")</f>
        <v/>
      </c>
      <c r="BR50" s="203" t="e">
        <f>VLOOKUP($A50,INICIO_BARRA!$A$6:$R$130,15,FALSE)</f>
        <v>#N/A</v>
      </c>
      <c r="BS50" s="203" t="e">
        <f>VLOOKUP($A50,INICIO_BARRA!$A$6:$R$130,16,FALSE)</f>
        <v>#N/A</v>
      </c>
      <c r="BT50" s="203" t="str">
        <f>IFERROR(VLOOKUP($A50,REPOSICIONES_BARRA!$A$6:$I$130,9,FALSE),"")</f>
        <v/>
      </c>
      <c r="BU50" s="315" t="e">
        <f t="shared" si="12"/>
        <v>#N/A</v>
      </c>
      <c r="BV50" s="316" t="e">
        <f t="shared" si="13"/>
        <v>#N/A</v>
      </c>
      <c r="BW50" s="317" t="str">
        <f>IFERROR(IFERROR(VLOOKUP($A50,VENTAS!$H$2:$O$201,8,FALSE),"")/$C50,"")</f>
        <v/>
      </c>
      <c r="BX50" s="111"/>
      <c r="BY50" s="203" t="e">
        <f>VLOOKUP($A50,INICIO_BARRA!$A$6:$R$130,17,FALSE)</f>
        <v>#N/A</v>
      </c>
      <c r="BZ50" s="203" t="e">
        <f>VLOOKUP($A50,INICIO_BARRA!$A$6:$R$130,18,FALSE)</f>
        <v>#N/A</v>
      </c>
      <c r="CA50" s="156"/>
      <c r="CB50" s="94" t="str">
        <f>IFERROR(IFERROR(IF(CA50&gt;0,"",CA50*VLOOKUP($A50,'VALOR I.'!$B$6:$K$418,10,FALSE)),"")*$C50,"")</f>
        <v/>
      </c>
    </row>
    <row r="51" spans="1:80" s="7" customFormat="1" ht="30" hidden="1" customHeight="1" x14ac:dyDescent="0.45">
      <c r="A51" s="3"/>
      <c r="B51" s="51"/>
      <c r="C51" s="135"/>
      <c r="D51" s="203" t="e">
        <f>VLOOKUP($A51,INICIO_BARRA!$A$6:$R$130,3,FALSE)</f>
        <v>#N/A</v>
      </c>
      <c r="E51" s="203" t="e">
        <f>VLOOKUP($A51,INICIO_BARRA!$A$6:$R$130,4,FALSE)</f>
        <v>#N/A</v>
      </c>
      <c r="F51" s="203" t="str">
        <f>IFERROR(VLOOKUP($A51,REPOSICIONES_BARRA!$A$6:$I$130,3,FALSE),"")</f>
        <v/>
      </c>
      <c r="G51" s="315" t="e">
        <f t="shared" si="14"/>
        <v>#N/A</v>
      </c>
      <c r="H51" s="316" t="e">
        <f t="shared" si="15"/>
        <v>#N/A</v>
      </c>
      <c r="I51" s="317" t="str">
        <f>IFERROR(IFERROR(VLOOKUP($A51,VENTAS!$H$2:$O$201,2,FALSE),"")/$C51,"")</f>
        <v/>
      </c>
      <c r="J51" s="111"/>
      <c r="K51" s="203" t="e">
        <f>VLOOKUP($A51,INICIO_BARRA!$A$6:$R$130,5,FALSE)</f>
        <v>#N/A</v>
      </c>
      <c r="L51" s="203" t="e">
        <f>VLOOKUP($A51,INICIO_BARRA!$A$6:$R$130,6,FALSE)</f>
        <v>#N/A</v>
      </c>
      <c r="M51" s="156"/>
      <c r="N51" s="204" t="str">
        <f>IFERROR(IFERROR(IF(M51&gt;0,"",M51*VLOOKUP($A51,'VALOR I.'!$B$6:$K$418,10,FALSE)),"")*$C51,"")</f>
        <v/>
      </c>
      <c r="O51" s="203" t="e">
        <f>VLOOKUP($A51,INICIO_BARRA!$A$6:$R$130,5,FALSE)</f>
        <v>#N/A</v>
      </c>
      <c r="P51" s="203" t="e">
        <f>VLOOKUP($A51,INICIO_BARRA!$A$6:$R$130,6,FALSE)</f>
        <v>#N/A</v>
      </c>
      <c r="Q51" s="203" t="str">
        <f>IFERROR(VLOOKUP($A51,REPOSICIONES_BARRA!$A$6:$I$130,4,FALSE),"")</f>
        <v/>
      </c>
      <c r="R51" s="315" t="e">
        <f t="shared" si="2"/>
        <v>#N/A</v>
      </c>
      <c r="S51" s="316" t="e">
        <f t="shared" si="3"/>
        <v>#N/A</v>
      </c>
      <c r="T51" s="317" t="str">
        <f>IFERROR(IFERROR(VLOOKUP($A51,VENTAS!$H$2:$O$201,3,FALSE),"")/$C51,"")</f>
        <v/>
      </c>
      <c r="U51" s="111"/>
      <c r="V51" s="203" t="e">
        <f>VLOOKUP($A51,INICIO_BARRA!$A$6:$R$130,7,FALSE)</f>
        <v>#N/A</v>
      </c>
      <c r="W51" s="203" t="e">
        <f>VLOOKUP($A51,INICIO_BARRA!$A$6:$R$130,8,FALSE)</f>
        <v>#N/A</v>
      </c>
      <c r="X51" s="156"/>
      <c r="Y51" s="204" t="str">
        <f>IFERROR(IFERROR(IF(X51&gt;0,"",X51*VLOOKUP($A51,'VALOR I.'!$B$6:$K$418,10,FALSE)),"")*$C51,"")</f>
        <v/>
      </c>
      <c r="Z51" s="203" t="e">
        <f>VLOOKUP($A51,INICIO_BARRA!$A$6:$R$130,7,FALSE)</f>
        <v>#N/A</v>
      </c>
      <c r="AA51" s="203" t="e">
        <f>VLOOKUP($A51,INICIO_BARRA!$A$6:$R$130,8,FALSE)</f>
        <v>#N/A</v>
      </c>
      <c r="AB51" s="203" t="str">
        <f>IFERROR(VLOOKUP($A51,REPOSICIONES_BARRA!$A$6:$I$130,5,FALSE),"")</f>
        <v/>
      </c>
      <c r="AC51" s="315" t="e">
        <f t="shared" si="4"/>
        <v>#N/A</v>
      </c>
      <c r="AD51" s="316" t="e">
        <f t="shared" si="5"/>
        <v>#N/A</v>
      </c>
      <c r="AE51" s="317" t="str">
        <f>IFERROR(IFERROR(VLOOKUP($A51,VENTAS!$H$2:$O$201,4,FALSE),"")/$C51,"")</f>
        <v/>
      </c>
      <c r="AF51" s="111"/>
      <c r="AG51" s="203" t="e">
        <f>VLOOKUP($A51,INICIO_BARRA!$A$6:$R$130,9,FALSE)</f>
        <v>#N/A</v>
      </c>
      <c r="AH51" s="203" t="e">
        <f>VLOOKUP($A51,INICIO_BARRA!$A$6:$R$130,10,FALSE)</f>
        <v>#N/A</v>
      </c>
      <c r="AI51" s="156"/>
      <c r="AJ51" s="94" t="str">
        <f>IFERROR(IFERROR(IF(AI51&gt;0,"",AI51*VLOOKUP($A51,'VALOR I.'!$B$6:$K$418,10,FALSE)),"")*$C51,"")</f>
        <v/>
      </c>
      <c r="AK51" s="203" t="e">
        <f>VLOOKUP($A51,INICIO_BARRA!$A$6:$R$130,9,FALSE)</f>
        <v>#N/A</v>
      </c>
      <c r="AL51" s="203" t="e">
        <f>VLOOKUP($A51,INICIO_BARRA!$A$6:$R$130,10,FALSE)</f>
        <v>#N/A</v>
      </c>
      <c r="AM51" s="203" t="str">
        <f>IFERROR(VLOOKUP($A51,REPOSICIONES_BARRA!$A$6:$I$130,6,FALSE),"")</f>
        <v/>
      </c>
      <c r="AN51" s="315" t="e">
        <f t="shared" si="6"/>
        <v>#N/A</v>
      </c>
      <c r="AO51" s="316" t="e">
        <f t="shared" si="7"/>
        <v>#N/A</v>
      </c>
      <c r="AP51" s="317" t="str">
        <f>IFERROR(IFERROR(VLOOKUP($A51,VENTAS!$H$2:$O$201,5,FALSE),"")/$C51,"")</f>
        <v/>
      </c>
      <c r="AQ51" s="111"/>
      <c r="AR51" s="203" t="e">
        <f>VLOOKUP($A51,INICIO_BARRA!$A$6:$R$130,11,FALSE)</f>
        <v>#N/A</v>
      </c>
      <c r="AS51" s="203" t="e">
        <f>VLOOKUP($A51,INICIO_BARRA!$A$6:$R$130,12,FALSE)</f>
        <v>#N/A</v>
      </c>
      <c r="AT51" s="156"/>
      <c r="AU51" s="94" t="str">
        <f>IFERROR(IFERROR(IF(AT51&gt;0,"",AT51*VLOOKUP($A51,'VALOR I.'!$B$6:$K$418,10,FALSE)),"")*$C51,"")</f>
        <v/>
      </c>
      <c r="AV51" s="203" t="e">
        <f>VLOOKUP($A51,INICIO_BARRA!$A$6:$R$130,11,FALSE)</f>
        <v>#N/A</v>
      </c>
      <c r="AW51" s="203" t="e">
        <f>VLOOKUP($A51,INICIO_BARRA!$A$6:$R$130,12,FALSE)</f>
        <v>#N/A</v>
      </c>
      <c r="AX51" s="203" t="str">
        <f>IFERROR(VLOOKUP($A51,REPOSICIONES_BARRA!$A$6:$I$130,7,FALSE),"")</f>
        <v/>
      </c>
      <c r="AY51" s="315" t="e">
        <f t="shared" si="8"/>
        <v>#N/A</v>
      </c>
      <c r="AZ51" s="316" t="e">
        <f t="shared" si="9"/>
        <v>#N/A</v>
      </c>
      <c r="BA51" s="317" t="str">
        <f>IFERROR(IFERROR(VLOOKUP($A51,VENTAS!$H$2:$O$201,6,FALSE),"")/$C51,"")</f>
        <v/>
      </c>
      <c r="BB51" s="111"/>
      <c r="BC51" s="203" t="e">
        <f>VLOOKUP($A51,INICIO_BARRA!$A$6:$R$130,13,FALSE)</f>
        <v>#N/A</v>
      </c>
      <c r="BD51" s="203" t="e">
        <f>VLOOKUP($A51,INICIO_BARRA!$A$6:$R$130,14,FALSE)</f>
        <v>#N/A</v>
      </c>
      <c r="BE51" s="156"/>
      <c r="BF51" s="94" t="str">
        <f>IFERROR(IFERROR(IF(BE51&gt;0,"",BE51*VLOOKUP($A51,'VALOR I.'!$B$6:$K$418,10,FALSE)),"")*$C51,"")</f>
        <v/>
      </c>
      <c r="BG51" s="203" t="e">
        <f>VLOOKUP($A51,INICIO_BARRA!$A$6:$R$130,13,FALSE)</f>
        <v>#N/A</v>
      </c>
      <c r="BH51" s="203" t="e">
        <f>VLOOKUP($A51,INICIO_BARRA!$A$6:$R$130,14,FALSE)</f>
        <v>#N/A</v>
      </c>
      <c r="BI51" s="203" t="str">
        <f>IFERROR(VLOOKUP($A51,REPOSICIONES_BARRA!$A$6:$I$130,8,FALSE),"")</f>
        <v/>
      </c>
      <c r="BJ51" s="315" t="e">
        <f t="shared" si="10"/>
        <v>#N/A</v>
      </c>
      <c r="BK51" s="316" t="e">
        <f t="shared" si="11"/>
        <v>#N/A</v>
      </c>
      <c r="BL51" s="317" t="str">
        <f>IFERROR(IFERROR(VLOOKUP($A51,VENTAS!$H$2:$O$201,7,FALSE),"")/$C51,"")</f>
        <v/>
      </c>
      <c r="BM51" s="111"/>
      <c r="BN51" s="203" t="e">
        <f>VLOOKUP($A51,INICIO_BARRA!$A$6:$R$130,15,FALSE)</f>
        <v>#N/A</v>
      </c>
      <c r="BO51" s="203" t="e">
        <f>VLOOKUP($A51,INICIO_BARRA!$A$6:$R$130,16,FALSE)</f>
        <v>#N/A</v>
      </c>
      <c r="BP51" s="156"/>
      <c r="BQ51" s="94" t="str">
        <f>IFERROR(IFERROR(IF(BP51&gt;0,"",BP51*VLOOKUP($A51,'VALOR I.'!$B$6:$K$418,10,FALSE)),"")*$C51,"")</f>
        <v/>
      </c>
      <c r="BR51" s="203" t="e">
        <f>VLOOKUP($A51,INICIO_BARRA!$A$6:$R$130,15,FALSE)</f>
        <v>#N/A</v>
      </c>
      <c r="BS51" s="203" t="e">
        <f>VLOOKUP($A51,INICIO_BARRA!$A$6:$R$130,16,FALSE)</f>
        <v>#N/A</v>
      </c>
      <c r="BT51" s="203" t="str">
        <f>IFERROR(VLOOKUP($A51,REPOSICIONES_BARRA!$A$6:$I$130,9,FALSE),"")</f>
        <v/>
      </c>
      <c r="BU51" s="315" t="e">
        <f t="shared" si="12"/>
        <v>#N/A</v>
      </c>
      <c r="BV51" s="316" t="e">
        <f t="shared" si="13"/>
        <v>#N/A</v>
      </c>
      <c r="BW51" s="317" t="str">
        <f>IFERROR(IFERROR(VLOOKUP($A51,VENTAS!$H$2:$O$201,8,FALSE),"")/$C51,"")</f>
        <v/>
      </c>
      <c r="BX51" s="111"/>
      <c r="BY51" s="203" t="e">
        <f>VLOOKUP($A51,INICIO_BARRA!$A$6:$R$130,17,FALSE)</f>
        <v>#N/A</v>
      </c>
      <c r="BZ51" s="203" t="e">
        <f>VLOOKUP($A51,INICIO_BARRA!$A$6:$R$130,18,FALSE)</f>
        <v>#N/A</v>
      </c>
      <c r="CA51" s="156"/>
      <c r="CB51" s="94" t="str">
        <f>IFERROR(IFERROR(IF(CA51&gt;0,"",CA51*VLOOKUP($A51,'VALOR I.'!$B$6:$K$418,10,FALSE)),"")*$C51,"")</f>
        <v/>
      </c>
    </row>
    <row r="52" spans="1:80" s="7" customFormat="1" ht="30" hidden="1" customHeight="1" x14ac:dyDescent="0.45">
      <c r="A52" s="3"/>
      <c r="B52" s="51"/>
      <c r="C52" s="135"/>
      <c r="D52" s="203" t="e">
        <f>VLOOKUP($A52,INICIO_BARRA!$A$6:$R$130,3,FALSE)</f>
        <v>#N/A</v>
      </c>
      <c r="E52" s="203" t="e">
        <f>VLOOKUP($A52,INICIO_BARRA!$A$6:$R$130,4,FALSE)</f>
        <v>#N/A</v>
      </c>
      <c r="F52" s="203" t="str">
        <f>IFERROR(VLOOKUP($A52,REPOSICIONES_BARRA!$A$6:$I$130,3,FALSE),"")</f>
        <v/>
      </c>
      <c r="G52" s="315" t="e">
        <f t="shared" si="14"/>
        <v>#N/A</v>
      </c>
      <c r="H52" s="316" t="e">
        <f t="shared" si="15"/>
        <v>#N/A</v>
      </c>
      <c r="I52" s="317" t="str">
        <f>IFERROR(IFERROR(VLOOKUP($A52,VENTAS!$H$2:$O$201,2,FALSE),"")/$C52,"")</f>
        <v/>
      </c>
      <c r="J52" s="111"/>
      <c r="K52" s="203" t="e">
        <f>VLOOKUP($A52,INICIO_BARRA!$A$6:$R$130,5,FALSE)</f>
        <v>#N/A</v>
      </c>
      <c r="L52" s="203" t="e">
        <f>VLOOKUP($A52,INICIO_BARRA!$A$6:$R$130,6,FALSE)</f>
        <v>#N/A</v>
      </c>
      <c r="M52" s="156"/>
      <c r="N52" s="204" t="str">
        <f>IFERROR(IFERROR(IF(M52&gt;0,"",M52*VLOOKUP($A52,'VALOR I.'!$B$6:$K$418,10,FALSE)),"")*$C52,"")</f>
        <v/>
      </c>
      <c r="O52" s="203" t="e">
        <f>VLOOKUP($A52,INICIO_BARRA!$A$6:$R$130,5,FALSE)</f>
        <v>#N/A</v>
      </c>
      <c r="P52" s="203" t="e">
        <f>VLOOKUP($A52,INICIO_BARRA!$A$6:$R$130,6,FALSE)</f>
        <v>#N/A</v>
      </c>
      <c r="Q52" s="203" t="str">
        <f>IFERROR(VLOOKUP($A52,REPOSICIONES_BARRA!$A$6:$I$130,4,FALSE),"")</f>
        <v/>
      </c>
      <c r="R52" s="315" t="e">
        <f t="shared" si="2"/>
        <v>#N/A</v>
      </c>
      <c r="S52" s="316" t="e">
        <f t="shared" si="3"/>
        <v>#N/A</v>
      </c>
      <c r="T52" s="317" t="str">
        <f>IFERROR(IFERROR(VLOOKUP($A52,VENTAS!$H$2:$O$201,3,FALSE),"")/$C52,"")</f>
        <v/>
      </c>
      <c r="U52" s="111"/>
      <c r="V52" s="203" t="e">
        <f>VLOOKUP($A52,INICIO_BARRA!$A$6:$R$130,7,FALSE)</f>
        <v>#N/A</v>
      </c>
      <c r="W52" s="203" t="e">
        <f>VLOOKUP($A52,INICIO_BARRA!$A$6:$R$130,8,FALSE)</f>
        <v>#N/A</v>
      </c>
      <c r="X52" s="156"/>
      <c r="Y52" s="204" t="str">
        <f>IFERROR(IFERROR(IF(X52&gt;0,"",X52*VLOOKUP($A52,'VALOR I.'!$B$6:$K$418,10,FALSE)),"")*$C52,"")</f>
        <v/>
      </c>
      <c r="Z52" s="203" t="e">
        <f>VLOOKUP($A52,INICIO_BARRA!$A$6:$R$130,7,FALSE)</f>
        <v>#N/A</v>
      </c>
      <c r="AA52" s="203" t="e">
        <f>VLOOKUP($A52,INICIO_BARRA!$A$6:$R$130,8,FALSE)</f>
        <v>#N/A</v>
      </c>
      <c r="AB52" s="203" t="str">
        <f>IFERROR(VLOOKUP($A52,REPOSICIONES_BARRA!$A$6:$I$130,5,FALSE),"")</f>
        <v/>
      </c>
      <c r="AC52" s="315" t="e">
        <f t="shared" si="4"/>
        <v>#N/A</v>
      </c>
      <c r="AD52" s="316" t="e">
        <f t="shared" si="5"/>
        <v>#N/A</v>
      </c>
      <c r="AE52" s="317" t="str">
        <f>IFERROR(IFERROR(VLOOKUP($A52,VENTAS!$H$2:$O$201,4,FALSE),"")/$C52,"")</f>
        <v/>
      </c>
      <c r="AF52" s="111"/>
      <c r="AG52" s="203" t="e">
        <f>VLOOKUP($A52,INICIO_BARRA!$A$6:$R$130,9,FALSE)</f>
        <v>#N/A</v>
      </c>
      <c r="AH52" s="203" t="e">
        <f>VLOOKUP($A52,INICIO_BARRA!$A$6:$R$130,10,FALSE)</f>
        <v>#N/A</v>
      </c>
      <c r="AI52" s="156"/>
      <c r="AJ52" s="94" t="str">
        <f>IFERROR(IFERROR(IF(AI52&gt;0,"",AI52*VLOOKUP($A52,'VALOR I.'!$B$6:$K$418,10,FALSE)),"")*$C52,"")</f>
        <v/>
      </c>
      <c r="AK52" s="203" t="e">
        <f>VLOOKUP($A52,INICIO_BARRA!$A$6:$R$130,9,FALSE)</f>
        <v>#N/A</v>
      </c>
      <c r="AL52" s="203" t="e">
        <f>VLOOKUP($A52,INICIO_BARRA!$A$6:$R$130,10,FALSE)</f>
        <v>#N/A</v>
      </c>
      <c r="AM52" s="203" t="str">
        <f>IFERROR(VLOOKUP($A52,REPOSICIONES_BARRA!$A$6:$I$130,6,FALSE),"")</f>
        <v/>
      </c>
      <c r="AN52" s="315" t="e">
        <f t="shared" si="6"/>
        <v>#N/A</v>
      </c>
      <c r="AO52" s="316" t="e">
        <f t="shared" si="7"/>
        <v>#N/A</v>
      </c>
      <c r="AP52" s="317" t="str">
        <f>IFERROR(IFERROR(VLOOKUP($A52,VENTAS!$H$2:$O$201,5,FALSE),"")/$C52,"")</f>
        <v/>
      </c>
      <c r="AQ52" s="111"/>
      <c r="AR52" s="203" t="e">
        <f>VLOOKUP($A52,INICIO_BARRA!$A$6:$R$130,11,FALSE)</f>
        <v>#N/A</v>
      </c>
      <c r="AS52" s="203" t="e">
        <f>VLOOKUP($A52,INICIO_BARRA!$A$6:$R$130,12,FALSE)</f>
        <v>#N/A</v>
      </c>
      <c r="AT52" s="156"/>
      <c r="AU52" s="94" t="str">
        <f>IFERROR(IFERROR(IF(AT52&gt;0,"",AT52*VLOOKUP($A52,'VALOR I.'!$B$6:$K$418,10,FALSE)),"")*$C52,"")</f>
        <v/>
      </c>
      <c r="AV52" s="203" t="e">
        <f>VLOOKUP($A52,INICIO_BARRA!$A$6:$R$130,11,FALSE)</f>
        <v>#N/A</v>
      </c>
      <c r="AW52" s="203" t="e">
        <f>VLOOKUP($A52,INICIO_BARRA!$A$6:$R$130,12,FALSE)</f>
        <v>#N/A</v>
      </c>
      <c r="AX52" s="203" t="str">
        <f>IFERROR(VLOOKUP($A52,REPOSICIONES_BARRA!$A$6:$I$130,7,FALSE),"")</f>
        <v/>
      </c>
      <c r="AY52" s="315" t="e">
        <f t="shared" si="8"/>
        <v>#N/A</v>
      </c>
      <c r="AZ52" s="316" t="e">
        <f t="shared" si="9"/>
        <v>#N/A</v>
      </c>
      <c r="BA52" s="317" t="str">
        <f>IFERROR(IFERROR(VLOOKUP($A52,VENTAS!$H$2:$O$201,6,FALSE),"")/$C52,"")</f>
        <v/>
      </c>
      <c r="BB52" s="111"/>
      <c r="BC52" s="203" t="e">
        <f>VLOOKUP($A52,INICIO_BARRA!$A$6:$R$130,13,FALSE)</f>
        <v>#N/A</v>
      </c>
      <c r="BD52" s="203" t="e">
        <f>VLOOKUP($A52,INICIO_BARRA!$A$6:$R$130,14,FALSE)</f>
        <v>#N/A</v>
      </c>
      <c r="BE52" s="156"/>
      <c r="BF52" s="94" t="str">
        <f>IFERROR(IFERROR(IF(BE52&gt;0,"",BE52*VLOOKUP($A52,'VALOR I.'!$B$6:$K$418,10,FALSE)),"")*$C52,"")</f>
        <v/>
      </c>
      <c r="BG52" s="203" t="e">
        <f>VLOOKUP($A52,INICIO_BARRA!$A$6:$R$130,13,FALSE)</f>
        <v>#N/A</v>
      </c>
      <c r="BH52" s="203" t="e">
        <f>VLOOKUP($A52,INICIO_BARRA!$A$6:$R$130,14,FALSE)</f>
        <v>#N/A</v>
      </c>
      <c r="BI52" s="203" t="str">
        <f>IFERROR(VLOOKUP($A52,REPOSICIONES_BARRA!$A$6:$I$130,8,FALSE),"")</f>
        <v/>
      </c>
      <c r="BJ52" s="315" t="e">
        <f t="shared" si="10"/>
        <v>#N/A</v>
      </c>
      <c r="BK52" s="316" t="e">
        <f t="shared" si="11"/>
        <v>#N/A</v>
      </c>
      <c r="BL52" s="317" t="str">
        <f>IFERROR(IFERROR(VLOOKUP($A52,VENTAS!$H$2:$O$201,7,FALSE),"")/$C52,"")</f>
        <v/>
      </c>
      <c r="BM52" s="111"/>
      <c r="BN52" s="203" t="e">
        <f>VLOOKUP($A52,INICIO_BARRA!$A$6:$R$130,15,FALSE)</f>
        <v>#N/A</v>
      </c>
      <c r="BO52" s="203" t="e">
        <f>VLOOKUP($A52,INICIO_BARRA!$A$6:$R$130,16,FALSE)</f>
        <v>#N/A</v>
      </c>
      <c r="BP52" s="156"/>
      <c r="BQ52" s="94" t="str">
        <f>IFERROR(IFERROR(IF(BP52&gt;0,"",BP52*VLOOKUP($A52,'VALOR I.'!$B$6:$K$418,10,FALSE)),"")*$C52,"")</f>
        <v/>
      </c>
      <c r="BR52" s="203" t="e">
        <f>VLOOKUP($A52,INICIO_BARRA!$A$6:$R$130,15,FALSE)</f>
        <v>#N/A</v>
      </c>
      <c r="BS52" s="203" t="e">
        <f>VLOOKUP($A52,INICIO_BARRA!$A$6:$R$130,16,FALSE)</f>
        <v>#N/A</v>
      </c>
      <c r="BT52" s="203" t="str">
        <f>IFERROR(VLOOKUP($A52,REPOSICIONES_BARRA!$A$6:$I$130,9,FALSE),"")</f>
        <v/>
      </c>
      <c r="BU52" s="315" t="e">
        <f t="shared" si="12"/>
        <v>#N/A</v>
      </c>
      <c r="BV52" s="316" t="e">
        <f t="shared" si="13"/>
        <v>#N/A</v>
      </c>
      <c r="BW52" s="317" t="str">
        <f>IFERROR(IFERROR(VLOOKUP($A52,VENTAS!$H$2:$O$201,8,FALSE),"")/$C52,"")</f>
        <v/>
      </c>
      <c r="BX52" s="111"/>
      <c r="BY52" s="203" t="e">
        <f>VLOOKUP($A52,INICIO_BARRA!$A$6:$R$130,17,FALSE)</f>
        <v>#N/A</v>
      </c>
      <c r="BZ52" s="203" t="e">
        <f>VLOOKUP($A52,INICIO_BARRA!$A$6:$R$130,18,FALSE)</f>
        <v>#N/A</v>
      </c>
      <c r="CA52" s="156"/>
      <c r="CB52" s="94" t="str">
        <f>IFERROR(IFERROR(IF(CA52&gt;0,"",CA52*VLOOKUP($A52,'VALOR I.'!$B$6:$K$418,10,FALSE)),"")*$C52,"")</f>
        <v/>
      </c>
    </row>
    <row r="53" spans="1:80" s="7" customFormat="1" ht="30" hidden="1" customHeight="1" x14ac:dyDescent="0.45">
      <c r="A53" s="3"/>
      <c r="B53" s="51"/>
      <c r="C53" s="135"/>
      <c r="D53" s="203" t="e">
        <f>VLOOKUP($A53,INICIO_BARRA!$A$6:$R$130,3,FALSE)</f>
        <v>#N/A</v>
      </c>
      <c r="E53" s="203" t="e">
        <f>VLOOKUP($A53,INICIO_BARRA!$A$6:$R$130,4,FALSE)</f>
        <v>#N/A</v>
      </c>
      <c r="F53" s="203" t="str">
        <f>IFERROR(VLOOKUP($A53,REPOSICIONES_BARRA!$A$6:$I$130,3,FALSE),"")</f>
        <v/>
      </c>
      <c r="G53" s="315" t="e">
        <f t="shared" si="14"/>
        <v>#N/A</v>
      </c>
      <c r="H53" s="316" t="e">
        <f t="shared" si="15"/>
        <v>#N/A</v>
      </c>
      <c r="I53" s="317" t="str">
        <f>IFERROR(IFERROR(VLOOKUP($A53,VENTAS!$H$2:$O$201,2,FALSE),"")/$C53,"")</f>
        <v/>
      </c>
      <c r="J53" s="111"/>
      <c r="K53" s="203" t="e">
        <f>VLOOKUP($A53,INICIO_BARRA!$A$6:$R$130,5,FALSE)</f>
        <v>#N/A</v>
      </c>
      <c r="L53" s="203" t="e">
        <f>VLOOKUP($A53,INICIO_BARRA!$A$6:$R$130,6,FALSE)</f>
        <v>#N/A</v>
      </c>
      <c r="M53" s="156"/>
      <c r="N53" s="204" t="str">
        <f>IFERROR(IFERROR(IF(M53&gt;0,"",M53*VLOOKUP($A53,'VALOR I.'!$B$6:$K$418,10,FALSE)),"")*$C53,"")</f>
        <v/>
      </c>
      <c r="O53" s="203" t="e">
        <f>VLOOKUP($A53,INICIO_BARRA!$A$6:$R$130,5,FALSE)</f>
        <v>#N/A</v>
      </c>
      <c r="P53" s="203" t="e">
        <f>VLOOKUP($A53,INICIO_BARRA!$A$6:$R$130,6,FALSE)</f>
        <v>#N/A</v>
      </c>
      <c r="Q53" s="203" t="str">
        <f>IFERROR(VLOOKUP($A53,REPOSICIONES_BARRA!$A$6:$I$130,4,FALSE),"")</f>
        <v/>
      </c>
      <c r="R53" s="315" t="e">
        <f t="shared" si="2"/>
        <v>#N/A</v>
      </c>
      <c r="S53" s="316" t="e">
        <f t="shared" si="3"/>
        <v>#N/A</v>
      </c>
      <c r="T53" s="317" t="str">
        <f>IFERROR(IFERROR(VLOOKUP($A53,VENTAS!$H$2:$O$201,3,FALSE),"")/$C53,"")</f>
        <v/>
      </c>
      <c r="U53" s="111"/>
      <c r="V53" s="203" t="e">
        <f>VLOOKUP($A53,INICIO_BARRA!$A$6:$R$130,7,FALSE)</f>
        <v>#N/A</v>
      </c>
      <c r="W53" s="203" t="e">
        <f>VLOOKUP($A53,INICIO_BARRA!$A$6:$R$130,8,FALSE)</f>
        <v>#N/A</v>
      </c>
      <c r="X53" s="156"/>
      <c r="Y53" s="204" t="str">
        <f>IFERROR(IFERROR(IF(X53&gt;0,"",X53*VLOOKUP($A53,'VALOR I.'!$B$6:$K$418,10,FALSE)),"")*$C53,"")</f>
        <v/>
      </c>
      <c r="Z53" s="203" t="e">
        <f>VLOOKUP($A53,INICIO_BARRA!$A$6:$R$130,7,FALSE)</f>
        <v>#N/A</v>
      </c>
      <c r="AA53" s="203" t="e">
        <f>VLOOKUP($A53,INICIO_BARRA!$A$6:$R$130,8,FALSE)</f>
        <v>#N/A</v>
      </c>
      <c r="AB53" s="203" t="str">
        <f>IFERROR(VLOOKUP($A53,REPOSICIONES_BARRA!$A$6:$I$130,5,FALSE),"")</f>
        <v/>
      </c>
      <c r="AC53" s="315" t="e">
        <f t="shared" si="4"/>
        <v>#N/A</v>
      </c>
      <c r="AD53" s="316" t="e">
        <f t="shared" si="5"/>
        <v>#N/A</v>
      </c>
      <c r="AE53" s="317" t="str">
        <f>IFERROR(IFERROR(VLOOKUP($A53,VENTAS!$H$2:$O$201,4,FALSE),"")/$C53,"")</f>
        <v/>
      </c>
      <c r="AF53" s="111"/>
      <c r="AG53" s="203" t="e">
        <f>VLOOKUP($A53,INICIO_BARRA!$A$6:$R$130,9,FALSE)</f>
        <v>#N/A</v>
      </c>
      <c r="AH53" s="203" t="e">
        <f>VLOOKUP($A53,INICIO_BARRA!$A$6:$R$130,10,FALSE)</f>
        <v>#N/A</v>
      </c>
      <c r="AI53" s="156"/>
      <c r="AJ53" s="94" t="str">
        <f>IFERROR(IFERROR(IF(AI53&gt;0,"",AI53*VLOOKUP($A53,'VALOR I.'!$B$6:$K$418,10,FALSE)),"")*$C53,"")</f>
        <v/>
      </c>
      <c r="AK53" s="203" t="e">
        <f>VLOOKUP($A53,INICIO_BARRA!$A$6:$R$130,9,FALSE)</f>
        <v>#N/A</v>
      </c>
      <c r="AL53" s="203" t="e">
        <f>VLOOKUP($A53,INICIO_BARRA!$A$6:$R$130,10,FALSE)</f>
        <v>#N/A</v>
      </c>
      <c r="AM53" s="203" t="str">
        <f>IFERROR(VLOOKUP($A53,REPOSICIONES_BARRA!$A$6:$I$130,6,FALSE),"")</f>
        <v/>
      </c>
      <c r="AN53" s="315" t="e">
        <f t="shared" si="6"/>
        <v>#N/A</v>
      </c>
      <c r="AO53" s="316" t="e">
        <f t="shared" si="7"/>
        <v>#N/A</v>
      </c>
      <c r="AP53" s="317" t="str">
        <f>IFERROR(IFERROR(VLOOKUP($A53,VENTAS!$H$2:$O$201,5,FALSE),"")/$C53,"")</f>
        <v/>
      </c>
      <c r="AQ53" s="111"/>
      <c r="AR53" s="203" t="e">
        <f>VLOOKUP($A53,INICIO_BARRA!$A$6:$R$130,11,FALSE)</f>
        <v>#N/A</v>
      </c>
      <c r="AS53" s="203" t="e">
        <f>VLOOKUP($A53,INICIO_BARRA!$A$6:$R$130,12,FALSE)</f>
        <v>#N/A</v>
      </c>
      <c r="AT53" s="156"/>
      <c r="AU53" s="94" t="str">
        <f>IFERROR(IFERROR(IF(AT53&gt;0,"",AT53*VLOOKUP($A53,'VALOR I.'!$B$6:$K$418,10,FALSE)),"")*$C53,"")</f>
        <v/>
      </c>
      <c r="AV53" s="203" t="e">
        <f>VLOOKUP($A53,INICIO_BARRA!$A$6:$R$130,11,FALSE)</f>
        <v>#N/A</v>
      </c>
      <c r="AW53" s="203" t="e">
        <f>VLOOKUP($A53,INICIO_BARRA!$A$6:$R$130,12,FALSE)</f>
        <v>#N/A</v>
      </c>
      <c r="AX53" s="203" t="str">
        <f>IFERROR(VLOOKUP($A53,REPOSICIONES_BARRA!$A$6:$I$130,7,FALSE),"")</f>
        <v/>
      </c>
      <c r="AY53" s="315" t="e">
        <f t="shared" si="8"/>
        <v>#N/A</v>
      </c>
      <c r="AZ53" s="316" t="e">
        <f t="shared" si="9"/>
        <v>#N/A</v>
      </c>
      <c r="BA53" s="317" t="str">
        <f>IFERROR(IFERROR(VLOOKUP($A53,VENTAS!$H$2:$O$201,6,FALSE),"")/$C53,"")</f>
        <v/>
      </c>
      <c r="BB53" s="111"/>
      <c r="BC53" s="203" t="e">
        <f>VLOOKUP($A53,INICIO_BARRA!$A$6:$R$130,13,FALSE)</f>
        <v>#N/A</v>
      </c>
      <c r="BD53" s="203" t="e">
        <f>VLOOKUP($A53,INICIO_BARRA!$A$6:$R$130,14,FALSE)</f>
        <v>#N/A</v>
      </c>
      <c r="BE53" s="156"/>
      <c r="BF53" s="94" t="str">
        <f>IFERROR(IFERROR(IF(BE53&gt;0,"",BE53*VLOOKUP($A53,'VALOR I.'!$B$6:$K$418,10,FALSE)),"")*$C53,"")</f>
        <v/>
      </c>
      <c r="BG53" s="203" t="e">
        <f>VLOOKUP($A53,INICIO_BARRA!$A$6:$R$130,13,FALSE)</f>
        <v>#N/A</v>
      </c>
      <c r="BH53" s="203" t="e">
        <f>VLOOKUP($A53,INICIO_BARRA!$A$6:$R$130,14,FALSE)</f>
        <v>#N/A</v>
      </c>
      <c r="BI53" s="203" t="str">
        <f>IFERROR(VLOOKUP($A53,REPOSICIONES_BARRA!$A$6:$I$130,8,FALSE),"")</f>
        <v/>
      </c>
      <c r="BJ53" s="315" t="e">
        <f t="shared" si="10"/>
        <v>#N/A</v>
      </c>
      <c r="BK53" s="316" t="e">
        <f t="shared" si="11"/>
        <v>#N/A</v>
      </c>
      <c r="BL53" s="317" t="str">
        <f>IFERROR(IFERROR(VLOOKUP($A53,VENTAS!$H$2:$O$201,7,FALSE),"")/$C53,"")</f>
        <v/>
      </c>
      <c r="BM53" s="111"/>
      <c r="BN53" s="203" t="e">
        <f>VLOOKUP($A53,INICIO_BARRA!$A$6:$R$130,15,FALSE)</f>
        <v>#N/A</v>
      </c>
      <c r="BO53" s="203" t="e">
        <f>VLOOKUP($A53,INICIO_BARRA!$A$6:$R$130,16,FALSE)</f>
        <v>#N/A</v>
      </c>
      <c r="BP53" s="156"/>
      <c r="BQ53" s="94" t="str">
        <f>IFERROR(IFERROR(IF(BP53&gt;0,"",BP53*VLOOKUP($A53,'VALOR I.'!$B$6:$K$418,10,FALSE)),"")*$C53,"")</f>
        <v/>
      </c>
      <c r="BR53" s="203" t="e">
        <f>VLOOKUP($A53,INICIO_BARRA!$A$6:$R$130,15,FALSE)</f>
        <v>#N/A</v>
      </c>
      <c r="BS53" s="203" t="e">
        <f>VLOOKUP($A53,INICIO_BARRA!$A$6:$R$130,16,FALSE)</f>
        <v>#N/A</v>
      </c>
      <c r="BT53" s="203" t="str">
        <f>IFERROR(VLOOKUP($A53,REPOSICIONES_BARRA!$A$6:$I$130,9,FALSE),"")</f>
        <v/>
      </c>
      <c r="BU53" s="315" t="e">
        <f t="shared" si="12"/>
        <v>#N/A</v>
      </c>
      <c r="BV53" s="316" t="e">
        <f t="shared" si="13"/>
        <v>#N/A</v>
      </c>
      <c r="BW53" s="317" t="str">
        <f>IFERROR(IFERROR(VLOOKUP($A53,VENTAS!$H$2:$O$201,8,FALSE),"")/$C53,"")</f>
        <v/>
      </c>
      <c r="BX53" s="111"/>
      <c r="BY53" s="203" t="e">
        <f>VLOOKUP($A53,INICIO_BARRA!$A$6:$R$130,17,FALSE)</f>
        <v>#N/A</v>
      </c>
      <c r="BZ53" s="203" t="e">
        <f>VLOOKUP($A53,INICIO_BARRA!$A$6:$R$130,18,FALSE)</f>
        <v>#N/A</v>
      </c>
      <c r="CA53" s="156"/>
      <c r="CB53" s="94" t="str">
        <f>IFERROR(IFERROR(IF(CA53&gt;0,"",CA53*VLOOKUP($A53,'VALOR I.'!$B$6:$K$418,10,FALSE)),"")*$C53,"")</f>
        <v/>
      </c>
    </row>
    <row r="54" spans="1:80" s="7" customFormat="1" ht="30" customHeight="1" x14ac:dyDescent="0.3">
      <c r="A54" s="3" t="s">
        <v>247</v>
      </c>
      <c r="B54" s="305" t="s">
        <v>21</v>
      </c>
      <c r="C54" s="135">
        <v>1</v>
      </c>
      <c r="D54" s="203">
        <f>VLOOKUP($A54,INICIO_BARRA!$A$6:$R$130,3,FALSE)</f>
        <v>0</v>
      </c>
      <c r="E54" s="203">
        <f>VLOOKUP($A54,INICIO_BARRA!$A$6:$R$130,4,FALSE)</f>
        <v>0</v>
      </c>
      <c r="F54" s="203">
        <f>IFERROR(VLOOKUP($A54,REPOSICIONES_BARRA!$A$6:$I$130,3,FALSE),"")</f>
        <v>0</v>
      </c>
      <c r="G54" s="315">
        <f t="shared" si="14"/>
        <v>0</v>
      </c>
      <c r="H54" s="316">
        <f t="shared" si="15"/>
        <v>0</v>
      </c>
      <c r="I54" s="317">
        <f>IFERROR(IFERROR(VLOOKUP($A54,VENTAS!$H$2:$O$201,2,FALSE),"")/$C54,"")</f>
        <v>0</v>
      </c>
      <c r="J54" s="318">
        <f t="shared" si="28"/>
        <v>0</v>
      </c>
      <c r="K54" s="203">
        <f>VLOOKUP($A54,INICIO_BARRA!$A$6:$R$130,5,FALSE)</f>
        <v>24</v>
      </c>
      <c r="L54" s="203">
        <f>VLOOKUP($A54,INICIO_BARRA!$A$6:$R$130,6,FALSE)</f>
        <v>0</v>
      </c>
      <c r="M54" s="319">
        <f t="shared" si="29"/>
        <v>24</v>
      </c>
      <c r="N54" s="204" t="str">
        <f>IFERROR(IFERROR(IF(M54&gt;0,"",M54*VLOOKUP($A54,'VALOR I.'!$B$6:$K$418,10,FALSE)),"")*$C54,"")</f>
        <v/>
      </c>
      <c r="O54" s="203">
        <f>VLOOKUP($A54,INICIO_BARRA!$A$6:$R$130,5,FALSE)</f>
        <v>24</v>
      </c>
      <c r="P54" s="203">
        <f>VLOOKUP($A54,INICIO_BARRA!$A$6:$R$130,6,FALSE)</f>
        <v>0</v>
      </c>
      <c r="Q54" s="203">
        <f>IFERROR(VLOOKUP($A54,REPOSICIONES_BARRA!$A$6:$I$130,4,FALSE),"")</f>
        <v>0</v>
      </c>
      <c r="R54" s="315">
        <f t="shared" si="2"/>
        <v>24</v>
      </c>
      <c r="S54" s="316">
        <f t="shared" si="3"/>
        <v>0</v>
      </c>
      <c r="T54" s="317">
        <f>IFERROR(IFERROR(VLOOKUP($A54,VENTAS!$H$2:$O$201,3,FALSE),"")/$C54,"")</f>
        <v>0</v>
      </c>
      <c r="U54" s="318">
        <f t="shared" ref="U54:U55" si="50">IFERROR(R54-T54,"")</f>
        <v>24</v>
      </c>
      <c r="V54" s="203">
        <f>VLOOKUP($A54,INICIO_BARRA!$A$6:$R$130,7,FALSE)</f>
        <v>22</v>
      </c>
      <c r="W54" s="203">
        <f>VLOOKUP($A54,INICIO_BARRA!$A$6:$R$130,8,FALSE)</f>
        <v>0</v>
      </c>
      <c r="X54" s="319">
        <f t="shared" ref="X54:X55" si="51">IFERROR(V54-U54,"")</f>
        <v>-2</v>
      </c>
      <c r="Y54" s="204">
        <f>IFERROR(IFERROR(IF(X54&gt;0,"",X54*VLOOKUP($A54,'VALOR I.'!$B$6:$K$418,10,FALSE)),"")*$C54,"")</f>
        <v>-699.72</v>
      </c>
      <c r="Z54" s="203">
        <f>VLOOKUP($A54,INICIO_BARRA!$A$6:$R$130,7,FALSE)</f>
        <v>22</v>
      </c>
      <c r="AA54" s="203">
        <f>VLOOKUP($A54,INICIO_BARRA!$A$6:$R$130,8,FALSE)</f>
        <v>0</v>
      </c>
      <c r="AB54" s="203">
        <f>IFERROR(VLOOKUP($A54,REPOSICIONES_BARRA!$A$6:$I$130,5,FALSE),"")</f>
        <v>0</v>
      </c>
      <c r="AC54" s="315">
        <f t="shared" si="4"/>
        <v>22</v>
      </c>
      <c r="AD54" s="316">
        <f t="shared" si="5"/>
        <v>0</v>
      </c>
      <c r="AE54" s="317">
        <f>IFERROR(IFERROR(VLOOKUP($A54,VENTAS!$H$2:$O$201,4,FALSE),"")/$C54,"")</f>
        <v>1</v>
      </c>
      <c r="AF54" s="318">
        <f t="shared" ref="AF54:AF55" si="52">IFERROR(AC54-AE54,"")</f>
        <v>21</v>
      </c>
      <c r="AG54" s="203">
        <f>VLOOKUP($A54,INICIO_BARRA!$A$6:$R$130,9,FALSE)</f>
        <v>22</v>
      </c>
      <c r="AH54" s="203">
        <f>VLOOKUP($A54,INICIO_BARRA!$A$6:$R$130,10,FALSE)</f>
        <v>0</v>
      </c>
      <c r="AI54" s="319">
        <f t="shared" ref="AI54:AI55" si="53">IFERROR(AG54-AF54,"")</f>
        <v>1</v>
      </c>
      <c r="AJ54" s="204" t="str">
        <f>IFERROR(IFERROR(IF(AI54&gt;0,"",AI54*VLOOKUP($A54,'VALOR I.'!$B$6:$K$418,10,FALSE)),"")*$C54,"")</f>
        <v/>
      </c>
      <c r="AK54" s="203">
        <f>VLOOKUP($A54,INICIO_BARRA!$A$6:$R$130,9,FALSE)</f>
        <v>22</v>
      </c>
      <c r="AL54" s="203">
        <f>VLOOKUP($A54,INICIO_BARRA!$A$6:$R$130,10,FALSE)</f>
        <v>0</v>
      </c>
      <c r="AM54" s="203">
        <f>IFERROR(VLOOKUP($A54,REPOSICIONES_BARRA!$A$6:$I$130,6,FALSE),"")</f>
        <v>0</v>
      </c>
      <c r="AN54" s="315">
        <f t="shared" si="6"/>
        <v>22</v>
      </c>
      <c r="AO54" s="316">
        <f t="shared" si="7"/>
        <v>0</v>
      </c>
      <c r="AP54" s="317">
        <f>IFERROR(IFERROR(VLOOKUP($A54,VENTAS!$H$2:$O$201,5,FALSE),"")/$C54,"")</f>
        <v>0</v>
      </c>
      <c r="AQ54" s="318">
        <f t="shared" ref="AQ54:AQ55" si="54">IFERROR(AN54-AP54,"")</f>
        <v>22</v>
      </c>
      <c r="AR54" s="203">
        <f>VLOOKUP($A54,INICIO_BARRA!$A$6:$R$130,11,FALSE)</f>
        <v>21</v>
      </c>
      <c r="AS54" s="203">
        <f>VLOOKUP($A54,INICIO_BARRA!$A$6:$R$130,12,FALSE)</f>
        <v>0</v>
      </c>
      <c r="AT54" s="319">
        <f t="shared" ref="AT54:AT55" si="55">IFERROR(AR54-AQ54,"")</f>
        <v>-1</v>
      </c>
      <c r="AU54" s="204">
        <f>IFERROR(IFERROR(IF(AT54&gt;0,"",AT54*VLOOKUP($A54,'VALOR I.'!$B$6:$K$418,10,FALSE)),"")*$C54,"")</f>
        <v>-349.86</v>
      </c>
      <c r="AV54" s="203">
        <f>VLOOKUP($A54,INICIO_BARRA!$A$6:$R$130,11,FALSE)</f>
        <v>21</v>
      </c>
      <c r="AW54" s="203">
        <f>VLOOKUP($A54,INICIO_BARRA!$A$6:$R$130,12,FALSE)</f>
        <v>0</v>
      </c>
      <c r="AX54" s="203">
        <f>IFERROR(VLOOKUP($A54,REPOSICIONES_BARRA!$A$6:$I$130,7,FALSE),"")</f>
        <v>3</v>
      </c>
      <c r="AY54" s="315">
        <f t="shared" si="8"/>
        <v>24</v>
      </c>
      <c r="AZ54" s="316">
        <f t="shared" si="9"/>
        <v>0</v>
      </c>
      <c r="BA54" s="317">
        <f>IFERROR(IFERROR(VLOOKUP($A54,VENTAS!$H$2:$O$201,6,FALSE),"")/$C54,"")</f>
        <v>0</v>
      </c>
      <c r="BB54" s="318">
        <f t="shared" ref="BB54:BB55" si="56">IFERROR(AY54-BA54,"")</f>
        <v>24</v>
      </c>
      <c r="BC54" s="203">
        <f>VLOOKUP($A54,INICIO_BARRA!$A$6:$R$130,13,FALSE)</f>
        <v>24</v>
      </c>
      <c r="BD54" s="203">
        <f>VLOOKUP($A54,INICIO_BARRA!$A$6:$R$130,14,FALSE)</f>
        <v>0</v>
      </c>
      <c r="BE54" s="319">
        <f t="shared" ref="BE54:BE55" si="57">IFERROR(BC54-BB54,"")</f>
        <v>0</v>
      </c>
      <c r="BF54" s="204">
        <f>IFERROR(IFERROR(IF(BE54&gt;0,"",BE54*VLOOKUP($A54,'VALOR I.'!$B$6:$K$418,10,FALSE)),"")*$C54,"")</f>
        <v>0</v>
      </c>
      <c r="BG54" s="203">
        <f>VLOOKUP($A54,INICIO_BARRA!$A$6:$R$130,13,FALSE)</f>
        <v>24</v>
      </c>
      <c r="BH54" s="203">
        <f>VLOOKUP($A54,INICIO_BARRA!$A$6:$R$130,14,FALSE)</f>
        <v>0</v>
      </c>
      <c r="BI54" s="203">
        <f>IFERROR(VLOOKUP($A54,REPOSICIONES_BARRA!$A$6:$I$130,8,FALSE),"")</f>
        <v>0</v>
      </c>
      <c r="BJ54" s="315">
        <f t="shared" si="10"/>
        <v>24</v>
      </c>
      <c r="BK54" s="316">
        <f t="shared" si="11"/>
        <v>0</v>
      </c>
      <c r="BL54" s="317">
        <f>IFERROR(IFERROR(VLOOKUP($A54,VENTAS!$H$2:$O$201,7,FALSE),"")/$C54,"")</f>
        <v>1</v>
      </c>
      <c r="BM54" s="318">
        <f t="shared" ref="BM54:BM55" si="58">IFERROR(BJ54-BL54,"")</f>
        <v>23</v>
      </c>
      <c r="BN54" s="203">
        <f>VLOOKUP($A54,INICIO_BARRA!$A$6:$R$130,15,FALSE)</f>
        <v>23</v>
      </c>
      <c r="BO54" s="203">
        <f>VLOOKUP($A54,INICIO_BARRA!$A$6:$R$130,16,FALSE)</f>
        <v>0</v>
      </c>
      <c r="BP54" s="319">
        <f t="shared" ref="BP54:BP55" si="59">IFERROR(BN54-BM54,"")</f>
        <v>0</v>
      </c>
      <c r="BQ54" s="204">
        <f>IFERROR(IFERROR(IF(BP54&gt;0,"",BP54*VLOOKUP($A54,'VALOR I.'!$B$6:$K$418,10,FALSE)),"")*$C54,"")</f>
        <v>0</v>
      </c>
      <c r="BR54" s="203"/>
      <c r="BS54" s="203"/>
      <c r="BT54" s="203"/>
      <c r="BU54" s="315"/>
      <c r="BV54" s="316"/>
      <c r="BW54" s="317"/>
      <c r="BX54" s="318"/>
      <c r="BY54" s="203"/>
      <c r="BZ54" s="203"/>
      <c r="CA54" s="319"/>
      <c r="CB54" s="204"/>
    </row>
    <row r="55" spans="1:80" s="7" customFormat="1" ht="30" customHeight="1" x14ac:dyDescent="0.3">
      <c r="A55" s="3" t="s">
        <v>248</v>
      </c>
      <c r="B55" s="306" t="s">
        <v>22</v>
      </c>
      <c r="C55" s="135">
        <v>1</v>
      </c>
      <c r="D55" s="203">
        <f>VLOOKUP($A55,INICIO_BARRA!$A$6:$R$130,3,FALSE)</f>
        <v>0</v>
      </c>
      <c r="E55" s="203">
        <f>VLOOKUP($A55,INICIO_BARRA!$A$6:$R$130,4,FALSE)</f>
        <v>0</v>
      </c>
      <c r="F55" s="203">
        <f>IFERROR(VLOOKUP($A55,REPOSICIONES_BARRA!$A$6:$I$130,3,FALSE),"")</f>
        <v>0</v>
      </c>
      <c r="G55" s="315">
        <f t="shared" si="14"/>
        <v>0</v>
      </c>
      <c r="H55" s="316">
        <f t="shared" si="15"/>
        <v>0</v>
      </c>
      <c r="I55" s="317">
        <f>IFERROR(IFERROR(VLOOKUP($A55,VENTAS!$H$2:$O$201,2,FALSE),"")/$C55,"")</f>
        <v>0</v>
      </c>
      <c r="J55" s="318">
        <f t="shared" si="28"/>
        <v>0</v>
      </c>
      <c r="K55" s="203">
        <f>VLOOKUP($A55,INICIO_BARRA!$A$6:$R$130,5,FALSE)</f>
        <v>21</v>
      </c>
      <c r="L55" s="203">
        <f>VLOOKUP($A55,INICIO_BARRA!$A$6:$R$130,6,FALSE)</f>
        <v>0</v>
      </c>
      <c r="M55" s="319">
        <f t="shared" si="29"/>
        <v>21</v>
      </c>
      <c r="N55" s="204" t="str">
        <f>IFERROR(IFERROR(IF(M55&gt;0,"",M55*VLOOKUP($A55,'VALOR I.'!$B$6:$K$418,10,FALSE)),"")*$C55,"")</f>
        <v/>
      </c>
      <c r="O55" s="203">
        <f>VLOOKUP($A55,INICIO_BARRA!$A$6:$R$130,5,FALSE)</f>
        <v>21</v>
      </c>
      <c r="P55" s="203">
        <f>VLOOKUP($A55,INICIO_BARRA!$A$6:$R$130,6,FALSE)</f>
        <v>0</v>
      </c>
      <c r="Q55" s="203">
        <f>IFERROR(VLOOKUP($A55,REPOSICIONES_BARRA!$A$6:$I$130,4,FALSE),"")</f>
        <v>0</v>
      </c>
      <c r="R55" s="315">
        <f t="shared" si="2"/>
        <v>21</v>
      </c>
      <c r="S55" s="316">
        <f t="shared" si="3"/>
        <v>0</v>
      </c>
      <c r="T55" s="317">
        <f>IFERROR(IFERROR(VLOOKUP($A55,VENTAS!$H$2:$O$201,3,FALSE),"")/$C55,"")</f>
        <v>1</v>
      </c>
      <c r="U55" s="318">
        <f t="shared" si="50"/>
        <v>20</v>
      </c>
      <c r="V55" s="203">
        <f>VLOOKUP($A55,INICIO_BARRA!$A$6:$R$130,7,FALSE)</f>
        <v>20</v>
      </c>
      <c r="W55" s="203">
        <f>VLOOKUP($A55,INICIO_BARRA!$A$6:$R$130,8,FALSE)</f>
        <v>0</v>
      </c>
      <c r="X55" s="319">
        <f t="shared" si="51"/>
        <v>0</v>
      </c>
      <c r="Y55" s="204">
        <f>IFERROR(IFERROR(IF(X55&gt;0,"",X55*VLOOKUP($A55,'VALOR I.'!$B$6:$K$418,10,FALSE)),"")*$C55,"")</f>
        <v>0</v>
      </c>
      <c r="Z55" s="203">
        <f>VLOOKUP($A55,INICIO_BARRA!$A$6:$R$130,7,FALSE)</f>
        <v>20</v>
      </c>
      <c r="AA55" s="203">
        <f>VLOOKUP($A55,INICIO_BARRA!$A$6:$R$130,8,FALSE)</f>
        <v>0</v>
      </c>
      <c r="AB55" s="203">
        <f>IFERROR(VLOOKUP($A55,REPOSICIONES_BARRA!$A$6:$I$130,5,FALSE),"")</f>
        <v>4</v>
      </c>
      <c r="AC55" s="315">
        <f t="shared" si="4"/>
        <v>24</v>
      </c>
      <c r="AD55" s="316">
        <f t="shared" si="5"/>
        <v>0</v>
      </c>
      <c r="AE55" s="317">
        <f>IFERROR(IFERROR(VLOOKUP($A55,VENTAS!$H$2:$O$201,4,FALSE),"")/$C55,"")</f>
        <v>1</v>
      </c>
      <c r="AF55" s="318">
        <f t="shared" si="52"/>
        <v>23</v>
      </c>
      <c r="AG55" s="203">
        <f>VLOOKUP($A55,INICIO_BARRA!$A$6:$R$130,9,FALSE)</f>
        <v>19</v>
      </c>
      <c r="AH55" s="203">
        <f>VLOOKUP($A55,INICIO_BARRA!$A$6:$R$130,10,FALSE)</f>
        <v>0</v>
      </c>
      <c r="AI55" s="319">
        <f t="shared" si="53"/>
        <v>-4</v>
      </c>
      <c r="AJ55" s="204">
        <f>IFERROR(IFERROR(IF(AI55&gt;0,"",AI55*VLOOKUP($A55,'VALOR I.'!$B$6:$K$418,10,FALSE)),"")*$C55,"")</f>
        <v>-1870.68</v>
      </c>
      <c r="AK55" s="203">
        <f>VLOOKUP($A55,INICIO_BARRA!$A$6:$R$130,9,FALSE)</f>
        <v>19</v>
      </c>
      <c r="AL55" s="203">
        <f>VLOOKUP($A55,INICIO_BARRA!$A$6:$R$130,10,FALSE)</f>
        <v>0</v>
      </c>
      <c r="AM55" s="203">
        <f>IFERROR(VLOOKUP($A55,REPOSICIONES_BARRA!$A$6:$I$130,6,FALSE),"")</f>
        <v>5</v>
      </c>
      <c r="AN55" s="315">
        <f t="shared" si="6"/>
        <v>24</v>
      </c>
      <c r="AO55" s="316">
        <f t="shared" si="7"/>
        <v>0</v>
      </c>
      <c r="AP55" s="317">
        <f>IFERROR(IFERROR(VLOOKUP($A55,VENTAS!$H$2:$O$201,5,FALSE),"")/$C55,"")</f>
        <v>0</v>
      </c>
      <c r="AQ55" s="318">
        <f t="shared" si="54"/>
        <v>24</v>
      </c>
      <c r="AR55" s="203">
        <f>VLOOKUP($A55,INICIO_BARRA!$A$6:$R$130,11,FALSE)</f>
        <v>24</v>
      </c>
      <c r="AS55" s="203">
        <f>VLOOKUP($A55,INICIO_BARRA!$A$6:$R$130,12,FALSE)</f>
        <v>0</v>
      </c>
      <c r="AT55" s="319">
        <f t="shared" si="55"/>
        <v>0</v>
      </c>
      <c r="AU55" s="204">
        <f>IFERROR(IFERROR(IF(AT55&gt;0,"",AT55*VLOOKUP($A55,'VALOR I.'!$B$6:$K$418,10,FALSE)),"")*$C55,"")</f>
        <v>0</v>
      </c>
      <c r="AV55" s="203">
        <f>VLOOKUP($A55,INICIO_BARRA!$A$6:$R$130,11,FALSE)</f>
        <v>24</v>
      </c>
      <c r="AW55" s="203">
        <f>VLOOKUP($A55,INICIO_BARRA!$A$6:$R$130,12,FALSE)</f>
        <v>0</v>
      </c>
      <c r="AX55" s="203">
        <f>IFERROR(VLOOKUP($A55,REPOSICIONES_BARRA!$A$6:$I$130,7,FALSE),"")</f>
        <v>0</v>
      </c>
      <c r="AY55" s="315">
        <f t="shared" si="8"/>
        <v>24</v>
      </c>
      <c r="AZ55" s="316">
        <f t="shared" si="9"/>
        <v>0</v>
      </c>
      <c r="BA55" s="317">
        <f>IFERROR(IFERROR(VLOOKUP($A55,VENTAS!$H$2:$O$201,6,FALSE),"")/$C55,"")</f>
        <v>1</v>
      </c>
      <c r="BB55" s="318">
        <f t="shared" si="56"/>
        <v>23</v>
      </c>
      <c r="BC55" s="203">
        <f>VLOOKUP($A55,INICIO_BARRA!$A$6:$R$130,13,FALSE)</f>
        <v>16</v>
      </c>
      <c r="BD55" s="203">
        <f>VLOOKUP($A55,INICIO_BARRA!$A$6:$R$130,14,FALSE)</f>
        <v>0</v>
      </c>
      <c r="BE55" s="319">
        <f t="shared" si="57"/>
        <v>-7</v>
      </c>
      <c r="BF55" s="204">
        <f>IFERROR(IFERROR(IF(BE55&gt;0,"",BE55*VLOOKUP($A55,'VALOR I.'!$B$6:$K$418,10,FALSE)),"")*$C55,"")</f>
        <v>-3273.69</v>
      </c>
      <c r="BG55" s="203">
        <f>VLOOKUP($A55,INICIO_BARRA!$A$6:$R$130,13,FALSE)</f>
        <v>16</v>
      </c>
      <c r="BH55" s="203">
        <f>VLOOKUP($A55,INICIO_BARRA!$A$6:$R$130,14,FALSE)</f>
        <v>0</v>
      </c>
      <c r="BI55" s="203">
        <f>IFERROR(VLOOKUP($A55,REPOSICIONES_BARRA!$A$6:$I$130,8,FALSE),"")</f>
        <v>8</v>
      </c>
      <c r="BJ55" s="315">
        <f t="shared" si="10"/>
        <v>24</v>
      </c>
      <c r="BK55" s="316">
        <f t="shared" si="11"/>
        <v>0</v>
      </c>
      <c r="BL55" s="317">
        <f>IFERROR(IFERROR(VLOOKUP($A55,VENTAS!$H$2:$O$201,7,FALSE),"")/$C55,"")</f>
        <v>3</v>
      </c>
      <c r="BM55" s="318">
        <f t="shared" si="58"/>
        <v>21</v>
      </c>
      <c r="BN55" s="203">
        <f>VLOOKUP($A55,INICIO_BARRA!$A$6:$R$130,15,FALSE)</f>
        <v>21</v>
      </c>
      <c r="BO55" s="203">
        <f>VLOOKUP($A55,INICIO_BARRA!$A$6:$R$130,16,FALSE)</f>
        <v>0</v>
      </c>
      <c r="BP55" s="319">
        <f t="shared" si="59"/>
        <v>0</v>
      </c>
      <c r="BQ55" s="204">
        <f>IFERROR(IFERROR(IF(BP55&gt;0,"",BP55*VLOOKUP($A55,'VALOR I.'!$B$6:$K$418,10,FALSE)),"")*$C55,"")</f>
        <v>0</v>
      </c>
      <c r="BR55" s="203"/>
      <c r="BS55" s="203"/>
      <c r="BT55" s="203"/>
      <c r="BU55" s="315"/>
      <c r="BV55" s="316"/>
      <c r="BW55" s="317"/>
      <c r="BX55" s="318"/>
      <c r="BY55" s="203"/>
      <c r="BZ55" s="203"/>
      <c r="CA55" s="319"/>
      <c r="CB55" s="204"/>
    </row>
    <row r="56" spans="1:80" s="7" customFormat="1" ht="30" hidden="1" customHeight="1" x14ac:dyDescent="0.45">
      <c r="A56" s="3"/>
      <c r="B56" s="53"/>
      <c r="C56" s="135"/>
      <c r="D56" s="203" t="e">
        <f>VLOOKUP($A56,INICIO_BARRA!$A$6:$R$130,3,FALSE)</f>
        <v>#N/A</v>
      </c>
      <c r="E56" s="203" t="e">
        <f>VLOOKUP($A56,INICIO_BARRA!$A$6:$R$130,4,FALSE)</f>
        <v>#N/A</v>
      </c>
      <c r="F56" s="203" t="str">
        <f>IFERROR(VLOOKUP($A56,REPOSICIONES_BARRA!$A$6:$I$130,3,FALSE),"")</f>
        <v/>
      </c>
      <c r="G56" s="315" t="e">
        <f t="shared" si="14"/>
        <v>#N/A</v>
      </c>
      <c r="H56" s="316" t="e">
        <f t="shared" si="15"/>
        <v>#N/A</v>
      </c>
      <c r="I56" s="317" t="str">
        <f>IFERROR(IFERROR(VLOOKUP($A56,VENTAS!$H$2:$O$201,2,FALSE),"")/$C56,"")</f>
        <v/>
      </c>
      <c r="J56" s="111"/>
      <c r="K56" s="203" t="e">
        <f>VLOOKUP($A56,INICIO_BARRA!$A$6:$R$130,5,FALSE)</f>
        <v>#N/A</v>
      </c>
      <c r="L56" s="203" t="e">
        <f>VLOOKUP($A56,INICIO_BARRA!$A$6:$R$130,6,FALSE)</f>
        <v>#N/A</v>
      </c>
      <c r="M56" s="156"/>
      <c r="N56" s="204" t="str">
        <f>IFERROR(IFERROR(IF(M56&gt;0,"",M56*VLOOKUP($A56,'VALOR I.'!$B$6:$K$418,10,FALSE)),"")*$C56,"")</f>
        <v/>
      </c>
      <c r="O56" s="203" t="e">
        <f>VLOOKUP($A56,INICIO_BARRA!$A$6:$R$130,5,FALSE)</f>
        <v>#N/A</v>
      </c>
      <c r="P56" s="203" t="e">
        <f>VLOOKUP($A56,INICIO_BARRA!$A$6:$R$130,6,FALSE)</f>
        <v>#N/A</v>
      </c>
      <c r="Q56" s="203" t="str">
        <f>IFERROR(VLOOKUP($A56,REPOSICIONES_BARRA!$A$6:$I$130,4,FALSE),"")</f>
        <v/>
      </c>
      <c r="R56" s="315" t="e">
        <f t="shared" si="2"/>
        <v>#N/A</v>
      </c>
      <c r="S56" s="316" t="e">
        <f t="shared" si="3"/>
        <v>#N/A</v>
      </c>
      <c r="T56" s="317" t="str">
        <f>IFERROR(IFERROR(VLOOKUP($A56,VENTAS!$H$2:$O$201,3,FALSE),"")/$C56,"")</f>
        <v/>
      </c>
      <c r="U56" s="111"/>
      <c r="V56" s="203" t="e">
        <f>VLOOKUP($A56,INICIO_BARRA!$A$6:$R$130,7,FALSE)</f>
        <v>#N/A</v>
      </c>
      <c r="W56" s="203" t="e">
        <f>VLOOKUP($A56,INICIO_BARRA!$A$6:$R$130,8,FALSE)</f>
        <v>#N/A</v>
      </c>
      <c r="X56" s="156"/>
      <c r="Y56" s="204" t="str">
        <f>IFERROR(IFERROR(IF(X56&gt;0,"",X56*VLOOKUP($A56,'VALOR I.'!$B$6:$K$418,10,FALSE)),"")*$C56,"")</f>
        <v/>
      </c>
      <c r="Z56" s="203" t="e">
        <f>VLOOKUP($A56,INICIO_BARRA!$A$6:$R$130,7,FALSE)</f>
        <v>#N/A</v>
      </c>
      <c r="AA56" s="203" t="e">
        <f>VLOOKUP($A56,INICIO_BARRA!$A$6:$R$130,8,FALSE)</f>
        <v>#N/A</v>
      </c>
      <c r="AB56" s="203" t="str">
        <f>IFERROR(VLOOKUP($A56,REPOSICIONES_BARRA!$A$6:$I$130,5,FALSE),"")</f>
        <v/>
      </c>
      <c r="AC56" s="315" t="e">
        <f t="shared" si="4"/>
        <v>#N/A</v>
      </c>
      <c r="AD56" s="316" t="e">
        <f t="shared" si="5"/>
        <v>#N/A</v>
      </c>
      <c r="AE56" s="317" t="str">
        <f>IFERROR(IFERROR(VLOOKUP($A56,VENTAS!$H$2:$O$201,4,FALSE),"")/$C56,"")</f>
        <v/>
      </c>
      <c r="AF56" s="111"/>
      <c r="AG56" s="203" t="e">
        <f>VLOOKUP($A56,INICIO_BARRA!$A$6:$R$130,9,FALSE)</f>
        <v>#N/A</v>
      </c>
      <c r="AH56" s="203" t="e">
        <f>VLOOKUP($A56,INICIO_BARRA!$A$6:$R$130,10,FALSE)</f>
        <v>#N/A</v>
      </c>
      <c r="AI56" s="156"/>
      <c r="AJ56" s="94" t="str">
        <f>IFERROR(IFERROR(IF(AI56&gt;0,"",AI56*VLOOKUP($A56,'VALOR I.'!$B$6:$K$418,10,FALSE)),"")*$C56,"")</f>
        <v/>
      </c>
      <c r="AK56" s="203" t="e">
        <f>VLOOKUP($A56,INICIO_BARRA!$A$6:$R$130,9,FALSE)</f>
        <v>#N/A</v>
      </c>
      <c r="AL56" s="203" t="e">
        <f>VLOOKUP($A56,INICIO_BARRA!$A$6:$R$130,10,FALSE)</f>
        <v>#N/A</v>
      </c>
      <c r="AM56" s="203" t="str">
        <f>IFERROR(VLOOKUP($A56,REPOSICIONES_BARRA!$A$6:$I$130,6,FALSE),"")</f>
        <v/>
      </c>
      <c r="AN56" s="315" t="e">
        <f t="shared" si="6"/>
        <v>#N/A</v>
      </c>
      <c r="AO56" s="316" t="e">
        <f t="shared" si="7"/>
        <v>#N/A</v>
      </c>
      <c r="AP56" s="317" t="str">
        <f>IFERROR(IFERROR(VLOOKUP($A56,VENTAS!$H$2:$O$201,5,FALSE),"")/$C56,"")</f>
        <v/>
      </c>
      <c r="AQ56" s="111"/>
      <c r="AR56" s="203" t="e">
        <f>VLOOKUP($A56,INICIO_BARRA!$A$6:$R$130,11,FALSE)</f>
        <v>#N/A</v>
      </c>
      <c r="AS56" s="203" t="e">
        <f>VLOOKUP($A56,INICIO_BARRA!$A$6:$R$130,12,FALSE)</f>
        <v>#N/A</v>
      </c>
      <c r="AT56" s="156"/>
      <c r="AU56" s="94" t="str">
        <f>IFERROR(IFERROR(IF(AT56&gt;0,"",AT56*VLOOKUP($A56,'VALOR I.'!$B$6:$K$418,10,FALSE)),"")*$C56,"")</f>
        <v/>
      </c>
      <c r="AV56" s="203" t="e">
        <f>VLOOKUP($A56,INICIO_BARRA!$A$6:$R$130,11,FALSE)</f>
        <v>#N/A</v>
      </c>
      <c r="AW56" s="203" t="e">
        <f>VLOOKUP($A56,INICIO_BARRA!$A$6:$R$130,12,FALSE)</f>
        <v>#N/A</v>
      </c>
      <c r="AX56" s="203" t="str">
        <f>IFERROR(VLOOKUP($A56,REPOSICIONES_BARRA!$A$6:$I$130,7,FALSE),"")</f>
        <v/>
      </c>
      <c r="AY56" s="315" t="e">
        <f t="shared" si="8"/>
        <v>#N/A</v>
      </c>
      <c r="AZ56" s="316" t="e">
        <f t="shared" si="9"/>
        <v>#N/A</v>
      </c>
      <c r="BA56" s="317" t="str">
        <f>IFERROR(IFERROR(VLOOKUP($A56,VENTAS!$H$2:$O$201,6,FALSE),"")/$C56,"")</f>
        <v/>
      </c>
      <c r="BB56" s="111"/>
      <c r="BC56" s="203" t="e">
        <f>VLOOKUP($A56,INICIO_BARRA!$A$6:$R$130,13,FALSE)</f>
        <v>#N/A</v>
      </c>
      <c r="BD56" s="203" t="e">
        <f>VLOOKUP($A56,INICIO_BARRA!$A$6:$R$130,14,FALSE)</f>
        <v>#N/A</v>
      </c>
      <c r="BE56" s="156"/>
      <c r="BF56" s="94" t="str">
        <f>IFERROR(IFERROR(IF(BE56&gt;0,"",BE56*VLOOKUP($A56,'VALOR I.'!$B$6:$K$418,10,FALSE)),"")*$C56,"")</f>
        <v/>
      </c>
      <c r="BG56" s="203" t="e">
        <f>VLOOKUP($A56,INICIO_BARRA!$A$6:$R$130,13,FALSE)</f>
        <v>#N/A</v>
      </c>
      <c r="BH56" s="203" t="e">
        <f>VLOOKUP($A56,INICIO_BARRA!$A$6:$R$130,14,FALSE)</f>
        <v>#N/A</v>
      </c>
      <c r="BI56" s="203" t="str">
        <f>IFERROR(VLOOKUP($A56,REPOSICIONES_BARRA!$A$6:$I$130,8,FALSE),"")</f>
        <v/>
      </c>
      <c r="BJ56" s="315" t="e">
        <f t="shared" si="10"/>
        <v>#N/A</v>
      </c>
      <c r="BK56" s="316" t="e">
        <f t="shared" si="11"/>
        <v>#N/A</v>
      </c>
      <c r="BL56" s="317" t="str">
        <f>IFERROR(IFERROR(VLOOKUP($A56,VENTAS!$H$2:$O$201,7,FALSE),"")/$C56,"")</f>
        <v/>
      </c>
      <c r="BM56" s="111"/>
      <c r="BN56" s="203" t="e">
        <f>VLOOKUP($A56,INICIO_BARRA!$A$6:$R$130,15,FALSE)</f>
        <v>#N/A</v>
      </c>
      <c r="BO56" s="203" t="e">
        <f>VLOOKUP($A56,INICIO_BARRA!$A$6:$R$130,16,FALSE)</f>
        <v>#N/A</v>
      </c>
      <c r="BP56" s="156"/>
      <c r="BQ56" s="94" t="str">
        <f>IFERROR(IFERROR(IF(BP56&gt;0,"",BP56*VLOOKUP($A56,'VALOR I.'!$B$6:$K$418,10,FALSE)),"")*$C56,"")</f>
        <v/>
      </c>
      <c r="BR56" s="203" t="e">
        <f>VLOOKUP($A56,INICIO_BARRA!$A$6:$R$130,15,FALSE)</f>
        <v>#N/A</v>
      </c>
      <c r="BS56" s="203" t="e">
        <f>VLOOKUP($A56,INICIO_BARRA!$A$6:$R$130,16,FALSE)</f>
        <v>#N/A</v>
      </c>
      <c r="BT56" s="203" t="str">
        <f>IFERROR(VLOOKUP($A56,REPOSICIONES_BARRA!$A$6:$I$130,9,FALSE),"")</f>
        <v/>
      </c>
      <c r="BU56" s="315" t="e">
        <f t="shared" si="12"/>
        <v>#N/A</v>
      </c>
      <c r="BV56" s="316" t="e">
        <f t="shared" si="13"/>
        <v>#N/A</v>
      </c>
      <c r="BW56" s="317" t="str">
        <f>IFERROR(IFERROR(VLOOKUP($A56,VENTAS!$H$2:$O$201,8,FALSE),"")/$C56,"")</f>
        <v/>
      </c>
      <c r="BX56" s="111"/>
      <c r="BY56" s="203" t="e">
        <f>VLOOKUP($A56,INICIO_BARRA!$A$6:$R$130,17,FALSE)</f>
        <v>#N/A</v>
      </c>
      <c r="BZ56" s="203" t="e">
        <f>VLOOKUP($A56,INICIO_BARRA!$A$6:$R$130,18,FALSE)</f>
        <v>#N/A</v>
      </c>
      <c r="CA56" s="156"/>
      <c r="CB56" s="94" t="str">
        <f>IFERROR(IFERROR(IF(CA56&gt;0,"",CA56*VLOOKUP($A56,'VALOR I.'!$B$6:$K$418,10,FALSE)),"")*$C56,"")</f>
        <v/>
      </c>
    </row>
    <row r="57" spans="1:80" s="7" customFormat="1" ht="30" hidden="1" customHeight="1" x14ac:dyDescent="0.45">
      <c r="A57" s="3"/>
      <c r="B57" s="51"/>
      <c r="C57" s="135"/>
      <c r="D57" s="203" t="e">
        <f>VLOOKUP($A57,INICIO_BARRA!$A$6:$R$130,3,FALSE)</f>
        <v>#N/A</v>
      </c>
      <c r="E57" s="203" t="e">
        <f>VLOOKUP($A57,INICIO_BARRA!$A$6:$R$130,4,FALSE)</f>
        <v>#N/A</v>
      </c>
      <c r="F57" s="203" t="str">
        <f>IFERROR(VLOOKUP($A57,REPOSICIONES_BARRA!$A$6:$I$130,3,FALSE),"")</f>
        <v/>
      </c>
      <c r="G57" s="315" t="e">
        <f t="shared" si="14"/>
        <v>#N/A</v>
      </c>
      <c r="H57" s="316" t="e">
        <f t="shared" si="15"/>
        <v>#N/A</v>
      </c>
      <c r="I57" s="317" t="str">
        <f>IFERROR(IFERROR(VLOOKUP($A57,VENTAS!$H$2:$O$201,2,FALSE),"")/$C57,"")</f>
        <v/>
      </c>
      <c r="J57" s="111"/>
      <c r="K57" s="203" t="e">
        <f>VLOOKUP($A57,INICIO_BARRA!$A$6:$R$130,5,FALSE)</f>
        <v>#N/A</v>
      </c>
      <c r="L57" s="203" t="e">
        <f>VLOOKUP($A57,INICIO_BARRA!$A$6:$R$130,6,FALSE)</f>
        <v>#N/A</v>
      </c>
      <c r="M57" s="156"/>
      <c r="N57" s="204" t="str">
        <f>IFERROR(IFERROR(IF(M57&gt;0,"",M57*VLOOKUP($A57,'VALOR I.'!$B$6:$K$418,10,FALSE)),"")*$C57,"")</f>
        <v/>
      </c>
      <c r="O57" s="203" t="e">
        <f>VLOOKUP($A57,INICIO_BARRA!$A$6:$R$130,5,FALSE)</f>
        <v>#N/A</v>
      </c>
      <c r="P57" s="203" t="e">
        <f>VLOOKUP($A57,INICIO_BARRA!$A$6:$R$130,6,FALSE)</f>
        <v>#N/A</v>
      </c>
      <c r="Q57" s="203" t="str">
        <f>IFERROR(VLOOKUP($A57,REPOSICIONES_BARRA!$A$6:$I$130,4,FALSE),"")</f>
        <v/>
      </c>
      <c r="R57" s="315" t="e">
        <f t="shared" si="2"/>
        <v>#N/A</v>
      </c>
      <c r="S57" s="316" t="e">
        <f t="shared" si="3"/>
        <v>#N/A</v>
      </c>
      <c r="T57" s="317" t="str">
        <f>IFERROR(IFERROR(VLOOKUP($A57,VENTAS!$H$2:$O$201,3,FALSE),"")/$C57,"")</f>
        <v/>
      </c>
      <c r="U57" s="111"/>
      <c r="V57" s="203" t="e">
        <f>VLOOKUP($A57,INICIO_BARRA!$A$6:$R$130,7,FALSE)</f>
        <v>#N/A</v>
      </c>
      <c r="W57" s="203" t="e">
        <f>VLOOKUP($A57,INICIO_BARRA!$A$6:$R$130,8,FALSE)</f>
        <v>#N/A</v>
      </c>
      <c r="X57" s="156"/>
      <c r="Y57" s="204" t="str">
        <f>IFERROR(IFERROR(IF(X57&gt;0,"",X57*VLOOKUP($A57,'VALOR I.'!$B$6:$K$418,10,FALSE)),"")*$C57,"")</f>
        <v/>
      </c>
      <c r="Z57" s="203" t="e">
        <f>VLOOKUP($A57,INICIO_BARRA!$A$6:$R$130,7,FALSE)</f>
        <v>#N/A</v>
      </c>
      <c r="AA57" s="203" t="e">
        <f>VLOOKUP($A57,INICIO_BARRA!$A$6:$R$130,8,FALSE)</f>
        <v>#N/A</v>
      </c>
      <c r="AB57" s="203" t="str">
        <f>IFERROR(VLOOKUP($A57,REPOSICIONES_BARRA!$A$6:$I$130,5,FALSE),"")</f>
        <v/>
      </c>
      <c r="AC57" s="315" t="e">
        <f t="shared" si="4"/>
        <v>#N/A</v>
      </c>
      <c r="AD57" s="316" t="e">
        <f t="shared" si="5"/>
        <v>#N/A</v>
      </c>
      <c r="AE57" s="317" t="str">
        <f>IFERROR(IFERROR(VLOOKUP($A57,VENTAS!$H$2:$O$201,4,FALSE),"")/$C57,"")</f>
        <v/>
      </c>
      <c r="AF57" s="111"/>
      <c r="AG57" s="203" t="e">
        <f>VLOOKUP($A57,INICIO_BARRA!$A$6:$R$130,9,FALSE)</f>
        <v>#N/A</v>
      </c>
      <c r="AH57" s="203" t="e">
        <f>VLOOKUP($A57,INICIO_BARRA!$A$6:$R$130,10,FALSE)</f>
        <v>#N/A</v>
      </c>
      <c r="AI57" s="156"/>
      <c r="AJ57" s="94" t="str">
        <f>IFERROR(IFERROR(IF(AI57&gt;0,"",AI57*VLOOKUP($A57,'VALOR I.'!$B$6:$K$418,10,FALSE)),"")*$C57,"")</f>
        <v/>
      </c>
      <c r="AK57" s="203" t="e">
        <f>VLOOKUP($A57,INICIO_BARRA!$A$6:$R$130,9,FALSE)</f>
        <v>#N/A</v>
      </c>
      <c r="AL57" s="203" t="e">
        <f>VLOOKUP($A57,INICIO_BARRA!$A$6:$R$130,10,FALSE)</f>
        <v>#N/A</v>
      </c>
      <c r="AM57" s="203" t="str">
        <f>IFERROR(VLOOKUP($A57,REPOSICIONES_BARRA!$A$6:$I$130,6,FALSE),"")</f>
        <v/>
      </c>
      <c r="AN57" s="315" t="e">
        <f t="shared" si="6"/>
        <v>#N/A</v>
      </c>
      <c r="AO57" s="316" t="e">
        <f t="shared" si="7"/>
        <v>#N/A</v>
      </c>
      <c r="AP57" s="317" t="str">
        <f>IFERROR(IFERROR(VLOOKUP($A57,VENTAS!$H$2:$O$201,5,FALSE),"")/$C57,"")</f>
        <v/>
      </c>
      <c r="AQ57" s="111"/>
      <c r="AR57" s="203" t="e">
        <f>VLOOKUP($A57,INICIO_BARRA!$A$6:$R$130,11,FALSE)</f>
        <v>#N/A</v>
      </c>
      <c r="AS57" s="203" t="e">
        <f>VLOOKUP($A57,INICIO_BARRA!$A$6:$R$130,12,FALSE)</f>
        <v>#N/A</v>
      </c>
      <c r="AT57" s="156"/>
      <c r="AU57" s="94" t="str">
        <f>IFERROR(IFERROR(IF(AT57&gt;0,"",AT57*VLOOKUP($A57,'VALOR I.'!$B$6:$K$418,10,FALSE)),"")*$C57,"")</f>
        <v/>
      </c>
      <c r="AV57" s="203" t="e">
        <f>VLOOKUP($A57,INICIO_BARRA!$A$6:$R$130,11,FALSE)</f>
        <v>#N/A</v>
      </c>
      <c r="AW57" s="203" t="e">
        <f>VLOOKUP($A57,INICIO_BARRA!$A$6:$R$130,12,FALSE)</f>
        <v>#N/A</v>
      </c>
      <c r="AX57" s="203" t="str">
        <f>IFERROR(VLOOKUP($A57,REPOSICIONES_BARRA!$A$6:$I$130,7,FALSE),"")</f>
        <v/>
      </c>
      <c r="AY57" s="315" t="e">
        <f t="shared" si="8"/>
        <v>#N/A</v>
      </c>
      <c r="AZ57" s="316" t="e">
        <f t="shared" si="9"/>
        <v>#N/A</v>
      </c>
      <c r="BA57" s="317" t="str">
        <f>IFERROR(IFERROR(VLOOKUP($A57,VENTAS!$H$2:$O$201,6,FALSE),"")/$C57,"")</f>
        <v/>
      </c>
      <c r="BB57" s="111"/>
      <c r="BC57" s="203" t="e">
        <f>VLOOKUP($A57,INICIO_BARRA!$A$6:$R$130,13,FALSE)</f>
        <v>#N/A</v>
      </c>
      <c r="BD57" s="203" t="e">
        <f>VLOOKUP($A57,INICIO_BARRA!$A$6:$R$130,14,FALSE)</f>
        <v>#N/A</v>
      </c>
      <c r="BE57" s="156"/>
      <c r="BF57" s="94" t="str">
        <f>IFERROR(IFERROR(IF(BE57&gt;0,"",BE57*VLOOKUP($A57,'VALOR I.'!$B$6:$K$418,10,FALSE)),"")*$C57,"")</f>
        <v/>
      </c>
      <c r="BG57" s="203" t="e">
        <f>VLOOKUP($A57,INICIO_BARRA!$A$6:$R$130,13,FALSE)</f>
        <v>#N/A</v>
      </c>
      <c r="BH57" s="203" t="e">
        <f>VLOOKUP($A57,INICIO_BARRA!$A$6:$R$130,14,FALSE)</f>
        <v>#N/A</v>
      </c>
      <c r="BI57" s="203" t="str">
        <f>IFERROR(VLOOKUP($A57,REPOSICIONES_BARRA!$A$6:$I$130,8,FALSE),"")</f>
        <v/>
      </c>
      <c r="BJ57" s="315" t="e">
        <f t="shared" si="10"/>
        <v>#N/A</v>
      </c>
      <c r="BK57" s="316" t="e">
        <f t="shared" si="11"/>
        <v>#N/A</v>
      </c>
      <c r="BL57" s="317" t="str">
        <f>IFERROR(IFERROR(VLOOKUP($A57,VENTAS!$H$2:$O$201,7,FALSE),"")/$C57,"")</f>
        <v/>
      </c>
      <c r="BM57" s="111"/>
      <c r="BN57" s="203" t="e">
        <f>VLOOKUP($A57,INICIO_BARRA!$A$6:$R$130,15,FALSE)</f>
        <v>#N/A</v>
      </c>
      <c r="BO57" s="203" t="e">
        <f>VLOOKUP($A57,INICIO_BARRA!$A$6:$R$130,16,FALSE)</f>
        <v>#N/A</v>
      </c>
      <c r="BP57" s="156"/>
      <c r="BQ57" s="94" t="str">
        <f>IFERROR(IFERROR(IF(BP57&gt;0,"",BP57*VLOOKUP($A57,'VALOR I.'!$B$6:$K$418,10,FALSE)),"")*$C57,"")</f>
        <v/>
      </c>
      <c r="BR57" s="203" t="e">
        <f>VLOOKUP($A57,INICIO_BARRA!$A$6:$R$130,15,FALSE)</f>
        <v>#N/A</v>
      </c>
      <c r="BS57" s="203" t="e">
        <f>VLOOKUP($A57,INICIO_BARRA!$A$6:$R$130,16,FALSE)</f>
        <v>#N/A</v>
      </c>
      <c r="BT57" s="203" t="str">
        <f>IFERROR(VLOOKUP($A57,REPOSICIONES_BARRA!$A$6:$I$130,9,FALSE),"")</f>
        <v/>
      </c>
      <c r="BU57" s="315" t="e">
        <f t="shared" si="12"/>
        <v>#N/A</v>
      </c>
      <c r="BV57" s="316" t="e">
        <f t="shared" si="13"/>
        <v>#N/A</v>
      </c>
      <c r="BW57" s="317" t="str">
        <f>IFERROR(IFERROR(VLOOKUP($A57,VENTAS!$H$2:$O$201,8,FALSE),"")/$C57,"")</f>
        <v/>
      </c>
      <c r="BX57" s="111"/>
      <c r="BY57" s="203" t="e">
        <f>VLOOKUP($A57,INICIO_BARRA!$A$6:$R$130,17,FALSE)</f>
        <v>#N/A</v>
      </c>
      <c r="BZ57" s="203" t="e">
        <f>VLOOKUP($A57,INICIO_BARRA!$A$6:$R$130,18,FALSE)</f>
        <v>#N/A</v>
      </c>
      <c r="CA57" s="156"/>
      <c r="CB57" s="94" t="str">
        <f>IFERROR(IFERROR(IF(CA57&gt;0,"",CA57*VLOOKUP($A57,'VALOR I.'!$B$6:$K$418,10,FALSE)),"")*$C57,"")</f>
        <v/>
      </c>
    </row>
    <row r="58" spans="1:80" s="7" customFormat="1" ht="30" hidden="1" customHeight="1" x14ac:dyDescent="0.3">
      <c r="A58" s="3"/>
      <c r="B58" s="52"/>
      <c r="C58" s="135"/>
      <c r="D58" s="203" t="e">
        <f>VLOOKUP($A58,INICIO_BARRA!$A$6:$R$130,3,FALSE)</f>
        <v>#N/A</v>
      </c>
      <c r="E58" s="203" t="e">
        <f>VLOOKUP($A58,INICIO_BARRA!$A$6:$R$130,4,FALSE)</f>
        <v>#N/A</v>
      </c>
      <c r="F58" s="203" t="str">
        <f>IFERROR(VLOOKUP($A58,REPOSICIONES_BARRA!$A$6:$I$130,3,FALSE),"")</f>
        <v/>
      </c>
      <c r="G58" s="315" t="e">
        <f t="shared" si="14"/>
        <v>#N/A</v>
      </c>
      <c r="H58" s="316" t="e">
        <f t="shared" si="15"/>
        <v>#N/A</v>
      </c>
      <c r="I58" s="317" t="str">
        <f>IFERROR(IFERROR(VLOOKUP($A58,VENTAS!$H$2:$O$201,2,FALSE),"")/$C58,"")</f>
        <v/>
      </c>
      <c r="J58" s="111"/>
      <c r="K58" s="203" t="e">
        <f>VLOOKUP($A58,INICIO_BARRA!$A$6:$R$130,5,FALSE)</f>
        <v>#N/A</v>
      </c>
      <c r="L58" s="203" t="e">
        <f>VLOOKUP($A58,INICIO_BARRA!$A$6:$R$130,6,FALSE)</f>
        <v>#N/A</v>
      </c>
      <c r="M58" s="156"/>
      <c r="N58" s="204" t="str">
        <f>IFERROR(IFERROR(IF(M58&gt;0,"",M58*VLOOKUP($A58,'VALOR I.'!$B$6:$K$418,10,FALSE)),"")*$C58,"")</f>
        <v/>
      </c>
      <c r="O58" s="203" t="e">
        <f>VLOOKUP($A58,INICIO_BARRA!$A$6:$R$130,5,FALSE)</f>
        <v>#N/A</v>
      </c>
      <c r="P58" s="203" t="e">
        <f>VLOOKUP($A58,INICIO_BARRA!$A$6:$R$130,6,FALSE)</f>
        <v>#N/A</v>
      </c>
      <c r="Q58" s="203" t="str">
        <f>IFERROR(VLOOKUP($A58,REPOSICIONES_BARRA!$A$6:$I$130,4,FALSE),"")</f>
        <v/>
      </c>
      <c r="R58" s="315" t="e">
        <f t="shared" si="2"/>
        <v>#N/A</v>
      </c>
      <c r="S58" s="316" t="e">
        <f t="shared" si="3"/>
        <v>#N/A</v>
      </c>
      <c r="T58" s="317" t="str">
        <f>IFERROR(IFERROR(VLOOKUP($A58,VENTAS!$H$2:$O$201,3,FALSE),"")/$C58,"")</f>
        <v/>
      </c>
      <c r="U58" s="111"/>
      <c r="V58" s="203" t="e">
        <f>VLOOKUP($A58,INICIO_BARRA!$A$6:$R$130,7,FALSE)</f>
        <v>#N/A</v>
      </c>
      <c r="W58" s="203" t="e">
        <f>VLOOKUP($A58,INICIO_BARRA!$A$6:$R$130,8,FALSE)</f>
        <v>#N/A</v>
      </c>
      <c r="X58" s="156"/>
      <c r="Y58" s="204" t="str">
        <f>IFERROR(IFERROR(IF(X58&gt;0,"",X58*VLOOKUP($A58,'VALOR I.'!$B$6:$K$418,10,FALSE)),"")*$C58,"")</f>
        <v/>
      </c>
      <c r="Z58" s="203" t="e">
        <f>VLOOKUP($A58,INICIO_BARRA!$A$6:$R$130,7,FALSE)</f>
        <v>#N/A</v>
      </c>
      <c r="AA58" s="203" t="e">
        <f>VLOOKUP($A58,INICIO_BARRA!$A$6:$R$130,8,FALSE)</f>
        <v>#N/A</v>
      </c>
      <c r="AB58" s="203" t="str">
        <f>IFERROR(VLOOKUP($A58,REPOSICIONES_BARRA!$A$6:$I$130,5,FALSE),"")</f>
        <v/>
      </c>
      <c r="AC58" s="315" t="e">
        <f t="shared" si="4"/>
        <v>#N/A</v>
      </c>
      <c r="AD58" s="316" t="e">
        <f t="shared" si="5"/>
        <v>#N/A</v>
      </c>
      <c r="AE58" s="317" t="str">
        <f>IFERROR(IFERROR(VLOOKUP($A58,VENTAS!$H$2:$O$201,4,FALSE),"")/$C58,"")</f>
        <v/>
      </c>
      <c r="AF58" s="111"/>
      <c r="AG58" s="203" t="e">
        <f>VLOOKUP($A58,INICIO_BARRA!$A$6:$R$130,9,FALSE)</f>
        <v>#N/A</v>
      </c>
      <c r="AH58" s="203" t="e">
        <f>VLOOKUP($A58,INICIO_BARRA!$A$6:$R$130,10,FALSE)</f>
        <v>#N/A</v>
      </c>
      <c r="AI58" s="156"/>
      <c r="AJ58" s="94" t="str">
        <f>IFERROR(IFERROR(IF(AI58&gt;0,"",AI58*VLOOKUP($A58,'VALOR I.'!$B$6:$K$418,10,FALSE)),"")*$C58,"")</f>
        <v/>
      </c>
      <c r="AK58" s="203" t="e">
        <f>VLOOKUP($A58,INICIO_BARRA!$A$6:$R$130,9,FALSE)</f>
        <v>#N/A</v>
      </c>
      <c r="AL58" s="203" t="e">
        <f>VLOOKUP($A58,INICIO_BARRA!$A$6:$R$130,10,FALSE)</f>
        <v>#N/A</v>
      </c>
      <c r="AM58" s="203" t="str">
        <f>IFERROR(VLOOKUP($A58,REPOSICIONES_BARRA!$A$6:$I$130,6,FALSE),"")</f>
        <v/>
      </c>
      <c r="AN58" s="315" t="e">
        <f t="shared" si="6"/>
        <v>#N/A</v>
      </c>
      <c r="AO58" s="316" t="e">
        <f t="shared" si="7"/>
        <v>#N/A</v>
      </c>
      <c r="AP58" s="317" t="str">
        <f>IFERROR(IFERROR(VLOOKUP($A58,VENTAS!$H$2:$O$201,5,FALSE),"")/$C58,"")</f>
        <v/>
      </c>
      <c r="AQ58" s="111"/>
      <c r="AR58" s="203" t="e">
        <f>VLOOKUP($A58,INICIO_BARRA!$A$6:$R$130,11,FALSE)</f>
        <v>#N/A</v>
      </c>
      <c r="AS58" s="203" t="e">
        <f>VLOOKUP($A58,INICIO_BARRA!$A$6:$R$130,12,FALSE)</f>
        <v>#N/A</v>
      </c>
      <c r="AT58" s="156"/>
      <c r="AU58" s="94" t="str">
        <f>IFERROR(IFERROR(IF(AT58&gt;0,"",AT58*VLOOKUP($A58,'VALOR I.'!$B$6:$K$418,10,FALSE)),"")*$C58,"")</f>
        <v/>
      </c>
      <c r="AV58" s="203" t="e">
        <f>VLOOKUP($A58,INICIO_BARRA!$A$6:$R$130,11,FALSE)</f>
        <v>#N/A</v>
      </c>
      <c r="AW58" s="203" t="e">
        <f>VLOOKUP($A58,INICIO_BARRA!$A$6:$R$130,12,FALSE)</f>
        <v>#N/A</v>
      </c>
      <c r="AX58" s="203" t="str">
        <f>IFERROR(VLOOKUP($A58,REPOSICIONES_BARRA!$A$6:$I$130,7,FALSE),"")</f>
        <v/>
      </c>
      <c r="AY58" s="315" t="e">
        <f t="shared" si="8"/>
        <v>#N/A</v>
      </c>
      <c r="AZ58" s="316" t="e">
        <f t="shared" si="9"/>
        <v>#N/A</v>
      </c>
      <c r="BA58" s="317" t="str">
        <f>IFERROR(IFERROR(VLOOKUP($A58,VENTAS!$H$2:$O$201,6,FALSE),"")/$C58,"")</f>
        <v/>
      </c>
      <c r="BB58" s="111"/>
      <c r="BC58" s="203" t="e">
        <f>VLOOKUP($A58,INICIO_BARRA!$A$6:$R$130,13,FALSE)</f>
        <v>#N/A</v>
      </c>
      <c r="BD58" s="203" t="e">
        <f>VLOOKUP($A58,INICIO_BARRA!$A$6:$R$130,14,FALSE)</f>
        <v>#N/A</v>
      </c>
      <c r="BE58" s="156"/>
      <c r="BF58" s="94" t="str">
        <f>IFERROR(IFERROR(IF(BE58&gt;0,"",BE58*VLOOKUP($A58,'VALOR I.'!$B$6:$K$418,10,FALSE)),"")*$C58,"")</f>
        <v/>
      </c>
      <c r="BG58" s="203" t="e">
        <f>VLOOKUP($A58,INICIO_BARRA!$A$6:$R$130,13,FALSE)</f>
        <v>#N/A</v>
      </c>
      <c r="BH58" s="203" t="e">
        <f>VLOOKUP($A58,INICIO_BARRA!$A$6:$R$130,14,FALSE)</f>
        <v>#N/A</v>
      </c>
      <c r="BI58" s="203" t="str">
        <f>IFERROR(VLOOKUP($A58,REPOSICIONES_BARRA!$A$6:$I$130,8,FALSE),"")</f>
        <v/>
      </c>
      <c r="BJ58" s="315" t="e">
        <f t="shared" si="10"/>
        <v>#N/A</v>
      </c>
      <c r="BK58" s="316" t="e">
        <f t="shared" si="11"/>
        <v>#N/A</v>
      </c>
      <c r="BL58" s="317" t="str">
        <f>IFERROR(IFERROR(VLOOKUP($A58,VENTAS!$H$2:$O$201,7,FALSE),"")/$C58,"")</f>
        <v/>
      </c>
      <c r="BM58" s="111"/>
      <c r="BN58" s="203" t="e">
        <f>VLOOKUP($A58,INICIO_BARRA!$A$6:$R$130,15,FALSE)</f>
        <v>#N/A</v>
      </c>
      <c r="BO58" s="203" t="e">
        <f>VLOOKUP($A58,INICIO_BARRA!$A$6:$R$130,16,FALSE)</f>
        <v>#N/A</v>
      </c>
      <c r="BP58" s="156"/>
      <c r="BQ58" s="94" t="str">
        <f>IFERROR(IFERROR(IF(BP58&gt;0,"",BP58*VLOOKUP($A58,'VALOR I.'!$B$6:$K$418,10,FALSE)),"")*$C58,"")</f>
        <v/>
      </c>
      <c r="BR58" s="203" t="e">
        <f>VLOOKUP($A58,INICIO_BARRA!$A$6:$R$130,15,FALSE)</f>
        <v>#N/A</v>
      </c>
      <c r="BS58" s="203" t="e">
        <f>VLOOKUP($A58,INICIO_BARRA!$A$6:$R$130,16,FALSE)</f>
        <v>#N/A</v>
      </c>
      <c r="BT58" s="203" t="str">
        <f>IFERROR(VLOOKUP($A58,REPOSICIONES_BARRA!$A$6:$I$130,9,FALSE),"")</f>
        <v/>
      </c>
      <c r="BU58" s="315" t="e">
        <f t="shared" si="12"/>
        <v>#N/A</v>
      </c>
      <c r="BV58" s="316" t="e">
        <f t="shared" si="13"/>
        <v>#N/A</v>
      </c>
      <c r="BW58" s="317" t="str">
        <f>IFERROR(IFERROR(VLOOKUP($A58,VENTAS!$H$2:$O$201,8,FALSE),"")/$C58,"")</f>
        <v/>
      </c>
      <c r="BX58" s="111"/>
      <c r="BY58" s="203" t="e">
        <f>VLOOKUP($A58,INICIO_BARRA!$A$6:$R$130,17,FALSE)</f>
        <v>#N/A</v>
      </c>
      <c r="BZ58" s="203" t="e">
        <f>VLOOKUP($A58,INICIO_BARRA!$A$6:$R$130,18,FALSE)</f>
        <v>#N/A</v>
      </c>
      <c r="CA58" s="156"/>
      <c r="CB58" s="94" t="str">
        <f>IFERROR(IFERROR(IF(CA58&gt;0,"",CA58*VLOOKUP($A58,'VALOR I.'!$B$6:$K$418,10,FALSE)),"")*$C58,"")</f>
        <v/>
      </c>
    </row>
    <row r="59" spans="1:80" s="7" customFormat="1" ht="30" hidden="1" customHeight="1" x14ac:dyDescent="0.45">
      <c r="A59" s="3"/>
      <c r="B59" s="51"/>
      <c r="C59" s="135"/>
      <c r="D59" s="203" t="e">
        <f>VLOOKUP($A59,INICIO_BARRA!$A$6:$R$130,3,FALSE)</f>
        <v>#N/A</v>
      </c>
      <c r="E59" s="203" t="e">
        <f>VLOOKUP($A59,INICIO_BARRA!$A$6:$R$130,4,FALSE)</f>
        <v>#N/A</v>
      </c>
      <c r="F59" s="203" t="str">
        <f>IFERROR(VLOOKUP($A59,REPOSICIONES_BARRA!$A$6:$I$130,3,FALSE),"")</f>
        <v/>
      </c>
      <c r="G59" s="315" t="e">
        <f t="shared" si="14"/>
        <v>#N/A</v>
      </c>
      <c r="H59" s="316" t="e">
        <f t="shared" si="15"/>
        <v>#N/A</v>
      </c>
      <c r="I59" s="317" t="str">
        <f>IFERROR(IFERROR(VLOOKUP($A59,VENTAS!$H$2:$O$201,2,FALSE),"")/$C59,"")</f>
        <v/>
      </c>
      <c r="J59" s="111"/>
      <c r="K59" s="203" t="e">
        <f>VLOOKUP($A59,INICIO_BARRA!$A$6:$R$130,5,FALSE)</f>
        <v>#N/A</v>
      </c>
      <c r="L59" s="203" t="e">
        <f>VLOOKUP($A59,INICIO_BARRA!$A$6:$R$130,6,FALSE)</f>
        <v>#N/A</v>
      </c>
      <c r="M59" s="156"/>
      <c r="N59" s="204" t="str">
        <f>IFERROR(IFERROR(IF(M59&gt;0,"",M59*VLOOKUP($A59,'VALOR I.'!$B$6:$K$418,10,FALSE)),"")*$C59,"")</f>
        <v/>
      </c>
      <c r="O59" s="203" t="e">
        <f>VLOOKUP($A59,INICIO_BARRA!$A$6:$R$130,5,FALSE)</f>
        <v>#N/A</v>
      </c>
      <c r="P59" s="203" t="e">
        <f>VLOOKUP($A59,INICIO_BARRA!$A$6:$R$130,6,FALSE)</f>
        <v>#N/A</v>
      </c>
      <c r="Q59" s="203" t="str">
        <f>IFERROR(VLOOKUP($A59,REPOSICIONES_BARRA!$A$6:$I$130,4,FALSE),"")</f>
        <v/>
      </c>
      <c r="R59" s="315" t="e">
        <f t="shared" si="2"/>
        <v>#N/A</v>
      </c>
      <c r="S59" s="316" t="e">
        <f t="shared" si="3"/>
        <v>#N/A</v>
      </c>
      <c r="T59" s="317" t="str">
        <f>IFERROR(IFERROR(VLOOKUP($A59,VENTAS!$H$2:$O$201,3,FALSE),"")/$C59,"")</f>
        <v/>
      </c>
      <c r="U59" s="111"/>
      <c r="V59" s="203" t="e">
        <f>VLOOKUP($A59,INICIO_BARRA!$A$6:$R$130,7,FALSE)</f>
        <v>#N/A</v>
      </c>
      <c r="W59" s="203" t="e">
        <f>VLOOKUP($A59,INICIO_BARRA!$A$6:$R$130,8,FALSE)</f>
        <v>#N/A</v>
      </c>
      <c r="X59" s="156"/>
      <c r="Y59" s="204" t="str">
        <f>IFERROR(IFERROR(IF(X59&gt;0,"",X59*VLOOKUP($A59,'VALOR I.'!$B$6:$K$418,10,FALSE)),"")*$C59,"")</f>
        <v/>
      </c>
      <c r="Z59" s="203" t="e">
        <f>VLOOKUP($A59,INICIO_BARRA!$A$6:$R$130,7,FALSE)</f>
        <v>#N/A</v>
      </c>
      <c r="AA59" s="203" t="e">
        <f>VLOOKUP($A59,INICIO_BARRA!$A$6:$R$130,8,FALSE)</f>
        <v>#N/A</v>
      </c>
      <c r="AB59" s="203" t="str">
        <f>IFERROR(VLOOKUP($A59,REPOSICIONES_BARRA!$A$6:$I$130,5,FALSE),"")</f>
        <v/>
      </c>
      <c r="AC59" s="315" t="e">
        <f t="shared" si="4"/>
        <v>#N/A</v>
      </c>
      <c r="AD59" s="316" t="e">
        <f t="shared" si="5"/>
        <v>#N/A</v>
      </c>
      <c r="AE59" s="317" t="str">
        <f>IFERROR(IFERROR(VLOOKUP($A59,VENTAS!$H$2:$O$201,4,FALSE),"")/$C59,"")</f>
        <v/>
      </c>
      <c r="AF59" s="111"/>
      <c r="AG59" s="203" t="e">
        <f>VLOOKUP($A59,INICIO_BARRA!$A$6:$R$130,9,FALSE)</f>
        <v>#N/A</v>
      </c>
      <c r="AH59" s="203" t="e">
        <f>VLOOKUP($A59,INICIO_BARRA!$A$6:$R$130,10,FALSE)</f>
        <v>#N/A</v>
      </c>
      <c r="AI59" s="156"/>
      <c r="AJ59" s="94" t="str">
        <f>IFERROR(IFERROR(IF(AI59&gt;0,"",AI59*VLOOKUP($A59,'VALOR I.'!$B$6:$K$418,10,FALSE)),"")*$C59,"")</f>
        <v/>
      </c>
      <c r="AK59" s="203" t="e">
        <f>VLOOKUP($A59,INICIO_BARRA!$A$6:$R$130,9,FALSE)</f>
        <v>#N/A</v>
      </c>
      <c r="AL59" s="203" t="e">
        <f>VLOOKUP($A59,INICIO_BARRA!$A$6:$R$130,10,FALSE)</f>
        <v>#N/A</v>
      </c>
      <c r="AM59" s="203" t="str">
        <f>IFERROR(VLOOKUP($A59,REPOSICIONES_BARRA!$A$6:$I$130,6,FALSE),"")</f>
        <v/>
      </c>
      <c r="AN59" s="315" t="e">
        <f t="shared" si="6"/>
        <v>#N/A</v>
      </c>
      <c r="AO59" s="316" t="e">
        <f t="shared" si="7"/>
        <v>#N/A</v>
      </c>
      <c r="AP59" s="317" t="str">
        <f>IFERROR(IFERROR(VLOOKUP($A59,VENTAS!$H$2:$O$201,5,FALSE),"")/$C59,"")</f>
        <v/>
      </c>
      <c r="AQ59" s="111"/>
      <c r="AR59" s="203" t="e">
        <f>VLOOKUP($A59,INICIO_BARRA!$A$6:$R$130,11,FALSE)</f>
        <v>#N/A</v>
      </c>
      <c r="AS59" s="203" t="e">
        <f>VLOOKUP($A59,INICIO_BARRA!$A$6:$R$130,12,FALSE)</f>
        <v>#N/A</v>
      </c>
      <c r="AT59" s="156"/>
      <c r="AU59" s="94" t="str">
        <f>IFERROR(IFERROR(IF(AT59&gt;0,"",AT59*VLOOKUP($A59,'VALOR I.'!$B$6:$K$418,10,FALSE)),"")*$C59,"")</f>
        <v/>
      </c>
      <c r="AV59" s="203" t="e">
        <f>VLOOKUP($A59,INICIO_BARRA!$A$6:$R$130,11,FALSE)</f>
        <v>#N/A</v>
      </c>
      <c r="AW59" s="203" t="e">
        <f>VLOOKUP($A59,INICIO_BARRA!$A$6:$R$130,12,FALSE)</f>
        <v>#N/A</v>
      </c>
      <c r="AX59" s="203" t="str">
        <f>IFERROR(VLOOKUP($A59,REPOSICIONES_BARRA!$A$6:$I$130,7,FALSE),"")</f>
        <v/>
      </c>
      <c r="AY59" s="315" t="e">
        <f t="shared" si="8"/>
        <v>#N/A</v>
      </c>
      <c r="AZ59" s="316" t="e">
        <f t="shared" si="9"/>
        <v>#N/A</v>
      </c>
      <c r="BA59" s="317" t="str">
        <f>IFERROR(IFERROR(VLOOKUP($A59,VENTAS!$H$2:$O$201,6,FALSE),"")/$C59,"")</f>
        <v/>
      </c>
      <c r="BB59" s="111"/>
      <c r="BC59" s="203" t="e">
        <f>VLOOKUP($A59,INICIO_BARRA!$A$6:$R$130,13,FALSE)</f>
        <v>#N/A</v>
      </c>
      <c r="BD59" s="203" t="e">
        <f>VLOOKUP($A59,INICIO_BARRA!$A$6:$R$130,14,FALSE)</f>
        <v>#N/A</v>
      </c>
      <c r="BE59" s="156"/>
      <c r="BF59" s="94" t="str">
        <f>IFERROR(IFERROR(IF(BE59&gt;0,"",BE59*VLOOKUP($A59,'VALOR I.'!$B$6:$K$418,10,FALSE)),"")*$C59,"")</f>
        <v/>
      </c>
      <c r="BG59" s="203" t="e">
        <f>VLOOKUP($A59,INICIO_BARRA!$A$6:$R$130,13,FALSE)</f>
        <v>#N/A</v>
      </c>
      <c r="BH59" s="203" t="e">
        <f>VLOOKUP($A59,INICIO_BARRA!$A$6:$R$130,14,FALSE)</f>
        <v>#N/A</v>
      </c>
      <c r="BI59" s="203" t="str">
        <f>IFERROR(VLOOKUP($A59,REPOSICIONES_BARRA!$A$6:$I$130,8,FALSE),"")</f>
        <v/>
      </c>
      <c r="BJ59" s="315" t="e">
        <f t="shared" si="10"/>
        <v>#N/A</v>
      </c>
      <c r="BK59" s="316" t="e">
        <f t="shared" si="11"/>
        <v>#N/A</v>
      </c>
      <c r="BL59" s="317" t="str">
        <f>IFERROR(IFERROR(VLOOKUP($A59,VENTAS!$H$2:$O$201,7,FALSE),"")/$C59,"")</f>
        <v/>
      </c>
      <c r="BM59" s="111"/>
      <c r="BN59" s="203" t="e">
        <f>VLOOKUP($A59,INICIO_BARRA!$A$6:$R$130,15,FALSE)</f>
        <v>#N/A</v>
      </c>
      <c r="BO59" s="203" t="e">
        <f>VLOOKUP($A59,INICIO_BARRA!$A$6:$R$130,16,FALSE)</f>
        <v>#N/A</v>
      </c>
      <c r="BP59" s="156"/>
      <c r="BQ59" s="94" t="str">
        <f>IFERROR(IFERROR(IF(BP59&gt;0,"",BP59*VLOOKUP($A59,'VALOR I.'!$B$6:$K$418,10,FALSE)),"")*$C59,"")</f>
        <v/>
      </c>
      <c r="BR59" s="203" t="e">
        <f>VLOOKUP($A59,INICIO_BARRA!$A$6:$R$130,15,FALSE)</f>
        <v>#N/A</v>
      </c>
      <c r="BS59" s="203" t="e">
        <f>VLOOKUP($A59,INICIO_BARRA!$A$6:$R$130,16,FALSE)</f>
        <v>#N/A</v>
      </c>
      <c r="BT59" s="203" t="str">
        <f>IFERROR(VLOOKUP($A59,REPOSICIONES_BARRA!$A$6:$I$130,9,FALSE),"")</f>
        <v/>
      </c>
      <c r="BU59" s="315" t="e">
        <f t="shared" si="12"/>
        <v>#N/A</v>
      </c>
      <c r="BV59" s="316" t="e">
        <f t="shared" si="13"/>
        <v>#N/A</v>
      </c>
      <c r="BW59" s="317" t="str">
        <f>IFERROR(IFERROR(VLOOKUP($A59,VENTAS!$H$2:$O$201,8,FALSE),"")/$C59,"")</f>
        <v/>
      </c>
      <c r="BX59" s="111"/>
      <c r="BY59" s="203" t="e">
        <f>VLOOKUP($A59,INICIO_BARRA!$A$6:$R$130,17,FALSE)</f>
        <v>#N/A</v>
      </c>
      <c r="BZ59" s="203" t="e">
        <f>VLOOKUP($A59,INICIO_BARRA!$A$6:$R$130,18,FALSE)</f>
        <v>#N/A</v>
      </c>
      <c r="CA59" s="156"/>
      <c r="CB59" s="94" t="str">
        <f>IFERROR(IFERROR(IF(CA59&gt;0,"",CA59*VLOOKUP($A59,'VALOR I.'!$B$6:$K$418,10,FALSE)),"")*$C59,"")</f>
        <v/>
      </c>
    </row>
    <row r="60" spans="1:80" s="7" customFormat="1" ht="30" hidden="1" customHeight="1" x14ac:dyDescent="0.45">
      <c r="A60" s="3"/>
      <c r="B60" s="54"/>
      <c r="C60" s="135"/>
      <c r="D60" s="203" t="e">
        <f>VLOOKUP($A60,INICIO_BARRA!$A$6:$R$130,3,FALSE)</f>
        <v>#N/A</v>
      </c>
      <c r="E60" s="203" t="e">
        <f>VLOOKUP($A60,INICIO_BARRA!$A$6:$R$130,4,FALSE)</f>
        <v>#N/A</v>
      </c>
      <c r="F60" s="203" t="str">
        <f>IFERROR(VLOOKUP($A60,REPOSICIONES_BARRA!$A$6:$I$130,3,FALSE),"")</f>
        <v/>
      </c>
      <c r="G60" s="315" t="e">
        <f t="shared" si="14"/>
        <v>#N/A</v>
      </c>
      <c r="H60" s="316" t="e">
        <f t="shared" si="15"/>
        <v>#N/A</v>
      </c>
      <c r="I60" s="317" t="str">
        <f>IFERROR(IFERROR(VLOOKUP($A60,VENTAS!$H$2:$O$201,2,FALSE),"")/$C60,"")</f>
        <v/>
      </c>
      <c r="J60" s="111"/>
      <c r="K60" s="203" t="e">
        <f>VLOOKUP($A60,INICIO_BARRA!$A$6:$R$130,5,FALSE)</f>
        <v>#N/A</v>
      </c>
      <c r="L60" s="203" t="e">
        <f>VLOOKUP($A60,INICIO_BARRA!$A$6:$R$130,6,FALSE)</f>
        <v>#N/A</v>
      </c>
      <c r="M60" s="156"/>
      <c r="N60" s="204" t="str">
        <f>IFERROR(IFERROR(IF(M60&gt;0,"",M60*VLOOKUP($A60,'VALOR I.'!$B$6:$K$418,10,FALSE)),"")*$C60,"")</f>
        <v/>
      </c>
      <c r="O60" s="203" t="e">
        <f>VLOOKUP($A60,INICIO_BARRA!$A$6:$R$130,5,FALSE)</f>
        <v>#N/A</v>
      </c>
      <c r="P60" s="203" t="e">
        <f>VLOOKUP($A60,INICIO_BARRA!$A$6:$R$130,6,FALSE)</f>
        <v>#N/A</v>
      </c>
      <c r="Q60" s="203" t="str">
        <f>IFERROR(VLOOKUP($A60,REPOSICIONES_BARRA!$A$6:$I$130,4,FALSE),"")</f>
        <v/>
      </c>
      <c r="R60" s="315" t="e">
        <f t="shared" si="2"/>
        <v>#N/A</v>
      </c>
      <c r="S60" s="316" t="e">
        <f t="shared" si="3"/>
        <v>#N/A</v>
      </c>
      <c r="T60" s="317" t="str">
        <f>IFERROR(IFERROR(VLOOKUP($A60,VENTAS!$H$2:$O$201,3,FALSE),"")/$C60,"")</f>
        <v/>
      </c>
      <c r="U60" s="111"/>
      <c r="V60" s="203" t="e">
        <f>VLOOKUP($A60,INICIO_BARRA!$A$6:$R$130,7,FALSE)</f>
        <v>#N/A</v>
      </c>
      <c r="W60" s="203" t="e">
        <f>VLOOKUP($A60,INICIO_BARRA!$A$6:$R$130,8,FALSE)</f>
        <v>#N/A</v>
      </c>
      <c r="X60" s="156"/>
      <c r="Y60" s="204" t="str">
        <f>IFERROR(IFERROR(IF(X60&gt;0,"",X60*VLOOKUP($A60,'VALOR I.'!$B$6:$K$418,10,FALSE)),"")*$C60,"")</f>
        <v/>
      </c>
      <c r="Z60" s="203" t="e">
        <f>VLOOKUP($A60,INICIO_BARRA!$A$6:$R$130,7,FALSE)</f>
        <v>#N/A</v>
      </c>
      <c r="AA60" s="203" t="e">
        <f>VLOOKUP($A60,INICIO_BARRA!$A$6:$R$130,8,FALSE)</f>
        <v>#N/A</v>
      </c>
      <c r="AB60" s="203" t="str">
        <f>IFERROR(VLOOKUP($A60,REPOSICIONES_BARRA!$A$6:$I$130,5,FALSE),"")</f>
        <v/>
      </c>
      <c r="AC60" s="315" t="e">
        <f t="shared" si="4"/>
        <v>#N/A</v>
      </c>
      <c r="AD60" s="316" t="e">
        <f t="shared" si="5"/>
        <v>#N/A</v>
      </c>
      <c r="AE60" s="317" t="str">
        <f>IFERROR(IFERROR(VLOOKUP($A60,VENTAS!$H$2:$O$201,4,FALSE),"")/$C60,"")</f>
        <v/>
      </c>
      <c r="AF60" s="111"/>
      <c r="AG60" s="203" t="e">
        <f>VLOOKUP($A60,INICIO_BARRA!$A$6:$R$130,9,FALSE)</f>
        <v>#N/A</v>
      </c>
      <c r="AH60" s="203" t="e">
        <f>VLOOKUP($A60,INICIO_BARRA!$A$6:$R$130,10,FALSE)</f>
        <v>#N/A</v>
      </c>
      <c r="AI60" s="156"/>
      <c r="AJ60" s="94" t="str">
        <f>IFERROR(IFERROR(IF(AI60&gt;0,"",AI60*VLOOKUP($A60,'VALOR I.'!$B$6:$K$418,10,FALSE)),"")*$C60,"")</f>
        <v/>
      </c>
      <c r="AK60" s="203" t="e">
        <f>VLOOKUP($A60,INICIO_BARRA!$A$6:$R$130,9,FALSE)</f>
        <v>#N/A</v>
      </c>
      <c r="AL60" s="203" t="e">
        <f>VLOOKUP($A60,INICIO_BARRA!$A$6:$R$130,10,FALSE)</f>
        <v>#N/A</v>
      </c>
      <c r="AM60" s="203" t="str">
        <f>IFERROR(VLOOKUP($A60,REPOSICIONES_BARRA!$A$6:$I$130,6,FALSE),"")</f>
        <v/>
      </c>
      <c r="AN60" s="315" t="e">
        <f t="shared" si="6"/>
        <v>#N/A</v>
      </c>
      <c r="AO60" s="316" t="e">
        <f t="shared" si="7"/>
        <v>#N/A</v>
      </c>
      <c r="AP60" s="317" t="str">
        <f>IFERROR(IFERROR(VLOOKUP($A60,VENTAS!$H$2:$O$201,5,FALSE),"")/$C60,"")</f>
        <v/>
      </c>
      <c r="AQ60" s="111"/>
      <c r="AR60" s="203" t="e">
        <f>VLOOKUP($A60,INICIO_BARRA!$A$6:$R$130,11,FALSE)</f>
        <v>#N/A</v>
      </c>
      <c r="AS60" s="203" t="e">
        <f>VLOOKUP($A60,INICIO_BARRA!$A$6:$R$130,12,FALSE)</f>
        <v>#N/A</v>
      </c>
      <c r="AT60" s="156"/>
      <c r="AU60" s="94" t="str">
        <f>IFERROR(IFERROR(IF(AT60&gt;0,"",AT60*VLOOKUP($A60,'VALOR I.'!$B$6:$K$418,10,FALSE)),"")*$C60,"")</f>
        <v/>
      </c>
      <c r="AV60" s="203" t="e">
        <f>VLOOKUP($A60,INICIO_BARRA!$A$6:$R$130,11,FALSE)</f>
        <v>#N/A</v>
      </c>
      <c r="AW60" s="203" t="e">
        <f>VLOOKUP($A60,INICIO_BARRA!$A$6:$R$130,12,FALSE)</f>
        <v>#N/A</v>
      </c>
      <c r="AX60" s="203" t="str">
        <f>IFERROR(VLOOKUP($A60,REPOSICIONES_BARRA!$A$6:$I$130,7,FALSE),"")</f>
        <v/>
      </c>
      <c r="AY60" s="315" t="e">
        <f t="shared" si="8"/>
        <v>#N/A</v>
      </c>
      <c r="AZ60" s="316" t="e">
        <f t="shared" si="9"/>
        <v>#N/A</v>
      </c>
      <c r="BA60" s="317" t="str">
        <f>IFERROR(IFERROR(VLOOKUP($A60,VENTAS!$H$2:$O$201,6,FALSE),"")/$C60,"")</f>
        <v/>
      </c>
      <c r="BB60" s="111"/>
      <c r="BC60" s="203" t="e">
        <f>VLOOKUP($A60,INICIO_BARRA!$A$6:$R$130,13,FALSE)</f>
        <v>#N/A</v>
      </c>
      <c r="BD60" s="203" t="e">
        <f>VLOOKUP($A60,INICIO_BARRA!$A$6:$R$130,14,FALSE)</f>
        <v>#N/A</v>
      </c>
      <c r="BE60" s="156"/>
      <c r="BF60" s="94" t="str">
        <f>IFERROR(IFERROR(IF(BE60&gt;0,"",BE60*VLOOKUP($A60,'VALOR I.'!$B$6:$K$418,10,FALSE)),"")*$C60,"")</f>
        <v/>
      </c>
      <c r="BG60" s="203" t="e">
        <f>VLOOKUP($A60,INICIO_BARRA!$A$6:$R$130,13,FALSE)</f>
        <v>#N/A</v>
      </c>
      <c r="BH60" s="203" t="e">
        <f>VLOOKUP($A60,INICIO_BARRA!$A$6:$R$130,14,FALSE)</f>
        <v>#N/A</v>
      </c>
      <c r="BI60" s="203" t="str">
        <f>IFERROR(VLOOKUP($A60,REPOSICIONES_BARRA!$A$6:$I$130,8,FALSE),"")</f>
        <v/>
      </c>
      <c r="BJ60" s="315" t="e">
        <f t="shared" si="10"/>
        <v>#N/A</v>
      </c>
      <c r="BK60" s="316" t="e">
        <f t="shared" si="11"/>
        <v>#N/A</v>
      </c>
      <c r="BL60" s="317" t="str">
        <f>IFERROR(IFERROR(VLOOKUP($A60,VENTAS!$H$2:$O$201,7,FALSE),"")/$C60,"")</f>
        <v/>
      </c>
      <c r="BM60" s="111"/>
      <c r="BN60" s="203" t="e">
        <f>VLOOKUP($A60,INICIO_BARRA!$A$6:$R$130,15,FALSE)</f>
        <v>#N/A</v>
      </c>
      <c r="BO60" s="203" t="e">
        <f>VLOOKUP($A60,INICIO_BARRA!$A$6:$R$130,16,FALSE)</f>
        <v>#N/A</v>
      </c>
      <c r="BP60" s="156"/>
      <c r="BQ60" s="94" t="str">
        <f>IFERROR(IFERROR(IF(BP60&gt;0,"",BP60*VLOOKUP($A60,'VALOR I.'!$B$6:$K$418,10,FALSE)),"")*$C60,"")</f>
        <v/>
      </c>
      <c r="BR60" s="203" t="e">
        <f>VLOOKUP($A60,INICIO_BARRA!$A$6:$R$130,15,FALSE)</f>
        <v>#N/A</v>
      </c>
      <c r="BS60" s="203" t="e">
        <f>VLOOKUP($A60,INICIO_BARRA!$A$6:$R$130,16,FALSE)</f>
        <v>#N/A</v>
      </c>
      <c r="BT60" s="203" t="str">
        <f>IFERROR(VLOOKUP($A60,REPOSICIONES_BARRA!$A$6:$I$130,9,FALSE),"")</f>
        <v/>
      </c>
      <c r="BU60" s="315" t="e">
        <f t="shared" si="12"/>
        <v>#N/A</v>
      </c>
      <c r="BV60" s="316" t="e">
        <f t="shared" si="13"/>
        <v>#N/A</v>
      </c>
      <c r="BW60" s="317" t="str">
        <f>IFERROR(IFERROR(VLOOKUP($A60,VENTAS!$H$2:$O$201,8,FALSE),"")/$C60,"")</f>
        <v/>
      </c>
      <c r="BX60" s="111"/>
      <c r="BY60" s="203" t="e">
        <f>VLOOKUP($A60,INICIO_BARRA!$A$6:$R$130,17,FALSE)</f>
        <v>#N/A</v>
      </c>
      <c r="BZ60" s="203" t="e">
        <f>VLOOKUP($A60,INICIO_BARRA!$A$6:$R$130,18,FALSE)</f>
        <v>#N/A</v>
      </c>
      <c r="CA60" s="156"/>
      <c r="CB60" s="94" t="str">
        <f>IFERROR(IFERROR(IF(CA60&gt;0,"",CA60*VLOOKUP($A60,'VALOR I.'!$B$6:$K$418,10,FALSE)),"")*$C60,"")</f>
        <v/>
      </c>
    </row>
    <row r="61" spans="1:80" s="7" customFormat="1" ht="30" hidden="1" customHeight="1" x14ac:dyDescent="0.45">
      <c r="A61" s="3"/>
      <c r="B61" s="26"/>
      <c r="C61" s="133"/>
      <c r="D61" s="203" t="e">
        <f>VLOOKUP($A61,INICIO_BARRA!$A$6:$R$130,3,FALSE)</f>
        <v>#N/A</v>
      </c>
      <c r="E61" s="203" t="e">
        <f>VLOOKUP($A61,INICIO_BARRA!$A$6:$R$130,4,FALSE)</f>
        <v>#N/A</v>
      </c>
      <c r="F61" s="203" t="str">
        <f>IFERROR(VLOOKUP($A61,REPOSICIONES_BARRA!$A$6:$I$130,3,FALSE),"")</f>
        <v/>
      </c>
      <c r="G61" s="315" t="e">
        <f t="shared" si="14"/>
        <v>#N/A</v>
      </c>
      <c r="H61" s="316" t="e">
        <f t="shared" si="15"/>
        <v>#N/A</v>
      </c>
      <c r="I61" s="317" t="str">
        <f>IFERROR(IFERROR(VLOOKUP($A61,VENTAS!$H$2:$O$201,2,FALSE),"")/$C61,"")</f>
        <v/>
      </c>
      <c r="J61" s="111"/>
      <c r="K61" s="203" t="e">
        <f>VLOOKUP($A61,INICIO_BARRA!$A$6:$R$130,5,FALSE)</f>
        <v>#N/A</v>
      </c>
      <c r="L61" s="203" t="e">
        <f>VLOOKUP($A61,INICIO_BARRA!$A$6:$R$130,6,FALSE)</f>
        <v>#N/A</v>
      </c>
      <c r="M61" s="156"/>
      <c r="N61" s="204" t="str">
        <f>IFERROR(IFERROR(IF(M61&gt;0,"",M61*VLOOKUP($A61,'VALOR I.'!$B$6:$K$418,10,FALSE)),"")*$C61,"")</f>
        <v/>
      </c>
      <c r="O61" s="203" t="e">
        <f>VLOOKUP($A61,INICIO_BARRA!$A$6:$R$130,5,FALSE)</f>
        <v>#N/A</v>
      </c>
      <c r="P61" s="203" t="e">
        <f>VLOOKUP($A61,INICIO_BARRA!$A$6:$R$130,6,FALSE)</f>
        <v>#N/A</v>
      </c>
      <c r="Q61" s="203" t="str">
        <f>IFERROR(VLOOKUP($A61,REPOSICIONES_BARRA!$A$6:$I$130,4,FALSE),"")</f>
        <v/>
      </c>
      <c r="R61" s="315" t="e">
        <f t="shared" si="2"/>
        <v>#N/A</v>
      </c>
      <c r="S61" s="316" t="e">
        <f t="shared" si="3"/>
        <v>#N/A</v>
      </c>
      <c r="T61" s="317" t="str">
        <f>IFERROR(IFERROR(VLOOKUP($A61,VENTAS!$H$2:$O$201,3,FALSE),"")/$C61,"")</f>
        <v/>
      </c>
      <c r="U61" s="111"/>
      <c r="V61" s="203" t="e">
        <f>VLOOKUP($A61,INICIO_BARRA!$A$6:$R$130,7,FALSE)</f>
        <v>#N/A</v>
      </c>
      <c r="W61" s="203" t="e">
        <f>VLOOKUP($A61,INICIO_BARRA!$A$6:$R$130,8,FALSE)</f>
        <v>#N/A</v>
      </c>
      <c r="X61" s="156"/>
      <c r="Y61" s="204" t="str">
        <f>IFERROR(IFERROR(IF(X61&gt;0,"",X61*VLOOKUP($A61,'VALOR I.'!$B$6:$K$418,10,FALSE)),"")*$C61,"")</f>
        <v/>
      </c>
      <c r="Z61" s="203" t="e">
        <f>VLOOKUP($A61,INICIO_BARRA!$A$6:$R$130,7,FALSE)</f>
        <v>#N/A</v>
      </c>
      <c r="AA61" s="203" t="e">
        <f>VLOOKUP($A61,INICIO_BARRA!$A$6:$R$130,8,FALSE)</f>
        <v>#N/A</v>
      </c>
      <c r="AB61" s="203" t="str">
        <f>IFERROR(VLOOKUP($A61,REPOSICIONES_BARRA!$A$6:$I$130,5,FALSE),"")</f>
        <v/>
      </c>
      <c r="AC61" s="315" t="e">
        <f t="shared" si="4"/>
        <v>#N/A</v>
      </c>
      <c r="AD61" s="316" t="e">
        <f t="shared" si="5"/>
        <v>#N/A</v>
      </c>
      <c r="AE61" s="317" t="str">
        <f>IFERROR(IFERROR(VLOOKUP($A61,VENTAS!$H$2:$O$201,4,FALSE),"")/$C61,"")</f>
        <v/>
      </c>
      <c r="AF61" s="111"/>
      <c r="AG61" s="203" t="e">
        <f>VLOOKUP($A61,INICIO_BARRA!$A$6:$R$130,9,FALSE)</f>
        <v>#N/A</v>
      </c>
      <c r="AH61" s="203" t="e">
        <f>VLOOKUP($A61,INICIO_BARRA!$A$6:$R$130,10,FALSE)</f>
        <v>#N/A</v>
      </c>
      <c r="AI61" s="156"/>
      <c r="AJ61" s="94" t="str">
        <f>IFERROR(IFERROR(IF(AI61&gt;0,"",AI61*VLOOKUP($A61,'VALOR I.'!$B$6:$K$418,10,FALSE)),"")*$C61,"")</f>
        <v/>
      </c>
      <c r="AK61" s="203" t="e">
        <f>VLOOKUP($A61,INICIO_BARRA!$A$6:$R$130,9,FALSE)</f>
        <v>#N/A</v>
      </c>
      <c r="AL61" s="203" t="e">
        <f>VLOOKUP($A61,INICIO_BARRA!$A$6:$R$130,10,FALSE)</f>
        <v>#N/A</v>
      </c>
      <c r="AM61" s="203" t="str">
        <f>IFERROR(VLOOKUP($A61,REPOSICIONES_BARRA!$A$6:$I$130,6,FALSE),"")</f>
        <v/>
      </c>
      <c r="AN61" s="315" t="e">
        <f t="shared" si="6"/>
        <v>#N/A</v>
      </c>
      <c r="AO61" s="316" t="e">
        <f t="shared" si="7"/>
        <v>#N/A</v>
      </c>
      <c r="AP61" s="317" t="str">
        <f>IFERROR(IFERROR(VLOOKUP($A61,VENTAS!$H$2:$O$201,5,FALSE),"")/$C61,"")</f>
        <v/>
      </c>
      <c r="AQ61" s="111"/>
      <c r="AR61" s="203" t="e">
        <f>VLOOKUP($A61,INICIO_BARRA!$A$6:$R$130,11,FALSE)</f>
        <v>#N/A</v>
      </c>
      <c r="AS61" s="203" t="e">
        <f>VLOOKUP($A61,INICIO_BARRA!$A$6:$R$130,12,FALSE)</f>
        <v>#N/A</v>
      </c>
      <c r="AT61" s="156"/>
      <c r="AU61" s="94" t="str">
        <f>IFERROR(IFERROR(IF(AT61&gt;0,"",AT61*VLOOKUP($A61,'VALOR I.'!$B$6:$K$418,10,FALSE)),"")*$C61,"")</f>
        <v/>
      </c>
      <c r="AV61" s="203" t="e">
        <f>VLOOKUP($A61,INICIO_BARRA!$A$6:$R$130,11,FALSE)</f>
        <v>#N/A</v>
      </c>
      <c r="AW61" s="203" t="e">
        <f>VLOOKUP($A61,INICIO_BARRA!$A$6:$R$130,12,FALSE)</f>
        <v>#N/A</v>
      </c>
      <c r="AX61" s="203" t="str">
        <f>IFERROR(VLOOKUP($A61,REPOSICIONES_BARRA!$A$6:$I$130,7,FALSE),"")</f>
        <v/>
      </c>
      <c r="AY61" s="315" t="e">
        <f t="shared" si="8"/>
        <v>#N/A</v>
      </c>
      <c r="AZ61" s="316" t="e">
        <f t="shared" si="9"/>
        <v>#N/A</v>
      </c>
      <c r="BA61" s="317" t="str">
        <f>IFERROR(IFERROR(VLOOKUP($A61,VENTAS!$H$2:$O$201,6,FALSE),"")/$C61,"")</f>
        <v/>
      </c>
      <c r="BB61" s="111"/>
      <c r="BC61" s="203" t="e">
        <f>VLOOKUP($A61,INICIO_BARRA!$A$6:$R$130,13,FALSE)</f>
        <v>#N/A</v>
      </c>
      <c r="BD61" s="203" t="e">
        <f>VLOOKUP($A61,INICIO_BARRA!$A$6:$R$130,14,FALSE)</f>
        <v>#N/A</v>
      </c>
      <c r="BE61" s="156"/>
      <c r="BF61" s="94" t="str">
        <f>IFERROR(IFERROR(IF(BE61&gt;0,"",BE61*VLOOKUP($A61,'VALOR I.'!$B$6:$K$418,10,FALSE)),"")*$C61,"")</f>
        <v/>
      </c>
      <c r="BG61" s="203" t="e">
        <f>VLOOKUP($A61,INICIO_BARRA!$A$6:$R$130,13,FALSE)</f>
        <v>#N/A</v>
      </c>
      <c r="BH61" s="203" t="e">
        <f>VLOOKUP($A61,INICIO_BARRA!$A$6:$R$130,14,FALSE)</f>
        <v>#N/A</v>
      </c>
      <c r="BI61" s="203" t="str">
        <f>IFERROR(VLOOKUP($A61,REPOSICIONES_BARRA!$A$6:$I$130,8,FALSE),"")</f>
        <v/>
      </c>
      <c r="BJ61" s="315" t="e">
        <f t="shared" si="10"/>
        <v>#N/A</v>
      </c>
      <c r="BK61" s="316" t="e">
        <f t="shared" si="11"/>
        <v>#N/A</v>
      </c>
      <c r="BL61" s="317" t="str">
        <f>IFERROR(IFERROR(VLOOKUP($A61,VENTAS!$H$2:$O$201,7,FALSE),"")/$C61,"")</f>
        <v/>
      </c>
      <c r="BM61" s="111"/>
      <c r="BN61" s="203" t="e">
        <f>VLOOKUP($A61,INICIO_BARRA!$A$6:$R$130,15,FALSE)</f>
        <v>#N/A</v>
      </c>
      <c r="BO61" s="203" t="e">
        <f>VLOOKUP($A61,INICIO_BARRA!$A$6:$R$130,16,FALSE)</f>
        <v>#N/A</v>
      </c>
      <c r="BP61" s="156"/>
      <c r="BQ61" s="94" t="str">
        <f>IFERROR(IFERROR(IF(BP61&gt;0,"",BP61*VLOOKUP($A61,'VALOR I.'!$B$6:$K$418,10,FALSE)),"")*$C61,"")</f>
        <v/>
      </c>
      <c r="BR61" s="203" t="e">
        <f>VLOOKUP($A61,INICIO_BARRA!$A$6:$R$130,15,FALSE)</f>
        <v>#N/A</v>
      </c>
      <c r="BS61" s="203" t="e">
        <f>VLOOKUP($A61,INICIO_BARRA!$A$6:$R$130,16,FALSE)</f>
        <v>#N/A</v>
      </c>
      <c r="BT61" s="203" t="str">
        <f>IFERROR(VLOOKUP($A61,REPOSICIONES_BARRA!$A$6:$I$130,9,FALSE),"")</f>
        <v/>
      </c>
      <c r="BU61" s="315" t="e">
        <f t="shared" si="12"/>
        <v>#N/A</v>
      </c>
      <c r="BV61" s="316" t="e">
        <f t="shared" si="13"/>
        <v>#N/A</v>
      </c>
      <c r="BW61" s="317" t="str">
        <f>IFERROR(IFERROR(VLOOKUP($A61,VENTAS!$H$2:$O$201,8,FALSE),"")/$C61,"")</f>
        <v/>
      </c>
      <c r="BX61" s="111"/>
      <c r="BY61" s="203" t="e">
        <f>VLOOKUP($A61,INICIO_BARRA!$A$6:$R$130,17,FALSE)</f>
        <v>#N/A</v>
      </c>
      <c r="BZ61" s="203" t="e">
        <f>VLOOKUP($A61,INICIO_BARRA!$A$6:$R$130,18,FALSE)</f>
        <v>#N/A</v>
      </c>
      <c r="CA61" s="156"/>
      <c r="CB61" s="94" t="str">
        <f>IFERROR(IFERROR(IF(CA61&gt;0,"",CA61*VLOOKUP($A61,'VALOR I.'!$B$6:$K$418,10,FALSE)),"")*$C61,"")</f>
        <v/>
      </c>
    </row>
    <row r="62" spans="1:80" s="7" customFormat="1" ht="30" hidden="1" customHeight="1" x14ac:dyDescent="0.45">
      <c r="A62" s="3"/>
      <c r="B62" s="22"/>
      <c r="C62" s="130"/>
      <c r="D62" s="203" t="e">
        <f>VLOOKUP($A62,INICIO_BARRA!$A$6:$R$130,3,FALSE)</f>
        <v>#N/A</v>
      </c>
      <c r="E62" s="203" t="e">
        <f>VLOOKUP($A62,INICIO_BARRA!$A$6:$R$130,4,FALSE)</f>
        <v>#N/A</v>
      </c>
      <c r="F62" s="203" t="str">
        <f>IFERROR(VLOOKUP($A62,REPOSICIONES_BARRA!$A$6:$I$130,3,FALSE),"")</f>
        <v/>
      </c>
      <c r="G62" s="315" t="e">
        <f t="shared" si="14"/>
        <v>#N/A</v>
      </c>
      <c r="H62" s="316" t="e">
        <f t="shared" si="15"/>
        <v>#N/A</v>
      </c>
      <c r="I62" s="317" t="str">
        <f>IFERROR(IFERROR(VLOOKUP($A62,VENTAS!$H$2:$O$201,2,FALSE),"")/$C62,"")</f>
        <v/>
      </c>
      <c r="J62" s="111"/>
      <c r="K62" s="203" t="e">
        <f>VLOOKUP($A62,INICIO_BARRA!$A$6:$R$130,5,FALSE)</f>
        <v>#N/A</v>
      </c>
      <c r="L62" s="203" t="e">
        <f>VLOOKUP($A62,INICIO_BARRA!$A$6:$R$130,6,FALSE)</f>
        <v>#N/A</v>
      </c>
      <c r="M62" s="156"/>
      <c r="N62" s="204" t="str">
        <f>IFERROR(IFERROR(IF(M62&gt;0,"",M62*VLOOKUP($A62,'VALOR I.'!$B$6:$K$418,10,FALSE)),"")*$C62,"")</f>
        <v/>
      </c>
      <c r="O62" s="203" t="e">
        <f>VLOOKUP($A62,INICIO_BARRA!$A$6:$R$130,5,FALSE)</f>
        <v>#N/A</v>
      </c>
      <c r="P62" s="203" t="e">
        <f>VLOOKUP($A62,INICIO_BARRA!$A$6:$R$130,6,FALSE)</f>
        <v>#N/A</v>
      </c>
      <c r="Q62" s="203" t="str">
        <f>IFERROR(VLOOKUP($A62,REPOSICIONES_BARRA!$A$6:$I$130,4,FALSE),"")</f>
        <v/>
      </c>
      <c r="R62" s="315" t="e">
        <f t="shared" si="2"/>
        <v>#N/A</v>
      </c>
      <c r="S62" s="316" t="e">
        <f t="shared" si="3"/>
        <v>#N/A</v>
      </c>
      <c r="T62" s="317" t="str">
        <f>IFERROR(IFERROR(VLOOKUP($A62,VENTAS!$H$2:$O$201,3,FALSE),"")/$C62,"")</f>
        <v/>
      </c>
      <c r="U62" s="111"/>
      <c r="V62" s="203" t="e">
        <f>VLOOKUP($A62,INICIO_BARRA!$A$6:$R$130,7,FALSE)</f>
        <v>#N/A</v>
      </c>
      <c r="W62" s="203" t="e">
        <f>VLOOKUP($A62,INICIO_BARRA!$A$6:$R$130,8,FALSE)</f>
        <v>#N/A</v>
      </c>
      <c r="X62" s="156"/>
      <c r="Y62" s="204" t="str">
        <f>IFERROR(IFERROR(IF(X62&gt;0,"",X62*VLOOKUP($A62,'VALOR I.'!$B$6:$K$418,10,FALSE)),"")*$C62,"")</f>
        <v/>
      </c>
      <c r="Z62" s="203" t="e">
        <f>VLOOKUP($A62,INICIO_BARRA!$A$6:$R$130,7,FALSE)</f>
        <v>#N/A</v>
      </c>
      <c r="AA62" s="203" t="e">
        <f>VLOOKUP($A62,INICIO_BARRA!$A$6:$R$130,8,FALSE)</f>
        <v>#N/A</v>
      </c>
      <c r="AB62" s="203" t="str">
        <f>IFERROR(VLOOKUP($A62,REPOSICIONES_BARRA!$A$6:$I$130,5,FALSE),"")</f>
        <v/>
      </c>
      <c r="AC62" s="315" t="e">
        <f t="shared" si="4"/>
        <v>#N/A</v>
      </c>
      <c r="AD62" s="316" t="e">
        <f t="shared" si="5"/>
        <v>#N/A</v>
      </c>
      <c r="AE62" s="317" t="str">
        <f>IFERROR(IFERROR(VLOOKUP($A62,VENTAS!$H$2:$O$201,4,FALSE),"")/$C62,"")</f>
        <v/>
      </c>
      <c r="AF62" s="111"/>
      <c r="AG62" s="203" t="e">
        <f>VLOOKUP($A62,INICIO_BARRA!$A$6:$R$130,9,FALSE)</f>
        <v>#N/A</v>
      </c>
      <c r="AH62" s="203" t="e">
        <f>VLOOKUP($A62,INICIO_BARRA!$A$6:$R$130,10,FALSE)</f>
        <v>#N/A</v>
      </c>
      <c r="AI62" s="156"/>
      <c r="AJ62" s="94" t="str">
        <f>IFERROR(IFERROR(IF(AI62&gt;0,"",AI62*VLOOKUP($A62,'VALOR I.'!$B$6:$K$418,10,FALSE)),"")*$C62,"")</f>
        <v/>
      </c>
      <c r="AK62" s="203" t="e">
        <f>VLOOKUP($A62,INICIO_BARRA!$A$6:$R$130,9,FALSE)</f>
        <v>#N/A</v>
      </c>
      <c r="AL62" s="203" t="e">
        <f>VLOOKUP($A62,INICIO_BARRA!$A$6:$R$130,10,FALSE)</f>
        <v>#N/A</v>
      </c>
      <c r="AM62" s="203" t="str">
        <f>IFERROR(VLOOKUP($A62,REPOSICIONES_BARRA!$A$6:$I$130,6,FALSE),"")</f>
        <v/>
      </c>
      <c r="AN62" s="315" t="e">
        <f t="shared" si="6"/>
        <v>#N/A</v>
      </c>
      <c r="AO62" s="316" t="e">
        <f t="shared" si="7"/>
        <v>#N/A</v>
      </c>
      <c r="AP62" s="317" t="str">
        <f>IFERROR(IFERROR(VLOOKUP($A62,VENTAS!$H$2:$O$201,5,FALSE),"")/$C62,"")</f>
        <v/>
      </c>
      <c r="AQ62" s="111"/>
      <c r="AR62" s="203" t="e">
        <f>VLOOKUP($A62,INICIO_BARRA!$A$6:$R$130,11,FALSE)</f>
        <v>#N/A</v>
      </c>
      <c r="AS62" s="203" t="e">
        <f>VLOOKUP($A62,INICIO_BARRA!$A$6:$R$130,12,FALSE)</f>
        <v>#N/A</v>
      </c>
      <c r="AT62" s="156"/>
      <c r="AU62" s="94" t="str">
        <f>IFERROR(IFERROR(IF(AT62&gt;0,"",AT62*VLOOKUP($A62,'VALOR I.'!$B$6:$K$418,10,FALSE)),"")*$C62,"")</f>
        <v/>
      </c>
      <c r="AV62" s="203" t="e">
        <f>VLOOKUP($A62,INICIO_BARRA!$A$6:$R$130,11,FALSE)</f>
        <v>#N/A</v>
      </c>
      <c r="AW62" s="203" t="e">
        <f>VLOOKUP($A62,INICIO_BARRA!$A$6:$R$130,12,FALSE)</f>
        <v>#N/A</v>
      </c>
      <c r="AX62" s="203" t="str">
        <f>IFERROR(VLOOKUP($A62,REPOSICIONES_BARRA!$A$6:$I$130,7,FALSE),"")</f>
        <v/>
      </c>
      <c r="AY62" s="315" t="e">
        <f t="shared" si="8"/>
        <v>#N/A</v>
      </c>
      <c r="AZ62" s="316" t="e">
        <f t="shared" si="9"/>
        <v>#N/A</v>
      </c>
      <c r="BA62" s="317" t="str">
        <f>IFERROR(IFERROR(VLOOKUP($A62,VENTAS!$H$2:$O$201,6,FALSE),"")/$C62,"")</f>
        <v/>
      </c>
      <c r="BB62" s="111"/>
      <c r="BC62" s="203" t="e">
        <f>VLOOKUP($A62,INICIO_BARRA!$A$6:$R$130,13,FALSE)</f>
        <v>#N/A</v>
      </c>
      <c r="BD62" s="203" t="e">
        <f>VLOOKUP($A62,INICIO_BARRA!$A$6:$R$130,14,FALSE)</f>
        <v>#N/A</v>
      </c>
      <c r="BE62" s="156"/>
      <c r="BF62" s="94" t="str">
        <f>IFERROR(IFERROR(IF(BE62&gt;0,"",BE62*VLOOKUP($A62,'VALOR I.'!$B$6:$K$418,10,FALSE)),"")*$C62,"")</f>
        <v/>
      </c>
      <c r="BG62" s="203" t="e">
        <f>VLOOKUP($A62,INICIO_BARRA!$A$6:$R$130,13,FALSE)</f>
        <v>#N/A</v>
      </c>
      <c r="BH62" s="203" t="e">
        <f>VLOOKUP($A62,INICIO_BARRA!$A$6:$R$130,14,FALSE)</f>
        <v>#N/A</v>
      </c>
      <c r="BI62" s="203" t="str">
        <f>IFERROR(VLOOKUP($A62,REPOSICIONES_BARRA!$A$6:$I$130,8,FALSE),"")</f>
        <v/>
      </c>
      <c r="BJ62" s="315" t="e">
        <f t="shared" si="10"/>
        <v>#N/A</v>
      </c>
      <c r="BK62" s="316" t="e">
        <f t="shared" si="11"/>
        <v>#N/A</v>
      </c>
      <c r="BL62" s="317" t="str">
        <f>IFERROR(IFERROR(VLOOKUP($A62,VENTAS!$H$2:$O$201,7,FALSE),"")/$C62,"")</f>
        <v/>
      </c>
      <c r="BM62" s="111"/>
      <c r="BN62" s="203" t="e">
        <f>VLOOKUP($A62,INICIO_BARRA!$A$6:$R$130,15,FALSE)</f>
        <v>#N/A</v>
      </c>
      <c r="BO62" s="203" t="e">
        <f>VLOOKUP($A62,INICIO_BARRA!$A$6:$R$130,16,FALSE)</f>
        <v>#N/A</v>
      </c>
      <c r="BP62" s="156"/>
      <c r="BQ62" s="94" t="str">
        <f>IFERROR(IFERROR(IF(BP62&gt;0,"",BP62*VLOOKUP($A62,'VALOR I.'!$B$6:$K$418,10,FALSE)),"")*$C62,"")</f>
        <v/>
      </c>
      <c r="BR62" s="203" t="e">
        <f>VLOOKUP($A62,INICIO_BARRA!$A$6:$R$130,15,FALSE)</f>
        <v>#N/A</v>
      </c>
      <c r="BS62" s="203" t="e">
        <f>VLOOKUP($A62,INICIO_BARRA!$A$6:$R$130,16,FALSE)</f>
        <v>#N/A</v>
      </c>
      <c r="BT62" s="203" t="str">
        <f>IFERROR(VLOOKUP($A62,REPOSICIONES_BARRA!$A$6:$I$130,9,FALSE),"")</f>
        <v/>
      </c>
      <c r="BU62" s="315" t="e">
        <f t="shared" si="12"/>
        <v>#N/A</v>
      </c>
      <c r="BV62" s="316" t="e">
        <f t="shared" si="13"/>
        <v>#N/A</v>
      </c>
      <c r="BW62" s="317" t="str">
        <f>IFERROR(IFERROR(VLOOKUP($A62,VENTAS!$H$2:$O$201,8,FALSE),"")/$C62,"")</f>
        <v/>
      </c>
      <c r="BX62" s="111"/>
      <c r="BY62" s="203" t="e">
        <f>VLOOKUP($A62,INICIO_BARRA!$A$6:$R$130,17,FALSE)</f>
        <v>#N/A</v>
      </c>
      <c r="BZ62" s="203" t="e">
        <f>VLOOKUP($A62,INICIO_BARRA!$A$6:$R$130,18,FALSE)</f>
        <v>#N/A</v>
      </c>
      <c r="CA62" s="156"/>
      <c r="CB62" s="94" t="str">
        <f>IFERROR(IFERROR(IF(CA62&gt;0,"",CA62*VLOOKUP($A62,'VALOR I.'!$B$6:$K$418,10,FALSE)),"")*$C62,"")</f>
        <v/>
      </c>
    </row>
    <row r="63" spans="1:80" s="7" customFormat="1" ht="30" hidden="1" customHeight="1" x14ac:dyDescent="0.45">
      <c r="A63" s="3"/>
      <c r="B63" s="22"/>
      <c r="C63" s="130"/>
      <c r="D63" s="203" t="e">
        <f>VLOOKUP($A63,INICIO_BARRA!$A$6:$R$130,3,FALSE)</f>
        <v>#N/A</v>
      </c>
      <c r="E63" s="203" t="e">
        <f>VLOOKUP($A63,INICIO_BARRA!$A$6:$R$130,4,FALSE)</f>
        <v>#N/A</v>
      </c>
      <c r="F63" s="203" t="str">
        <f>IFERROR(VLOOKUP($A63,REPOSICIONES_BARRA!$A$6:$I$130,3,FALSE),"")</f>
        <v/>
      </c>
      <c r="G63" s="315" t="e">
        <f t="shared" si="14"/>
        <v>#N/A</v>
      </c>
      <c r="H63" s="316" t="e">
        <f t="shared" si="15"/>
        <v>#N/A</v>
      </c>
      <c r="I63" s="317" t="str">
        <f>IFERROR(IFERROR(VLOOKUP($A63,VENTAS!$H$2:$O$201,2,FALSE),"")/$C63,"")</f>
        <v/>
      </c>
      <c r="J63" s="111"/>
      <c r="K63" s="203" t="e">
        <f>VLOOKUP($A63,INICIO_BARRA!$A$6:$R$130,5,FALSE)</f>
        <v>#N/A</v>
      </c>
      <c r="L63" s="203" t="e">
        <f>VLOOKUP($A63,INICIO_BARRA!$A$6:$R$130,6,FALSE)</f>
        <v>#N/A</v>
      </c>
      <c r="M63" s="156"/>
      <c r="N63" s="204" t="str">
        <f>IFERROR(IFERROR(IF(M63&gt;0,"",M63*VLOOKUP($A63,'VALOR I.'!$B$6:$K$418,10,FALSE)),"")*$C63,"")</f>
        <v/>
      </c>
      <c r="O63" s="203" t="e">
        <f>VLOOKUP($A63,INICIO_BARRA!$A$6:$R$130,5,FALSE)</f>
        <v>#N/A</v>
      </c>
      <c r="P63" s="203" t="e">
        <f>VLOOKUP($A63,INICIO_BARRA!$A$6:$R$130,6,FALSE)</f>
        <v>#N/A</v>
      </c>
      <c r="Q63" s="203" t="str">
        <f>IFERROR(VLOOKUP($A63,REPOSICIONES_BARRA!$A$6:$I$130,4,FALSE),"")</f>
        <v/>
      </c>
      <c r="R63" s="315" t="e">
        <f t="shared" si="2"/>
        <v>#N/A</v>
      </c>
      <c r="S63" s="316" t="e">
        <f t="shared" si="3"/>
        <v>#N/A</v>
      </c>
      <c r="T63" s="317" t="str">
        <f>IFERROR(IFERROR(VLOOKUP($A63,VENTAS!$H$2:$O$201,3,FALSE),"")/$C63,"")</f>
        <v/>
      </c>
      <c r="U63" s="111"/>
      <c r="V63" s="203" t="e">
        <f>VLOOKUP($A63,INICIO_BARRA!$A$6:$R$130,7,FALSE)</f>
        <v>#N/A</v>
      </c>
      <c r="W63" s="203" t="e">
        <f>VLOOKUP($A63,INICIO_BARRA!$A$6:$R$130,8,FALSE)</f>
        <v>#N/A</v>
      </c>
      <c r="X63" s="156"/>
      <c r="Y63" s="204" t="str">
        <f>IFERROR(IFERROR(IF(X63&gt;0,"",X63*VLOOKUP($A63,'VALOR I.'!$B$6:$K$418,10,FALSE)),"")*$C63,"")</f>
        <v/>
      </c>
      <c r="Z63" s="203" t="e">
        <f>VLOOKUP($A63,INICIO_BARRA!$A$6:$R$130,7,FALSE)</f>
        <v>#N/A</v>
      </c>
      <c r="AA63" s="203" t="e">
        <f>VLOOKUP($A63,INICIO_BARRA!$A$6:$R$130,8,FALSE)</f>
        <v>#N/A</v>
      </c>
      <c r="AB63" s="203" t="str">
        <f>IFERROR(VLOOKUP($A63,REPOSICIONES_BARRA!$A$6:$I$130,5,FALSE),"")</f>
        <v/>
      </c>
      <c r="AC63" s="315" t="e">
        <f t="shared" si="4"/>
        <v>#N/A</v>
      </c>
      <c r="AD63" s="316" t="e">
        <f t="shared" si="5"/>
        <v>#N/A</v>
      </c>
      <c r="AE63" s="317" t="str">
        <f>IFERROR(IFERROR(VLOOKUP($A63,VENTAS!$H$2:$O$201,4,FALSE),"")/$C63,"")</f>
        <v/>
      </c>
      <c r="AF63" s="111"/>
      <c r="AG63" s="203" t="e">
        <f>VLOOKUP($A63,INICIO_BARRA!$A$6:$R$130,9,FALSE)</f>
        <v>#N/A</v>
      </c>
      <c r="AH63" s="203" t="e">
        <f>VLOOKUP($A63,INICIO_BARRA!$A$6:$R$130,10,FALSE)</f>
        <v>#N/A</v>
      </c>
      <c r="AI63" s="156"/>
      <c r="AJ63" s="94" t="str">
        <f>IFERROR(IFERROR(IF(AI63&gt;0,"",AI63*VLOOKUP($A63,'VALOR I.'!$B$6:$K$418,10,FALSE)),"")*$C63,"")</f>
        <v/>
      </c>
      <c r="AK63" s="203" t="e">
        <f>VLOOKUP($A63,INICIO_BARRA!$A$6:$R$130,9,FALSE)</f>
        <v>#N/A</v>
      </c>
      <c r="AL63" s="203" t="e">
        <f>VLOOKUP($A63,INICIO_BARRA!$A$6:$R$130,10,FALSE)</f>
        <v>#N/A</v>
      </c>
      <c r="AM63" s="203" t="str">
        <f>IFERROR(VLOOKUP($A63,REPOSICIONES_BARRA!$A$6:$I$130,6,FALSE),"")</f>
        <v/>
      </c>
      <c r="AN63" s="315" t="e">
        <f t="shared" si="6"/>
        <v>#N/A</v>
      </c>
      <c r="AO63" s="316" t="e">
        <f t="shared" si="7"/>
        <v>#N/A</v>
      </c>
      <c r="AP63" s="317" t="str">
        <f>IFERROR(IFERROR(VLOOKUP($A63,VENTAS!$H$2:$O$201,5,FALSE),"")/$C63,"")</f>
        <v/>
      </c>
      <c r="AQ63" s="111"/>
      <c r="AR63" s="203" t="e">
        <f>VLOOKUP($A63,INICIO_BARRA!$A$6:$R$130,11,FALSE)</f>
        <v>#N/A</v>
      </c>
      <c r="AS63" s="203" t="e">
        <f>VLOOKUP($A63,INICIO_BARRA!$A$6:$R$130,12,FALSE)</f>
        <v>#N/A</v>
      </c>
      <c r="AT63" s="156"/>
      <c r="AU63" s="94" t="str">
        <f>IFERROR(IFERROR(IF(AT63&gt;0,"",AT63*VLOOKUP($A63,'VALOR I.'!$B$6:$K$418,10,FALSE)),"")*$C63,"")</f>
        <v/>
      </c>
      <c r="AV63" s="203" t="e">
        <f>VLOOKUP($A63,INICIO_BARRA!$A$6:$R$130,11,FALSE)</f>
        <v>#N/A</v>
      </c>
      <c r="AW63" s="203" t="e">
        <f>VLOOKUP($A63,INICIO_BARRA!$A$6:$R$130,12,FALSE)</f>
        <v>#N/A</v>
      </c>
      <c r="AX63" s="203" t="str">
        <f>IFERROR(VLOOKUP($A63,REPOSICIONES_BARRA!$A$6:$I$130,7,FALSE),"")</f>
        <v/>
      </c>
      <c r="AY63" s="315" t="e">
        <f t="shared" si="8"/>
        <v>#N/A</v>
      </c>
      <c r="AZ63" s="316" t="e">
        <f t="shared" si="9"/>
        <v>#N/A</v>
      </c>
      <c r="BA63" s="317" t="str">
        <f>IFERROR(IFERROR(VLOOKUP($A63,VENTAS!$H$2:$O$201,6,FALSE),"")/$C63,"")</f>
        <v/>
      </c>
      <c r="BB63" s="111"/>
      <c r="BC63" s="203" t="e">
        <f>VLOOKUP($A63,INICIO_BARRA!$A$6:$R$130,13,FALSE)</f>
        <v>#N/A</v>
      </c>
      <c r="BD63" s="203" t="e">
        <f>VLOOKUP($A63,INICIO_BARRA!$A$6:$R$130,14,FALSE)</f>
        <v>#N/A</v>
      </c>
      <c r="BE63" s="156"/>
      <c r="BF63" s="94" t="str">
        <f>IFERROR(IFERROR(IF(BE63&gt;0,"",BE63*VLOOKUP($A63,'VALOR I.'!$B$6:$K$418,10,FALSE)),"")*$C63,"")</f>
        <v/>
      </c>
      <c r="BG63" s="203" t="e">
        <f>VLOOKUP($A63,INICIO_BARRA!$A$6:$R$130,13,FALSE)</f>
        <v>#N/A</v>
      </c>
      <c r="BH63" s="203" t="e">
        <f>VLOOKUP($A63,INICIO_BARRA!$A$6:$R$130,14,FALSE)</f>
        <v>#N/A</v>
      </c>
      <c r="BI63" s="203" t="str">
        <f>IFERROR(VLOOKUP($A63,REPOSICIONES_BARRA!$A$6:$I$130,8,FALSE),"")</f>
        <v/>
      </c>
      <c r="BJ63" s="315" t="e">
        <f t="shared" si="10"/>
        <v>#N/A</v>
      </c>
      <c r="BK63" s="316" t="e">
        <f t="shared" si="11"/>
        <v>#N/A</v>
      </c>
      <c r="BL63" s="317" t="str">
        <f>IFERROR(IFERROR(VLOOKUP($A63,VENTAS!$H$2:$O$201,7,FALSE),"")/$C63,"")</f>
        <v/>
      </c>
      <c r="BM63" s="111"/>
      <c r="BN63" s="203" t="e">
        <f>VLOOKUP($A63,INICIO_BARRA!$A$6:$R$130,15,FALSE)</f>
        <v>#N/A</v>
      </c>
      <c r="BO63" s="203" t="e">
        <f>VLOOKUP($A63,INICIO_BARRA!$A$6:$R$130,16,FALSE)</f>
        <v>#N/A</v>
      </c>
      <c r="BP63" s="156"/>
      <c r="BQ63" s="94" t="str">
        <f>IFERROR(IFERROR(IF(BP63&gt;0,"",BP63*VLOOKUP($A63,'VALOR I.'!$B$6:$K$418,10,FALSE)),"")*$C63,"")</f>
        <v/>
      </c>
      <c r="BR63" s="203" t="e">
        <f>VLOOKUP($A63,INICIO_BARRA!$A$6:$R$130,15,FALSE)</f>
        <v>#N/A</v>
      </c>
      <c r="BS63" s="203" t="e">
        <f>VLOOKUP($A63,INICIO_BARRA!$A$6:$R$130,16,FALSE)</f>
        <v>#N/A</v>
      </c>
      <c r="BT63" s="203" t="str">
        <f>IFERROR(VLOOKUP($A63,REPOSICIONES_BARRA!$A$6:$I$130,9,FALSE),"")</f>
        <v/>
      </c>
      <c r="BU63" s="315" t="e">
        <f t="shared" si="12"/>
        <v>#N/A</v>
      </c>
      <c r="BV63" s="316" t="e">
        <f t="shared" si="13"/>
        <v>#N/A</v>
      </c>
      <c r="BW63" s="317" t="str">
        <f>IFERROR(IFERROR(VLOOKUP($A63,VENTAS!$H$2:$O$201,8,FALSE),"")/$C63,"")</f>
        <v/>
      </c>
      <c r="BX63" s="111"/>
      <c r="BY63" s="203" t="e">
        <f>VLOOKUP($A63,INICIO_BARRA!$A$6:$R$130,17,FALSE)</f>
        <v>#N/A</v>
      </c>
      <c r="BZ63" s="203" t="e">
        <f>VLOOKUP($A63,INICIO_BARRA!$A$6:$R$130,18,FALSE)</f>
        <v>#N/A</v>
      </c>
      <c r="CA63" s="156"/>
      <c r="CB63" s="94" t="str">
        <f>IFERROR(IFERROR(IF(CA63&gt;0,"",CA63*VLOOKUP($A63,'VALOR I.'!$B$6:$K$418,10,FALSE)),"")*$C63,"")</f>
        <v/>
      </c>
    </row>
    <row r="64" spans="1:80" s="7" customFormat="1" ht="30" hidden="1" customHeight="1" x14ac:dyDescent="0.45">
      <c r="A64" s="3"/>
      <c r="B64" s="22"/>
      <c r="C64" s="130"/>
      <c r="D64" s="203" t="e">
        <f>VLOOKUP($A64,INICIO_BARRA!$A$6:$R$130,3,FALSE)</f>
        <v>#N/A</v>
      </c>
      <c r="E64" s="203" t="e">
        <f>VLOOKUP($A64,INICIO_BARRA!$A$6:$R$130,4,FALSE)</f>
        <v>#N/A</v>
      </c>
      <c r="F64" s="203" t="str">
        <f>IFERROR(VLOOKUP($A64,REPOSICIONES_BARRA!$A$6:$I$130,3,FALSE),"")</f>
        <v/>
      </c>
      <c r="G64" s="315" t="e">
        <f t="shared" si="14"/>
        <v>#N/A</v>
      </c>
      <c r="H64" s="316" t="e">
        <f t="shared" si="15"/>
        <v>#N/A</v>
      </c>
      <c r="I64" s="317" t="str">
        <f>IFERROR(IFERROR(VLOOKUP($A64,VENTAS!$H$2:$O$201,2,FALSE),"")/$C64,"")</f>
        <v/>
      </c>
      <c r="J64" s="111"/>
      <c r="K64" s="203" t="e">
        <f>VLOOKUP($A64,INICIO_BARRA!$A$6:$R$130,5,FALSE)</f>
        <v>#N/A</v>
      </c>
      <c r="L64" s="203" t="e">
        <f>VLOOKUP($A64,INICIO_BARRA!$A$6:$R$130,6,FALSE)</f>
        <v>#N/A</v>
      </c>
      <c r="M64" s="156"/>
      <c r="N64" s="204" t="str">
        <f>IFERROR(IFERROR(IF(M64&gt;0,"",M64*VLOOKUP($A64,'VALOR I.'!$B$6:$K$418,10,FALSE)),"")*$C64,"")</f>
        <v/>
      </c>
      <c r="O64" s="203" t="e">
        <f>VLOOKUP($A64,INICIO_BARRA!$A$6:$R$130,5,FALSE)</f>
        <v>#N/A</v>
      </c>
      <c r="P64" s="203" t="e">
        <f>VLOOKUP($A64,INICIO_BARRA!$A$6:$R$130,6,FALSE)</f>
        <v>#N/A</v>
      </c>
      <c r="Q64" s="203" t="str">
        <f>IFERROR(VLOOKUP($A64,REPOSICIONES_BARRA!$A$6:$I$130,4,FALSE),"")</f>
        <v/>
      </c>
      <c r="R64" s="315" t="e">
        <f t="shared" si="2"/>
        <v>#N/A</v>
      </c>
      <c r="S64" s="316" t="e">
        <f t="shared" si="3"/>
        <v>#N/A</v>
      </c>
      <c r="T64" s="317" t="str">
        <f>IFERROR(IFERROR(VLOOKUP($A64,VENTAS!$H$2:$O$201,3,FALSE),"")/$C64,"")</f>
        <v/>
      </c>
      <c r="U64" s="111"/>
      <c r="V64" s="203" t="e">
        <f>VLOOKUP($A64,INICIO_BARRA!$A$6:$R$130,7,FALSE)</f>
        <v>#N/A</v>
      </c>
      <c r="W64" s="203" t="e">
        <f>VLOOKUP($A64,INICIO_BARRA!$A$6:$R$130,8,FALSE)</f>
        <v>#N/A</v>
      </c>
      <c r="X64" s="156"/>
      <c r="Y64" s="204" t="str">
        <f>IFERROR(IFERROR(IF(X64&gt;0,"",X64*VLOOKUP($A64,'VALOR I.'!$B$6:$K$418,10,FALSE)),"")*$C64,"")</f>
        <v/>
      </c>
      <c r="Z64" s="203" t="e">
        <f>VLOOKUP($A64,INICIO_BARRA!$A$6:$R$130,7,FALSE)</f>
        <v>#N/A</v>
      </c>
      <c r="AA64" s="203" t="e">
        <f>VLOOKUP($A64,INICIO_BARRA!$A$6:$R$130,8,FALSE)</f>
        <v>#N/A</v>
      </c>
      <c r="AB64" s="203" t="str">
        <f>IFERROR(VLOOKUP($A64,REPOSICIONES_BARRA!$A$6:$I$130,5,FALSE),"")</f>
        <v/>
      </c>
      <c r="AC64" s="315" t="e">
        <f t="shared" si="4"/>
        <v>#N/A</v>
      </c>
      <c r="AD64" s="316" t="e">
        <f t="shared" si="5"/>
        <v>#N/A</v>
      </c>
      <c r="AE64" s="317" t="str">
        <f>IFERROR(IFERROR(VLOOKUP($A64,VENTAS!$H$2:$O$201,4,FALSE),"")/$C64,"")</f>
        <v/>
      </c>
      <c r="AF64" s="111"/>
      <c r="AG64" s="203" t="e">
        <f>VLOOKUP($A64,INICIO_BARRA!$A$6:$R$130,9,FALSE)</f>
        <v>#N/A</v>
      </c>
      <c r="AH64" s="203" t="e">
        <f>VLOOKUP($A64,INICIO_BARRA!$A$6:$R$130,10,FALSE)</f>
        <v>#N/A</v>
      </c>
      <c r="AI64" s="156"/>
      <c r="AJ64" s="94" t="str">
        <f>IFERROR(IFERROR(IF(AI64&gt;0,"",AI64*VLOOKUP($A64,'VALOR I.'!$B$6:$K$418,10,FALSE)),"")*$C64,"")</f>
        <v/>
      </c>
      <c r="AK64" s="203" t="e">
        <f>VLOOKUP($A64,INICIO_BARRA!$A$6:$R$130,9,FALSE)</f>
        <v>#N/A</v>
      </c>
      <c r="AL64" s="203" t="e">
        <f>VLOOKUP($A64,INICIO_BARRA!$A$6:$R$130,10,FALSE)</f>
        <v>#N/A</v>
      </c>
      <c r="AM64" s="203" t="str">
        <f>IFERROR(VLOOKUP($A64,REPOSICIONES_BARRA!$A$6:$I$130,6,FALSE),"")</f>
        <v/>
      </c>
      <c r="AN64" s="315" t="e">
        <f t="shared" si="6"/>
        <v>#N/A</v>
      </c>
      <c r="AO64" s="316" t="e">
        <f t="shared" si="7"/>
        <v>#N/A</v>
      </c>
      <c r="AP64" s="317" t="str">
        <f>IFERROR(IFERROR(VLOOKUP($A64,VENTAS!$H$2:$O$201,5,FALSE),"")/$C64,"")</f>
        <v/>
      </c>
      <c r="AQ64" s="111"/>
      <c r="AR64" s="203" t="e">
        <f>VLOOKUP($A64,INICIO_BARRA!$A$6:$R$130,11,FALSE)</f>
        <v>#N/A</v>
      </c>
      <c r="AS64" s="203" t="e">
        <f>VLOOKUP($A64,INICIO_BARRA!$A$6:$R$130,12,FALSE)</f>
        <v>#N/A</v>
      </c>
      <c r="AT64" s="156"/>
      <c r="AU64" s="94" t="str">
        <f>IFERROR(IFERROR(IF(AT64&gt;0,"",AT64*VLOOKUP($A64,'VALOR I.'!$B$6:$K$418,10,FALSE)),"")*$C64,"")</f>
        <v/>
      </c>
      <c r="AV64" s="203" t="e">
        <f>VLOOKUP($A64,INICIO_BARRA!$A$6:$R$130,11,FALSE)</f>
        <v>#N/A</v>
      </c>
      <c r="AW64" s="203" t="e">
        <f>VLOOKUP($A64,INICIO_BARRA!$A$6:$R$130,12,FALSE)</f>
        <v>#N/A</v>
      </c>
      <c r="AX64" s="203" t="str">
        <f>IFERROR(VLOOKUP($A64,REPOSICIONES_BARRA!$A$6:$I$130,7,FALSE),"")</f>
        <v/>
      </c>
      <c r="AY64" s="315" t="e">
        <f t="shared" si="8"/>
        <v>#N/A</v>
      </c>
      <c r="AZ64" s="316" t="e">
        <f t="shared" si="9"/>
        <v>#N/A</v>
      </c>
      <c r="BA64" s="317" t="str">
        <f>IFERROR(IFERROR(VLOOKUP($A64,VENTAS!$H$2:$O$201,6,FALSE),"")/$C64,"")</f>
        <v/>
      </c>
      <c r="BB64" s="111"/>
      <c r="BC64" s="203" t="e">
        <f>VLOOKUP($A64,INICIO_BARRA!$A$6:$R$130,13,FALSE)</f>
        <v>#N/A</v>
      </c>
      <c r="BD64" s="203" t="e">
        <f>VLOOKUP($A64,INICIO_BARRA!$A$6:$R$130,14,FALSE)</f>
        <v>#N/A</v>
      </c>
      <c r="BE64" s="156"/>
      <c r="BF64" s="94" t="str">
        <f>IFERROR(IFERROR(IF(BE64&gt;0,"",BE64*VLOOKUP($A64,'VALOR I.'!$B$6:$K$418,10,FALSE)),"")*$C64,"")</f>
        <v/>
      </c>
      <c r="BG64" s="203" t="e">
        <f>VLOOKUP($A64,INICIO_BARRA!$A$6:$R$130,13,FALSE)</f>
        <v>#N/A</v>
      </c>
      <c r="BH64" s="203" t="e">
        <f>VLOOKUP($A64,INICIO_BARRA!$A$6:$R$130,14,FALSE)</f>
        <v>#N/A</v>
      </c>
      <c r="BI64" s="203" t="str">
        <f>IFERROR(VLOOKUP($A64,REPOSICIONES_BARRA!$A$6:$I$130,8,FALSE),"")</f>
        <v/>
      </c>
      <c r="BJ64" s="315" t="e">
        <f t="shared" si="10"/>
        <v>#N/A</v>
      </c>
      <c r="BK64" s="316" t="e">
        <f t="shared" si="11"/>
        <v>#N/A</v>
      </c>
      <c r="BL64" s="317" t="str">
        <f>IFERROR(IFERROR(VLOOKUP($A64,VENTAS!$H$2:$O$201,7,FALSE),"")/$C64,"")</f>
        <v/>
      </c>
      <c r="BM64" s="111"/>
      <c r="BN64" s="203" t="e">
        <f>VLOOKUP($A64,INICIO_BARRA!$A$6:$R$130,15,FALSE)</f>
        <v>#N/A</v>
      </c>
      <c r="BO64" s="203" t="e">
        <f>VLOOKUP($A64,INICIO_BARRA!$A$6:$R$130,16,FALSE)</f>
        <v>#N/A</v>
      </c>
      <c r="BP64" s="156"/>
      <c r="BQ64" s="94" t="str">
        <f>IFERROR(IFERROR(IF(BP64&gt;0,"",BP64*VLOOKUP($A64,'VALOR I.'!$B$6:$K$418,10,FALSE)),"")*$C64,"")</f>
        <v/>
      </c>
      <c r="BR64" s="203" t="e">
        <f>VLOOKUP($A64,INICIO_BARRA!$A$6:$R$130,15,FALSE)</f>
        <v>#N/A</v>
      </c>
      <c r="BS64" s="203" t="e">
        <f>VLOOKUP($A64,INICIO_BARRA!$A$6:$R$130,16,FALSE)</f>
        <v>#N/A</v>
      </c>
      <c r="BT64" s="203" t="str">
        <f>IFERROR(VLOOKUP($A64,REPOSICIONES_BARRA!$A$6:$I$130,9,FALSE),"")</f>
        <v/>
      </c>
      <c r="BU64" s="315" t="e">
        <f t="shared" si="12"/>
        <v>#N/A</v>
      </c>
      <c r="BV64" s="316" t="e">
        <f t="shared" si="13"/>
        <v>#N/A</v>
      </c>
      <c r="BW64" s="317" t="str">
        <f>IFERROR(IFERROR(VLOOKUP($A64,VENTAS!$H$2:$O$201,8,FALSE),"")/$C64,"")</f>
        <v/>
      </c>
      <c r="BX64" s="111"/>
      <c r="BY64" s="203" t="e">
        <f>VLOOKUP($A64,INICIO_BARRA!$A$6:$R$130,17,FALSE)</f>
        <v>#N/A</v>
      </c>
      <c r="BZ64" s="203" t="e">
        <f>VLOOKUP($A64,INICIO_BARRA!$A$6:$R$130,18,FALSE)</f>
        <v>#N/A</v>
      </c>
      <c r="CA64" s="156"/>
      <c r="CB64" s="94" t="str">
        <f>IFERROR(IFERROR(IF(CA64&gt;0,"",CA64*VLOOKUP($A64,'VALOR I.'!$B$6:$K$418,10,FALSE)),"")*$C64,"")</f>
        <v/>
      </c>
    </row>
    <row r="65" spans="1:80" s="7" customFormat="1" ht="30" hidden="1" customHeight="1" x14ac:dyDescent="0.45">
      <c r="A65" s="3"/>
      <c r="B65" s="22"/>
      <c r="C65" s="130"/>
      <c r="D65" s="203" t="e">
        <f>VLOOKUP($A65,INICIO_BARRA!$A$6:$R$130,3,FALSE)</f>
        <v>#N/A</v>
      </c>
      <c r="E65" s="203" t="e">
        <f>VLOOKUP($A65,INICIO_BARRA!$A$6:$R$130,4,FALSE)</f>
        <v>#N/A</v>
      </c>
      <c r="F65" s="203" t="str">
        <f>IFERROR(VLOOKUP($A65,REPOSICIONES_BARRA!$A$6:$I$130,3,FALSE),"")</f>
        <v/>
      </c>
      <c r="G65" s="315" t="e">
        <f t="shared" si="14"/>
        <v>#N/A</v>
      </c>
      <c r="H65" s="316" t="e">
        <f t="shared" si="15"/>
        <v>#N/A</v>
      </c>
      <c r="I65" s="317" t="str">
        <f>IFERROR(IFERROR(VLOOKUP($A65,VENTAS!$H$2:$O$201,2,FALSE),"")/$C65,"")</f>
        <v/>
      </c>
      <c r="J65" s="111"/>
      <c r="K65" s="203" t="e">
        <f>VLOOKUP($A65,INICIO_BARRA!$A$6:$R$130,5,FALSE)</f>
        <v>#N/A</v>
      </c>
      <c r="L65" s="203" t="e">
        <f>VLOOKUP($A65,INICIO_BARRA!$A$6:$R$130,6,FALSE)</f>
        <v>#N/A</v>
      </c>
      <c r="M65" s="156"/>
      <c r="N65" s="204" t="str">
        <f>IFERROR(IFERROR(IF(M65&gt;0,"",M65*VLOOKUP($A65,'VALOR I.'!$B$6:$K$418,10,FALSE)),"")*$C65,"")</f>
        <v/>
      </c>
      <c r="O65" s="203" t="e">
        <f>VLOOKUP($A65,INICIO_BARRA!$A$6:$R$130,5,FALSE)</f>
        <v>#N/A</v>
      </c>
      <c r="P65" s="203" t="e">
        <f>VLOOKUP($A65,INICIO_BARRA!$A$6:$R$130,6,FALSE)</f>
        <v>#N/A</v>
      </c>
      <c r="Q65" s="203" t="str">
        <f>IFERROR(VLOOKUP($A65,REPOSICIONES_BARRA!$A$6:$I$130,4,FALSE),"")</f>
        <v/>
      </c>
      <c r="R65" s="315" t="e">
        <f t="shared" si="2"/>
        <v>#N/A</v>
      </c>
      <c r="S65" s="316" t="e">
        <f t="shared" si="3"/>
        <v>#N/A</v>
      </c>
      <c r="T65" s="317" t="str">
        <f>IFERROR(IFERROR(VLOOKUP($A65,VENTAS!$H$2:$O$201,3,FALSE),"")/$C65,"")</f>
        <v/>
      </c>
      <c r="U65" s="111"/>
      <c r="V65" s="203" t="e">
        <f>VLOOKUP($A65,INICIO_BARRA!$A$6:$R$130,7,FALSE)</f>
        <v>#N/A</v>
      </c>
      <c r="W65" s="203" t="e">
        <f>VLOOKUP($A65,INICIO_BARRA!$A$6:$R$130,8,FALSE)</f>
        <v>#N/A</v>
      </c>
      <c r="X65" s="156"/>
      <c r="Y65" s="204" t="str">
        <f>IFERROR(IFERROR(IF(X65&gt;0,"",X65*VLOOKUP($A65,'VALOR I.'!$B$6:$K$418,10,FALSE)),"")*$C65,"")</f>
        <v/>
      </c>
      <c r="Z65" s="203" t="e">
        <f>VLOOKUP($A65,INICIO_BARRA!$A$6:$R$130,7,FALSE)</f>
        <v>#N/A</v>
      </c>
      <c r="AA65" s="203" t="e">
        <f>VLOOKUP($A65,INICIO_BARRA!$A$6:$R$130,8,FALSE)</f>
        <v>#N/A</v>
      </c>
      <c r="AB65" s="203" t="str">
        <f>IFERROR(VLOOKUP($A65,REPOSICIONES_BARRA!$A$6:$I$130,5,FALSE),"")</f>
        <v/>
      </c>
      <c r="AC65" s="315" t="e">
        <f t="shared" si="4"/>
        <v>#N/A</v>
      </c>
      <c r="AD65" s="316" t="e">
        <f t="shared" si="5"/>
        <v>#N/A</v>
      </c>
      <c r="AE65" s="317" t="str">
        <f>IFERROR(IFERROR(VLOOKUP($A65,VENTAS!$H$2:$O$201,4,FALSE),"")/$C65,"")</f>
        <v/>
      </c>
      <c r="AF65" s="111"/>
      <c r="AG65" s="203" t="e">
        <f>VLOOKUP($A65,INICIO_BARRA!$A$6:$R$130,9,FALSE)</f>
        <v>#N/A</v>
      </c>
      <c r="AH65" s="203" t="e">
        <f>VLOOKUP($A65,INICIO_BARRA!$A$6:$R$130,10,FALSE)</f>
        <v>#N/A</v>
      </c>
      <c r="AI65" s="156"/>
      <c r="AJ65" s="94" t="str">
        <f>IFERROR(IFERROR(IF(AI65&gt;0,"",AI65*VLOOKUP($A65,'VALOR I.'!$B$6:$K$418,10,FALSE)),"")*$C65,"")</f>
        <v/>
      </c>
      <c r="AK65" s="203" t="e">
        <f>VLOOKUP($A65,INICIO_BARRA!$A$6:$R$130,9,FALSE)</f>
        <v>#N/A</v>
      </c>
      <c r="AL65" s="203" t="e">
        <f>VLOOKUP($A65,INICIO_BARRA!$A$6:$R$130,10,FALSE)</f>
        <v>#N/A</v>
      </c>
      <c r="AM65" s="203" t="str">
        <f>IFERROR(VLOOKUP($A65,REPOSICIONES_BARRA!$A$6:$I$130,6,FALSE),"")</f>
        <v/>
      </c>
      <c r="AN65" s="315" t="e">
        <f t="shared" si="6"/>
        <v>#N/A</v>
      </c>
      <c r="AO65" s="316" t="e">
        <f t="shared" si="7"/>
        <v>#N/A</v>
      </c>
      <c r="AP65" s="317" t="str">
        <f>IFERROR(IFERROR(VLOOKUP($A65,VENTAS!$H$2:$O$201,5,FALSE),"")/$C65,"")</f>
        <v/>
      </c>
      <c r="AQ65" s="111"/>
      <c r="AR65" s="203" t="e">
        <f>VLOOKUP($A65,INICIO_BARRA!$A$6:$R$130,11,FALSE)</f>
        <v>#N/A</v>
      </c>
      <c r="AS65" s="203" t="e">
        <f>VLOOKUP($A65,INICIO_BARRA!$A$6:$R$130,12,FALSE)</f>
        <v>#N/A</v>
      </c>
      <c r="AT65" s="156"/>
      <c r="AU65" s="94" t="str">
        <f>IFERROR(IFERROR(IF(AT65&gt;0,"",AT65*VLOOKUP($A65,'VALOR I.'!$B$6:$K$418,10,FALSE)),"")*$C65,"")</f>
        <v/>
      </c>
      <c r="AV65" s="203" t="e">
        <f>VLOOKUP($A65,INICIO_BARRA!$A$6:$R$130,11,FALSE)</f>
        <v>#N/A</v>
      </c>
      <c r="AW65" s="203" t="e">
        <f>VLOOKUP($A65,INICIO_BARRA!$A$6:$R$130,12,FALSE)</f>
        <v>#N/A</v>
      </c>
      <c r="AX65" s="203" t="str">
        <f>IFERROR(VLOOKUP($A65,REPOSICIONES_BARRA!$A$6:$I$130,7,FALSE),"")</f>
        <v/>
      </c>
      <c r="AY65" s="315" t="e">
        <f t="shared" si="8"/>
        <v>#N/A</v>
      </c>
      <c r="AZ65" s="316" t="e">
        <f t="shared" si="9"/>
        <v>#N/A</v>
      </c>
      <c r="BA65" s="317" t="str">
        <f>IFERROR(IFERROR(VLOOKUP($A65,VENTAS!$H$2:$O$201,6,FALSE),"")/$C65,"")</f>
        <v/>
      </c>
      <c r="BB65" s="111"/>
      <c r="BC65" s="203" t="e">
        <f>VLOOKUP($A65,INICIO_BARRA!$A$6:$R$130,13,FALSE)</f>
        <v>#N/A</v>
      </c>
      <c r="BD65" s="203" t="e">
        <f>VLOOKUP($A65,INICIO_BARRA!$A$6:$R$130,14,FALSE)</f>
        <v>#N/A</v>
      </c>
      <c r="BE65" s="156"/>
      <c r="BF65" s="94" t="str">
        <f>IFERROR(IFERROR(IF(BE65&gt;0,"",BE65*VLOOKUP($A65,'VALOR I.'!$B$6:$K$418,10,FALSE)),"")*$C65,"")</f>
        <v/>
      </c>
      <c r="BG65" s="203" t="e">
        <f>VLOOKUP($A65,INICIO_BARRA!$A$6:$R$130,13,FALSE)</f>
        <v>#N/A</v>
      </c>
      <c r="BH65" s="203" t="e">
        <f>VLOOKUP($A65,INICIO_BARRA!$A$6:$R$130,14,FALSE)</f>
        <v>#N/A</v>
      </c>
      <c r="BI65" s="203" t="str">
        <f>IFERROR(VLOOKUP($A65,REPOSICIONES_BARRA!$A$6:$I$130,8,FALSE),"")</f>
        <v/>
      </c>
      <c r="BJ65" s="315" t="e">
        <f t="shared" si="10"/>
        <v>#N/A</v>
      </c>
      <c r="BK65" s="316" t="e">
        <f t="shared" si="11"/>
        <v>#N/A</v>
      </c>
      <c r="BL65" s="317" t="str">
        <f>IFERROR(IFERROR(VLOOKUP($A65,VENTAS!$H$2:$O$201,7,FALSE),"")/$C65,"")</f>
        <v/>
      </c>
      <c r="BM65" s="111"/>
      <c r="BN65" s="203" t="e">
        <f>VLOOKUP($A65,INICIO_BARRA!$A$6:$R$130,15,FALSE)</f>
        <v>#N/A</v>
      </c>
      <c r="BO65" s="203" t="e">
        <f>VLOOKUP($A65,INICIO_BARRA!$A$6:$R$130,16,FALSE)</f>
        <v>#N/A</v>
      </c>
      <c r="BP65" s="156"/>
      <c r="BQ65" s="94" t="str">
        <f>IFERROR(IFERROR(IF(BP65&gt;0,"",BP65*VLOOKUP($A65,'VALOR I.'!$B$6:$K$418,10,FALSE)),"")*$C65,"")</f>
        <v/>
      </c>
      <c r="BR65" s="203" t="e">
        <f>VLOOKUP($A65,INICIO_BARRA!$A$6:$R$130,15,FALSE)</f>
        <v>#N/A</v>
      </c>
      <c r="BS65" s="203" t="e">
        <f>VLOOKUP($A65,INICIO_BARRA!$A$6:$R$130,16,FALSE)</f>
        <v>#N/A</v>
      </c>
      <c r="BT65" s="203" t="str">
        <f>IFERROR(VLOOKUP($A65,REPOSICIONES_BARRA!$A$6:$I$130,9,FALSE),"")</f>
        <v/>
      </c>
      <c r="BU65" s="315" t="e">
        <f t="shared" si="12"/>
        <v>#N/A</v>
      </c>
      <c r="BV65" s="316" t="e">
        <f t="shared" si="13"/>
        <v>#N/A</v>
      </c>
      <c r="BW65" s="317" t="str">
        <f>IFERROR(IFERROR(VLOOKUP($A65,VENTAS!$H$2:$O$201,8,FALSE),"")/$C65,"")</f>
        <v/>
      </c>
      <c r="BX65" s="111"/>
      <c r="BY65" s="203" t="e">
        <f>VLOOKUP($A65,INICIO_BARRA!$A$6:$R$130,17,FALSE)</f>
        <v>#N/A</v>
      </c>
      <c r="BZ65" s="203" t="e">
        <f>VLOOKUP($A65,INICIO_BARRA!$A$6:$R$130,18,FALSE)</f>
        <v>#N/A</v>
      </c>
      <c r="CA65" s="156"/>
      <c r="CB65" s="94" t="str">
        <f>IFERROR(IFERROR(IF(CA65&gt;0,"",CA65*VLOOKUP($A65,'VALOR I.'!$B$6:$K$418,10,FALSE)),"")*$C65,"")</f>
        <v/>
      </c>
    </row>
    <row r="66" spans="1:80" s="7" customFormat="1" ht="30" hidden="1" customHeight="1" x14ac:dyDescent="0.45">
      <c r="A66" s="3"/>
      <c r="B66" s="22"/>
      <c r="C66" s="130"/>
      <c r="D66" s="203" t="e">
        <f>VLOOKUP($A66,INICIO_BARRA!$A$6:$R$130,3,FALSE)</f>
        <v>#N/A</v>
      </c>
      <c r="E66" s="203" t="e">
        <f>VLOOKUP($A66,INICIO_BARRA!$A$6:$R$130,4,FALSE)</f>
        <v>#N/A</v>
      </c>
      <c r="F66" s="203" t="str">
        <f>IFERROR(VLOOKUP($A66,REPOSICIONES_BARRA!$A$6:$I$130,3,FALSE),"")</f>
        <v/>
      </c>
      <c r="G66" s="315" t="e">
        <f t="shared" si="14"/>
        <v>#N/A</v>
      </c>
      <c r="H66" s="316" t="e">
        <f t="shared" si="15"/>
        <v>#N/A</v>
      </c>
      <c r="I66" s="317" t="str">
        <f>IFERROR(IFERROR(VLOOKUP($A66,VENTAS!$H$2:$O$201,2,FALSE),"")/$C66,"")</f>
        <v/>
      </c>
      <c r="J66" s="111"/>
      <c r="K66" s="203" t="e">
        <f>VLOOKUP($A66,INICIO_BARRA!$A$6:$R$130,5,FALSE)</f>
        <v>#N/A</v>
      </c>
      <c r="L66" s="203" t="e">
        <f>VLOOKUP($A66,INICIO_BARRA!$A$6:$R$130,6,FALSE)</f>
        <v>#N/A</v>
      </c>
      <c r="M66" s="156"/>
      <c r="N66" s="204" t="str">
        <f>IFERROR(IFERROR(IF(M66&gt;0,"",M66*VLOOKUP($A66,'VALOR I.'!$B$6:$K$418,10,FALSE)),"")*$C66,"")</f>
        <v/>
      </c>
      <c r="O66" s="203" t="e">
        <f>VLOOKUP($A66,INICIO_BARRA!$A$6:$R$130,5,FALSE)</f>
        <v>#N/A</v>
      </c>
      <c r="P66" s="203" t="e">
        <f>VLOOKUP($A66,INICIO_BARRA!$A$6:$R$130,6,FALSE)</f>
        <v>#N/A</v>
      </c>
      <c r="Q66" s="203" t="str">
        <f>IFERROR(VLOOKUP($A66,REPOSICIONES_BARRA!$A$6:$I$130,4,FALSE),"")</f>
        <v/>
      </c>
      <c r="R66" s="315" t="e">
        <f t="shared" si="2"/>
        <v>#N/A</v>
      </c>
      <c r="S66" s="316" t="e">
        <f t="shared" si="3"/>
        <v>#N/A</v>
      </c>
      <c r="T66" s="317" t="str">
        <f>IFERROR(IFERROR(VLOOKUP($A66,VENTAS!$H$2:$O$201,3,FALSE),"")/$C66,"")</f>
        <v/>
      </c>
      <c r="U66" s="111"/>
      <c r="V66" s="203" t="e">
        <f>VLOOKUP($A66,INICIO_BARRA!$A$6:$R$130,7,FALSE)</f>
        <v>#N/A</v>
      </c>
      <c r="W66" s="203" t="e">
        <f>VLOOKUP($A66,INICIO_BARRA!$A$6:$R$130,8,FALSE)</f>
        <v>#N/A</v>
      </c>
      <c r="X66" s="156"/>
      <c r="Y66" s="204" t="str">
        <f>IFERROR(IFERROR(IF(X66&gt;0,"",X66*VLOOKUP($A66,'VALOR I.'!$B$6:$K$418,10,FALSE)),"")*$C66,"")</f>
        <v/>
      </c>
      <c r="Z66" s="203" t="e">
        <f>VLOOKUP($A66,INICIO_BARRA!$A$6:$R$130,7,FALSE)</f>
        <v>#N/A</v>
      </c>
      <c r="AA66" s="203" t="e">
        <f>VLOOKUP($A66,INICIO_BARRA!$A$6:$R$130,8,FALSE)</f>
        <v>#N/A</v>
      </c>
      <c r="AB66" s="203" t="str">
        <f>IFERROR(VLOOKUP($A66,REPOSICIONES_BARRA!$A$6:$I$130,5,FALSE),"")</f>
        <v/>
      </c>
      <c r="AC66" s="315" t="e">
        <f t="shared" si="4"/>
        <v>#N/A</v>
      </c>
      <c r="AD66" s="316" t="e">
        <f t="shared" si="5"/>
        <v>#N/A</v>
      </c>
      <c r="AE66" s="317" t="str">
        <f>IFERROR(IFERROR(VLOOKUP($A66,VENTAS!$H$2:$O$201,4,FALSE),"")/$C66,"")</f>
        <v/>
      </c>
      <c r="AF66" s="111"/>
      <c r="AG66" s="203" t="e">
        <f>VLOOKUP($A66,INICIO_BARRA!$A$6:$R$130,9,FALSE)</f>
        <v>#N/A</v>
      </c>
      <c r="AH66" s="203" t="e">
        <f>VLOOKUP($A66,INICIO_BARRA!$A$6:$R$130,10,FALSE)</f>
        <v>#N/A</v>
      </c>
      <c r="AI66" s="156"/>
      <c r="AJ66" s="94" t="str">
        <f>IFERROR(IFERROR(IF(AI66&gt;0,"",AI66*VLOOKUP($A66,'VALOR I.'!$B$6:$K$418,10,FALSE)),"")*$C66,"")</f>
        <v/>
      </c>
      <c r="AK66" s="203" t="e">
        <f>VLOOKUP($A66,INICIO_BARRA!$A$6:$R$130,9,FALSE)</f>
        <v>#N/A</v>
      </c>
      <c r="AL66" s="203" t="e">
        <f>VLOOKUP($A66,INICIO_BARRA!$A$6:$R$130,10,FALSE)</f>
        <v>#N/A</v>
      </c>
      <c r="AM66" s="203" t="str">
        <f>IFERROR(VLOOKUP($A66,REPOSICIONES_BARRA!$A$6:$I$130,6,FALSE),"")</f>
        <v/>
      </c>
      <c r="AN66" s="315" t="e">
        <f t="shared" si="6"/>
        <v>#N/A</v>
      </c>
      <c r="AO66" s="316" t="e">
        <f t="shared" si="7"/>
        <v>#N/A</v>
      </c>
      <c r="AP66" s="317" t="str">
        <f>IFERROR(IFERROR(VLOOKUP($A66,VENTAS!$H$2:$O$201,5,FALSE),"")/$C66,"")</f>
        <v/>
      </c>
      <c r="AQ66" s="111"/>
      <c r="AR66" s="203" t="e">
        <f>VLOOKUP($A66,INICIO_BARRA!$A$6:$R$130,11,FALSE)</f>
        <v>#N/A</v>
      </c>
      <c r="AS66" s="203" t="e">
        <f>VLOOKUP($A66,INICIO_BARRA!$A$6:$R$130,12,FALSE)</f>
        <v>#N/A</v>
      </c>
      <c r="AT66" s="156"/>
      <c r="AU66" s="94" t="str">
        <f>IFERROR(IFERROR(IF(AT66&gt;0,"",AT66*VLOOKUP($A66,'VALOR I.'!$B$6:$K$418,10,FALSE)),"")*$C66,"")</f>
        <v/>
      </c>
      <c r="AV66" s="203" t="e">
        <f>VLOOKUP($A66,INICIO_BARRA!$A$6:$R$130,11,FALSE)</f>
        <v>#N/A</v>
      </c>
      <c r="AW66" s="203" t="e">
        <f>VLOOKUP($A66,INICIO_BARRA!$A$6:$R$130,12,FALSE)</f>
        <v>#N/A</v>
      </c>
      <c r="AX66" s="203" t="str">
        <f>IFERROR(VLOOKUP($A66,REPOSICIONES_BARRA!$A$6:$I$130,7,FALSE),"")</f>
        <v/>
      </c>
      <c r="AY66" s="315" t="e">
        <f t="shared" si="8"/>
        <v>#N/A</v>
      </c>
      <c r="AZ66" s="316" t="e">
        <f t="shared" si="9"/>
        <v>#N/A</v>
      </c>
      <c r="BA66" s="317" t="str">
        <f>IFERROR(IFERROR(VLOOKUP($A66,VENTAS!$H$2:$O$201,6,FALSE),"")/$C66,"")</f>
        <v/>
      </c>
      <c r="BB66" s="111"/>
      <c r="BC66" s="203" t="e">
        <f>VLOOKUP($A66,INICIO_BARRA!$A$6:$R$130,13,FALSE)</f>
        <v>#N/A</v>
      </c>
      <c r="BD66" s="203" t="e">
        <f>VLOOKUP($A66,INICIO_BARRA!$A$6:$R$130,14,FALSE)</f>
        <v>#N/A</v>
      </c>
      <c r="BE66" s="156"/>
      <c r="BF66" s="94" t="str">
        <f>IFERROR(IFERROR(IF(BE66&gt;0,"",BE66*VLOOKUP($A66,'VALOR I.'!$B$6:$K$418,10,FALSE)),"")*$C66,"")</f>
        <v/>
      </c>
      <c r="BG66" s="203" t="e">
        <f>VLOOKUP($A66,INICIO_BARRA!$A$6:$R$130,13,FALSE)</f>
        <v>#N/A</v>
      </c>
      <c r="BH66" s="203" t="e">
        <f>VLOOKUP($A66,INICIO_BARRA!$A$6:$R$130,14,FALSE)</f>
        <v>#N/A</v>
      </c>
      <c r="BI66" s="203" t="str">
        <f>IFERROR(VLOOKUP($A66,REPOSICIONES_BARRA!$A$6:$I$130,8,FALSE),"")</f>
        <v/>
      </c>
      <c r="BJ66" s="315" t="e">
        <f t="shared" si="10"/>
        <v>#N/A</v>
      </c>
      <c r="BK66" s="316" t="e">
        <f t="shared" si="11"/>
        <v>#N/A</v>
      </c>
      <c r="BL66" s="317" t="str">
        <f>IFERROR(IFERROR(VLOOKUP($A66,VENTAS!$H$2:$O$201,7,FALSE),"")/$C66,"")</f>
        <v/>
      </c>
      <c r="BM66" s="111"/>
      <c r="BN66" s="203" t="e">
        <f>VLOOKUP($A66,INICIO_BARRA!$A$6:$R$130,15,FALSE)</f>
        <v>#N/A</v>
      </c>
      <c r="BO66" s="203" t="e">
        <f>VLOOKUP($A66,INICIO_BARRA!$A$6:$R$130,16,FALSE)</f>
        <v>#N/A</v>
      </c>
      <c r="BP66" s="156"/>
      <c r="BQ66" s="94" t="str">
        <f>IFERROR(IFERROR(IF(BP66&gt;0,"",BP66*VLOOKUP($A66,'VALOR I.'!$B$6:$K$418,10,FALSE)),"")*$C66,"")</f>
        <v/>
      </c>
      <c r="BR66" s="203" t="e">
        <f>VLOOKUP($A66,INICIO_BARRA!$A$6:$R$130,15,FALSE)</f>
        <v>#N/A</v>
      </c>
      <c r="BS66" s="203" t="e">
        <f>VLOOKUP($A66,INICIO_BARRA!$A$6:$R$130,16,FALSE)</f>
        <v>#N/A</v>
      </c>
      <c r="BT66" s="203" t="str">
        <f>IFERROR(VLOOKUP($A66,REPOSICIONES_BARRA!$A$6:$I$130,9,FALSE),"")</f>
        <v/>
      </c>
      <c r="BU66" s="315" t="e">
        <f t="shared" si="12"/>
        <v>#N/A</v>
      </c>
      <c r="BV66" s="316" t="e">
        <f t="shared" si="13"/>
        <v>#N/A</v>
      </c>
      <c r="BW66" s="317" t="str">
        <f>IFERROR(IFERROR(VLOOKUP($A66,VENTAS!$H$2:$O$201,8,FALSE),"")/$C66,"")</f>
        <v/>
      </c>
      <c r="BX66" s="111"/>
      <c r="BY66" s="203" t="e">
        <f>VLOOKUP($A66,INICIO_BARRA!$A$6:$R$130,17,FALSE)</f>
        <v>#N/A</v>
      </c>
      <c r="BZ66" s="203" t="e">
        <f>VLOOKUP($A66,INICIO_BARRA!$A$6:$R$130,18,FALSE)</f>
        <v>#N/A</v>
      </c>
      <c r="CA66" s="156"/>
      <c r="CB66" s="94" t="str">
        <f>IFERROR(IFERROR(IF(CA66&gt;0,"",CA66*VLOOKUP($A66,'VALOR I.'!$B$6:$K$418,10,FALSE)),"")*$C66,"")</f>
        <v/>
      </c>
    </row>
    <row r="67" spans="1:80" s="7" customFormat="1" ht="30" hidden="1" customHeight="1" x14ac:dyDescent="0.45">
      <c r="A67" s="3"/>
      <c r="B67" s="22"/>
      <c r="C67" s="130"/>
      <c r="D67" s="203" t="e">
        <f>VLOOKUP($A67,INICIO_BARRA!$A$6:$R$130,3,FALSE)</f>
        <v>#N/A</v>
      </c>
      <c r="E67" s="203" t="e">
        <f>VLOOKUP($A67,INICIO_BARRA!$A$6:$R$130,4,FALSE)</f>
        <v>#N/A</v>
      </c>
      <c r="F67" s="203" t="str">
        <f>IFERROR(VLOOKUP($A67,REPOSICIONES_BARRA!$A$6:$I$130,3,FALSE),"")</f>
        <v/>
      </c>
      <c r="G67" s="315" t="e">
        <f t="shared" si="14"/>
        <v>#N/A</v>
      </c>
      <c r="H67" s="316" t="e">
        <f t="shared" si="15"/>
        <v>#N/A</v>
      </c>
      <c r="I67" s="317" t="str">
        <f>IFERROR(IFERROR(VLOOKUP($A67,VENTAS!$H$2:$O$201,2,FALSE),"")/$C67,"")</f>
        <v/>
      </c>
      <c r="J67" s="111"/>
      <c r="K67" s="203" t="e">
        <f>VLOOKUP($A67,INICIO_BARRA!$A$6:$R$130,5,FALSE)</f>
        <v>#N/A</v>
      </c>
      <c r="L67" s="203" t="e">
        <f>VLOOKUP($A67,INICIO_BARRA!$A$6:$R$130,6,FALSE)</f>
        <v>#N/A</v>
      </c>
      <c r="M67" s="156"/>
      <c r="N67" s="204" t="str">
        <f>IFERROR(IFERROR(IF(M67&gt;0,"",M67*VLOOKUP($A67,'VALOR I.'!$B$6:$K$418,10,FALSE)),"")*$C67,"")</f>
        <v/>
      </c>
      <c r="O67" s="203" t="e">
        <f>VLOOKUP($A67,INICIO_BARRA!$A$6:$R$130,5,FALSE)</f>
        <v>#N/A</v>
      </c>
      <c r="P67" s="203" t="e">
        <f>VLOOKUP($A67,INICIO_BARRA!$A$6:$R$130,6,FALSE)</f>
        <v>#N/A</v>
      </c>
      <c r="Q67" s="203" t="str">
        <f>IFERROR(VLOOKUP($A67,REPOSICIONES_BARRA!$A$6:$I$130,4,FALSE),"")</f>
        <v/>
      </c>
      <c r="R67" s="315" t="e">
        <f t="shared" si="2"/>
        <v>#N/A</v>
      </c>
      <c r="S67" s="316" t="e">
        <f t="shared" si="3"/>
        <v>#N/A</v>
      </c>
      <c r="T67" s="317" t="str">
        <f>IFERROR(IFERROR(VLOOKUP($A67,VENTAS!$H$2:$O$201,3,FALSE),"")/$C67,"")</f>
        <v/>
      </c>
      <c r="U67" s="111"/>
      <c r="V67" s="203" t="e">
        <f>VLOOKUP($A67,INICIO_BARRA!$A$6:$R$130,7,FALSE)</f>
        <v>#N/A</v>
      </c>
      <c r="W67" s="203" t="e">
        <f>VLOOKUP($A67,INICIO_BARRA!$A$6:$R$130,8,FALSE)</f>
        <v>#N/A</v>
      </c>
      <c r="X67" s="156"/>
      <c r="Y67" s="204" t="str">
        <f>IFERROR(IFERROR(IF(X67&gt;0,"",X67*VLOOKUP($A67,'VALOR I.'!$B$6:$K$418,10,FALSE)),"")*$C67,"")</f>
        <v/>
      </c>
      <c r="Z67" s="203" t="e">
        <f>VLOOKUP($A67,INICIO_BARRA!$A$6:$R$130,7,FALSE)</f>
        <v>#N/A</v>
      </c>
      <c r="AA67" s="203" t="e">
        <f>VLOOKUP($A67,INICIO_BARRA!$A$6:$R$130,8,FALSE)</f>
        <v>#N/A</v>
      </c>
      <c r="AB67" s="203" t="str">
        <f>IFERROR(VLOOKUP($A67,REPOSICIONES_BARRA!$A$6:$I$130,5,FALSE),"")</f>
        <v/>
      </c>
      <c r="AC67" s="315" t="e">
        <f t="shared" si="4"/>
        <v>#N/A</v>
      </c>
      <c r="AD67" s="316" t="e">
        <f t="shared" si="5"/>
        <v>#N/A</v>
      </c>
      <c r="AE67" s="317" t="str">
        <f>IFERROR(IFERROR(VLOOKUP($A67,VENTAS!$H$2:$O$201,4,FALSE),"")/$C67,"")</f>
        <v/>
      </c>
      <c r="AF67" s="111"/>
      <c r="AG67" s="203" t="e">
        <f>VLOOKUP($A67,INICIO_BARRA!$A$6:$R$130,9,FALSE)</f>
        <v>#N/A</v>
      </c>
      <c r="AH67" s="203" t="e">
        <f>VLOOKUP($A67,INICIO_BARRA!$A$6:$R$130,10,FALSE)</f>
        <v>#N/A</v>
      </c>
      <c r="AI67" s="156"/>
      <c r="AJ67" s="94" t="str">
        <f>IFERROR(IFERROR(IF(AI67&gt;0,"",AI67*VLOOKUP($A67,'VALOR I.'!$B$6:$K$418,10,FALSE)),"")*$C67,"")</f>
        <v/>
      </c>
      <c r="AK67" s="203" t="e">
        <f>VLOOKUP($A67,INICIO_BARRA!$A$6:$R$130,9,FALSE)</f>
        <v>#N/A</v>
      </c>
      <c r="AL67" s="203" t="e">
        <f>VLOOKUP($A67,INICIO_BARRA!$A$6:$R$130,10,FALSE)</f>
        <v>#N/A</v>
      </c>
      <c r="AM67" s="203" t="str">
        <f>IFERROR(VLOOKUP($A67,REPOSICIONES_BARRA!$A$6:$I$130,6,FALSE),"")</f>
        <v/>
      </c>
      <c r="AN67" s="315" t="e">
        <f t="shared" si="6"/>
        <v>#N/A</v>
      </c>
      <c r="AO67" s="316" t="e">
        <f t="shared" si="7"/>
        <v>#N/A</v>
      </c>
      <c r="AP67" s="317" t="str">
        <f>IFERROR(IFERROR(VLOOKUP($A67,VENTAS!$H$2:$O$201,5,FALSE),"")/$C67,"")</f>
        <v/>
      </c>
      <c r="AQ67" s="111"/>
      <c r="AR67" s="203" t="e">
        <f>VLOOKUP($A67,INICIO_BARRA!$A$6:$R$130,11,FALSE)</f>
        <v>#N/A</v>
      </c>
      <c r="AS67" s="203" t="e">
        <f>VLOOKUP($A67,INICIO_BARRA!$A$6:$R$130,12,FALSE)</f>
        <v>#N/A</v>
      </c>
      <c r="AT67" s="156"/>
      <c r="AU67" s="94" t="str">
        <f>IFERROR(IFERROR(IF(AT67&gt;0,"",AT67*VLOOKUP($A67,'VALOR I.'!$B$6:$K$418,10,FALSE)),"")*$C67,"")</f>
        <v/>
      </c>
      <c r="AV67" s="203" t="e">
        <f>VLOOKUP($A67,INICIO_BARRA!$A$6:$R$130,11,FALSE)</f>
        <v>#N/A</v>
      </c>
      <c r="AW67" s="203" t="e">
        <f>VLOOKUP($A67,INICIO_BARRA!$A$6:$R$130,12,FALSE)</f>
        <v>#N/A</v>
      </c>
      <c r="AX67" s="203" t="str">
        <f>IFERROR(VLOOKUP($A67,REPOSICIONES_BARRA!$A$6:$I$130,7,FALSE),"")</f>
        <v/>
      </c>
      <c r="AY67" s="315" t="e">
        <f t="shared" si="8"/>
        <v>#N/A</v>
      </c>
      <c r="AZ67" s="316" t="e">
        <f t="shared" si="9"/>
        <v>#N/A</v>
      </c>
      <c r="BA67" s="317" t="str">
        <f>IFERROR(IFERROR(VLOOKUP($A67,VENTAS!$H$2:$O$201,6,FALSE),"")/$C67,"")</f>
        <v/>
      </c>
      <c r="BB67" s="111"/>
      <c r="BC67" s="203" t="e">
        <f>VLOOKUP($A67,INICIO_BARRA!$A$6:$R$130,13,FALSE)</f>
        <v>#N/A</v>
      </c>
      <c r="BD67" s="203" t="e">
        <f>VLOOKUP($A67,INICIO_BARRA!$A$6:$R$130,14,FALSE)</f>
        <v>#N/A</v>
      </c>
      <c r="BE67" s="156"/>
      <c r="BF67" s="94" t="str">
        <f>IFERROR(IFERROR(IF(BE67&gt;0,"",BE67*VLOOKUP($A67,'VALOR I.'!$B$6:$K$418,10,FALSE)),"")*$C67,"")</f>
        <v/>
      </c>
      <c r="BG67" s="203" t="e">
        <f>VLOOKUP($A67,INICIO_BARRA!$A$6:$R$130,13,FALSE)</f>
        <v>#N/A</v>
      </c>
      <c r="BH67" s="203" t="e">
        <f>VLOOKUP($A67,INICIO_BARRA!$A$6:$R$130,14,FALSE)</f>
        <v>#N/A</v>
      </c>
      <c r="BI67" s="203" t="str">
        <f>IFERROR(VLOOKUP($A67,REPOSICIONES_BARRA!$A$6:$I$130,8,FALSE),"")</f>
        <v/>
      </c>
      <c r="BJ67" s="315" t="e">
        <f t="shared" si="10"/>
        <v>#N/A</v>
      </c>
      <c r="BK67" s="316" t="e">
        <f t="shared" si="11"/>
        <v>#N/A</v>
      </c>
      <c r="BL67" s="317" t="str">
        <f>IFERROR(IFERROR(VLOOKUP($A67,VENTAS!$H$2:$O$201,7,FALSE),"")/$C67,"")</f>
        <v/>
      </c>
      <c r="BM67" s="111"/>
      <c r="BN67" s="203" t="e">
        <f>VLOOKUP($A67,INICIO_BARRA!$A$6:$R$130,15,FALSE)</f>
        <v>#N/A</v>
      </c>
      <c r="BO67" s="203" t="e">
        <f>VLOOKUP($A67,INICIO_BARRA!$A$6:$R$130,16,FALSE)</f>
        <v>#N/A</v>
      </c>
      <c r="BP67" s="156"/>
      <c r="BQ67" s="94" t="str">
        <f>IFERROR(IFERROR(IF(BP67&gt;0,"",BP67*VLOOKUP($A67,'VALOR I.'!$B$6:$K$418,10,FALSE)),"")*$C67,"")</f>
        <v/>
      </c>
      <c r="BR67" s="203" t="e">
        <f>VLOOKUP($A67,INICIO_BARRA!$A$6:$R$130,15,FALSE)</f>
        <v>#N/A</v>
      </c>
      <c r="BS67" s="203" t="e">
        <f>VLOOKUP($A67,INICIO_BARRA!$A$6:$R$130,16,FALSE)</f>
        <v>#N/A</v>
      </c>
      <c r="BT67" s="203" t="str">
        <f>IFERROR(VLOOKUP($A67,REPOSICIONES_BARRA!$A$6:$I$130,9,FALSE),"")</f>
        <v/>
      </c>
      <c r="BU67" s="315" t="e">
        <f t="shared" si="12"/>
        <v>#N/A</v>
      </c>
      <c r="BV67" s="316" t="e">
        <f t="shared" si="13"/>
        <v>#N/A</v>
      </c>
      <c r="BW67" s="317" t="str">
        <f>IFERROR(IFERROR(VLOOKUP($A67,VENTAS!$H$2:$O$201,8,FALSE),"")/$C67,"")</f>
        <v/>
      </c>
      <c r="BX67" s="111"/>
      <c r="BY67" s="203" t="e">
        <f>VLOOKUP($A67,INICIO_BARRA!$A$6:$R$130,17,FALSE)</f>
        <v>#N/A</v>
      </c>
      <c r="BZ67" s="203" t="e">
        <f>VLOOKUP($A67,INICIO_BARRA!$A$6:$R$130,18,FALSE)</f>
        <v>#N/A</v>
      </c>
      <c r="CA67" s="156"/>
      <c r="CB67" s="94" t="str">
        <f>IFERROR(IFERROR(IF(CA67&gt;0,"",CA67*VLOOKUP($A67,'VALOR I.'!$B$6:$K$418,10,FALSE)),"")*$C67,"")</f>
        <v/>
      </c>
    </row>
    <row r="68" spans="1:80" s="7" customFormat="1" ht="30" hidden="1" customHeight="1" x14ac:dyDescent="0.3">
      <c r="A68" s="3"/>
      <c r="B68" s="34"/>
      <c r="C68" s="136"/>
      <c r="D68" s="203" t="e">
        <f>VLOOKUP($A68,INICIO_BARRA!$A$6:$R$130,3,FALSE)</f>
        <v>#N/A</v>
      </c>
      <c r="E68" s="203" t="e">
        <f>VLOOKUP($A68,INICIO_BARRA!$A$6:$R$130,4,FALSE)</f>
        <v>#N/A</v>
      </c>
      <c r="F68" s="203" t="str">
        <f>IFERROR(VLOOKUP($A68,REPOSICIONES_BARRA!$A$6:$I$130,3,FALSE),"")</f>
        <v/>
      </c>
      <c r="G68" s="315" t="e">
        <f t="shared" si="14"/>
        <v>#N/A</v>
      </c>
      <c r="H68" s="316" t="e">
        <f t="shared" si="15"/>
        <v>#N/A</v>
      </c>
      <c r="I68" s="317" t="str">
        <f>IFERROR(IFERROR(VLOOKUP($A68,VENTAS!$H$2:$O$201,2,FALSE),"")/$C68,"")</f>
        <v/>
      </c>
      <c r="J68" s="111"/>
      <c r="K68" s="203" t="e">
        <f>VLOOKUP($A68,INICIO_BARRA!$A$6:$R$130,5,FALSE)</f>
        <v>#N/A</v>
      </c>
      <c r="L68" s="203" t="e">
        <f>VLOOKUP($A68,INICIO_BARRA!$A$6:$R$130,6,FALSE)</f>
        <v>#N/A</v>
      </c>
      <c r="M68" s="156"/>
      <c r="N68" s="204" t="str">
        <f>IFERROR(IFERROR(IF(M68&gt;0,"",M68*VLOOKUP($A68,'VALOR I.'!$B$6:$K$418,10,FALSE)),"")*$C68,"")</f>
        <v/>
      </c>
      <c r="O68" s="203" t="e">
        <f>VLOOKUP($A68,INICIO_BARRA!$A$6:$R$130,5,FALSE)</f>
        <v>#N/A</v>
      </c>
      <c r="P68" s="203" t="e">
        <f>VLOOKUP($A68,INICIO_BARRA!$A$6:$R$130,6,FALSE)</f>
        <v>#N/A</v>
      </c>
      <c r="Q68" s="203" t="str">
        <f>IFERROR(VLOOKUP($A68,REPOSICIONES_BARRA!$A$6:$I$130,4,FALSE),"")</f>
        <v/>
      </c>
      <c r="R68" s="315" t="e">
        <f t="shared" si="2"/>
        <v>#N/A</v>
      </c>
      <c r="S68" s="316" t="e">
        <f t="shared" si="3"/>
        <v>#N/A</v>
      </c>
      <c r="T68" s="317" t="str">
        <f>IFERROR(IFERROR(VLOOKUP($A68,VENTAS!$H$2:$O$201,3,FALSE),"")/$C68,"")</f>
        <v/>
      </c>
      <c r="U68" s="111"/>
      <c r="V68" s="203" t="e">
        <f>VLOOKUP($A68,INICIO_BARRA!$A$6:$R$130,7,FALSE)</f>
        <v>#N/A</v>
      </c>
      <c r="W68" s="203" t="e">
        <f>VLOOKUP($A68,INICIO_BARRA!$A$6:$R$130,8,FALSE)</f>
        <v>#N/A</v>
      </c>
      <c r="X68" s="156"/>
      <c r="Y68" s="204" t="str">
        <f>IFERROR(IFERROR(IF(X68&gt;0,"",X68*VLOOKUP($A68,'VALOR I.'!$B$6:$K$418,10,FALSE)),"")*$C68,"")</f>
        <v/>
      </c>
      <c r="Z68" s="203" t="e">
        <f>VLOOKUP($A68,INICIO_BARRA!$A$6:$R$130,7,FALSE)</f>
        <v>#N/A</v>
      </c>
      <c r="AA68" s="203" t="e">
        <f>VLOOKUP($A68,INICIO_BARRA!$A$6:$R$130,8,FALSE)</f>
        <v>#N/A</v>
      </c>
      <c r="AB68" s="203" t="str">
        <f>IFERROR(VLOOKUP($A68,REPOSICIONES_BARRA!$A$6:$I$130,5,FALSE),"")</f>
        <v/>
      </c>
      <c r="AC68" s="315" t="e">
        <f t="shared" si="4"/>
        <v>#N/A</v>
      </c>
      <c r="AD68" s="316" t="e">
        <f t="shared" si="5"/>
        <v>#N/A</v>
      </c>
      <c r="AE68" s="317" t="str">
        <f>IFERROR(IFERROR(VLOOKUP($A68,VENTAS!$H$2:$O$201,4,FALSE),"")/$C68,"")</f>
        <v/>
      </c>
      <c r="AF68" s="111"/>
      <c r="AG68" s="203" t="e">
        <f>VLOOKUP($A68,INICIO_BARRA!$A$6:$R$130,9,FALSE)</f>
        <v>#N/A</v>
      </c>
      <c r="AH68" s="203" t="e">
        <f>VLOOKUP($A68,INICIO_BARRA!$A$6:$R$130,10,FALSE)</f>
        <v>#N/A</v>
      </c>
      <c r="AI68" s="156"/>
      <c r="AJ68" s="94" t="str">
        <f>IFERROR(IFERROR(IF(AI68&gt;0,"",AI68*VLOOKUP($A68,'VALOR I.'!$B$6:$K$418,10,FALSE)),"")*$C68,"")</f>
        <v/>
      </c>
      <c r="AK68" s="203" t="e">
        <f>VLOOKUP($A68,INICIO_BARRA!$A$6:$R$130,9,FALSE)</f>
        <v>#N/A</v>
      </c>
      <c r="AL68" s="203" t="e">
        <f>VLOOKUP($A68,INICIO_BARRA!$A$6:$R$130,10,FALSE)</f>
        <v>#N/A</v>
      </c>
      <c r="AM68" s="203" t="str">
        <f>IFERROR(VLOOKUP($A68,REPOSICIONES_BARRA!$A$6:$I$130,6,FALSE),"")</f>
        <v/>
      </c>
      <c r="AN68" s="315" t="e">
        <f t="shared" si="6"/>
        <v>#N/A</v>
      </c>
      <c r="AO68" s="316" t="e">
        <f t="shared" si="7"/>
        <v>#N/A</v>
      </c>
      <c r="AP68" s="317" t="str">
        <f>IFERROR(IFERROR(VLOOKUP($A68,VENTAS!$H$2:$O$201,5,FALSE),"")/$C68,"")</f>
        <v/>
      </c>
      <c r="AQ68" s="111"/>
      <c r="AR68" s="203" t="e">
        <f>VLOOKUP($A68,INICIO_BARRA!$A$6:$R$130,11,FALSE)</f>
        <v>#N/A</v>
      </c>
      <c r="AS68" s="203" t="e">
        <f>VLOOKUP($A68,INICIO_BARRA!$A$6:$R$130,12,FALSE)</f>
        <v>#N/A</v>
      </c>
      <c r="AT68" s="156"/>
      <c r="AU68" s="94" t="str">
        <f>IFERROR(IFERROR(IF(AT68&gt;0,"",AT68*VLOOKUP($A68,'VALOR I.'!$B$6:$K$418,10,FALSE)),"")*$C68,"")</f>
        <v/>
      </c>
      <c r="AV68" s="203" t="e">
        <f>VLOOKUP($A68,INICIO_BARRA!$A$6:$R$130,11,FALSE)</f>
        <v>#N/A</v>
      </c>
      <c r="AW68" s="203" t="e">
        <f>VLOOKUP($A68,INICIO_BARRA!$A$6:$R$130,12,FALSE)</f>
        <v>#N/A</v>
      </c>
      <c r="AX68" s="203" t="str">
        <f>IFERROR(VLOOKUP($A68,REPOSICIONES_BARRA!$A$6:$I$130,7,FALSE),"")</f>
        <v/>
      </c>
      <c r="AY68" s="315" t="e">
        <f t="shared" si="8"/>
        <v>#N/A</v>
      </c>
      <c r="AZ68" s="316" t="e">
        <f t="shared" si="9"/>
        <v>#N/A</v>
      </c>
      <c r="BA68" s="317" t="str">
        <f>IFERROR(IFERROR(VLOOKUP($A68,VENTAS!$H$2:$O$201,6,FALSE),"")/$C68,"")</f>
        <v/>
      </c>
      <c r="BB68" s="111"/>
      <c r="BC68" s="203" t="e">
        <f>VLOOKUP($A68,INICIO_BARRA!$A$6:$R$130,13,FALSE)</f>
        <v>#N/A</v>
      </c>
      <c r="BD68" s="203" t="e">
        <f>VLOOKUP($A68,INICIO_BARRA!$A$6:$R$130,14,FALSE)</f>
        <v>#N/A</v>
      </c>
      <c r="BE68" s="156"/>
      <c r="BF68" s="94" t="str">
        <f>IFERROR(IFERROR(IF(BE68&gt;0,"",BE68*VLOOKUP($A68,'VALOR I.'!$B$6:$K$418,10,FALSE)),"")*$C68,"")</f>
        <v/>
      </c>
      <c r="BG68" s="203" t="e">
        <f>VLOOKUP($A68,INICIO_BARRA!$A$6:$R$130,13,FALSE)</f>
        <v>#N/A</v>
      </c>
      <c r="BH68" s="203" t="e">
        <f>VLOOKUP($A68,INICIO_BARRA!$A$6:$R$130,14,FALSE)</f>
        <v>#N/A</v>
      </c>
      <c r="BI68" s="203" t="str">
        <f>IFERROR(VLOOKUP($A68,REPOSICIONES_BARRA!$A$6:$I$130,8,FALSE),"")</f>
        <v/>
      </c>
      <c r="BJ68" s="315" t="e">
        <f t="shared" si="10"/>
        <v>#N/A</v>
      </c>
      <c r="BK68" s="316" t="e">
        <f t="shared" si="11"/>
        <v>#N/A</v>
      </c>
      <c r="BL68" s="317" t="str">
        <f>IFERROR(IFERROR(VLOOKUP($A68,VENTAS!$H$2:$O$201,7,FALSE),"")/$C68,"")</f>
        <v/>
      </c>
      <c r="BM68" s="111"/>
      <c r="BN68" s="203" t="e">
        <f>VLOOKUP($A68,INICIO_BARRA!$A$6:$R$130,15,FALSE)</f>
        <v>#N/A</v>
      </c>
      <c r="BO68" s="203" t="e">
        <f>VLOOKUP($A68,INICIO_BARRA!$A$6:$R$130,16,FALSE)</f>
        <v>#N/A</v>
      </c>
      <c r="BP68" s="156"/>
      <c r="BQ68" s="94" t="str">
        <f>IFERROR(IFERROR(IF(BP68&gt;0,"",BP68*VLOOKUP($A68,'VALOR I.'!$B$6:$K$418,10,FALSE)),"")*$C68,"")</f>
        <v/>
      </c>
      <c r="BR68" s="203" t="e">
        <f>VLOOKUP($A68,INICIO_BARRA!$A$6:$R$130,15,FALSE)</f>
        <v>#N/A</v>
      </c>
      <c r="BS68" s="203" t="e">
        <f>VLOOKUP($A68,INICIO_BARRA!$A$6:$R$130,16,FALSE)</f>
        <v>#N/A</v>
      </c>
      <c r="BT68" s="203" t="str">
        <f>IFERROR(VLOOKUP($A68,REPOSICIONES_BARRA!$A$6:$I$130,9,FALSE),"")</f>
        <v/>
      </c>
      <c r="BU68" s="315" t="e">
        <f t="shared" si="12"/>
        <v>#N/A</v>
      </c>
      <c r="BV68" s="316" t="e">
        <f t="shared" si="13"/>
        <v>#N/A</v>
      </c>
      <c r="BW68" s="317" t="str">
        <f>IFERROR(IFERROR(VLOOKUP($A68,VENTAS!$H$2:$O$201,8,FALSE),"")/$C68,"")</f>
        <v/>
      </c>
      <c r="BX68" s="111"/>
      <c r="BY68" s="203" t="e">
        <f>VLOOKUP($A68,INICIO_BARRA!$A$6:$R$130,17,FALSE)</f>
        <v>#N/A</v>
      </c>
      <c r="BZ68" s="203" t="e">
        <f>VLOOKUP($A68,INICIO_BARRA!$A$6:$R$130,18,FALSE)</f>
        <v>#N/A</v>
      </c>
      <c r="CA68" s="156"/>
      <c r="CB68" s="94" t="str">
        <f>IFERROR(IFERROR(IF(CA68&gt;0,"",CA68*VLOOKUP($A68,'VALOR I.'!$B$6:$K$418,10,FALSE)),"")*$C68,"")</f>
        <v/>
      </c>
    </row>
    <row r="69" spans="1:80" s="7" customFormat="1" ht="30" customHeight="1" x14ac:dyDescent="0.3">
      <c r="A69" s="3"/>
      <c r="B69" s="307" t="s">
        <v>39</v>
      </c>
      <c r="C69" s="137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</row>
    <row r="70" spans="1:80" s="7" customFormat="1" ht="30" hidden="1" customHeight="1" x14ac:dyDescent="0.45">
      <c r="A70" s="3"/>
      <c r="B70" s="36"/>
      <c r="C70" s="138"/>
      <c r="D70" s="203" t="e">
        <f>VLOOKUP($A70,INICIO_BARRA!$A$6:$R$130,3,FALSE)</f>
        <v>#N/A</v>
      </c>
      <c r="E70" s="203" t="e">
        <f>VLOOKUP($A70,INICIO_BARRA!$A$6:$R$130,4,FALSE)</f>
        <v>#N/A</v>
      </c>
      <c r="F70" s="203" t="str">
        <f>IFERROR(VLOOKUP($A70,REPOSICIONES_BARRA!$A$6:$I$130,3,FALSE),"")</f>
        <v/>
      </c>
      <c r="G70" s="315" t="e">
        <f t="shared" si="14"/>
        <v>#N/A</v>
      </c>
      <c r="H70" s="316" t="e">
        <f t="shared" si="15"/>
        <v>#N/A</v>
      </c>
      <c r="I70" s="317" t="str">
        <f>IFERROR(IFERROR(VLOOKUP($A70,VENTAS!$H$2:$O$201,2,FALSE),"")/$C70,"")</f>
        <v/>
      </c>
      <c r="J70" s="111"/>
      <c r="K70" s="203" t="e">
        <f>VLOOKUP($A70,INICIO_BARRA!$A$6:$R$130,5,FALSE)</f>
        <v>#N/A</v>
      </c>
      <c r="L70" s="203" t="e">
        <f>VLOOKUP($A70,INICIO_BARRA!$A$6:$R$130,6,FALSE)</f>
        <v>#N/A</v>
      </c>
      <c r="M70" s="156"/>
      <c r="N70" s="204" t="str">
        <f>IFERROR(IFERROR(IF(M70&gt;0,"",M70*VLOOKUP($A70,'VALOR I.'!$B$6:$K$418,10,FALSE)),"")*$C70,"")</f>
        <v/>
      </c>
      <c r="O70" s="203" t="e">
        <f>VLOOKUP($A70,INICIO_BARRA!$A$6:$R$130,5,FALSE)</f>
        <v>#N/A</v>
      </c>
      <c r="P70" s="203" t="e">
        <f>VLOOKUP($A70,INICIO_BARRA!$A$6:$R$130,6,FALSE)</f>
        <v>#N/A</v>
      </c>
      <c r="Q70" s="203" t="str">
        <f>IFERROR(VLOOKUP($A70,REPOSICIONES_BARRA!$A$6:$I$130,4,FALSE),"")</f>
        <v/>
      </c>
      <c r="R70" s="315" t="e">
        <f t="shared" si="2"/>
        <v>#N/A</v>
      </c>
      <c r="S70" s="316" t="e">
        <f t="shared" si="3"/>
        <v>#N/A</v>
      </c>
      <c r="T70" s="317" t="str">
        <f>IFERROR(IFERROR(VLOOKUP($A70,VENTAS!$H$2:$O$201,3,FALSE),"")/$C70,"")</f>
        <v/>
      </c>
      <c r="U70" s="111"/>
      <c r="V70" s="203" t="e">
        <f>VLOOKUP($A70,INICIO_BARRA!$A$6:$R$130,7,FALSE)</f>
        <v>#N/A</v>
      </c>
      <c r="W70" s="203" t="e">
        <f>VLOOKUP($A70,INICIO_BARRA!$A$6:$R$130,8,FALSE)</f>
        <v>#N/A</v>
      </c>
      <c r="X70" s="156"/>
      <c r="Y70" s="204" t="str">
        <f>IFERROR(IFERROR(IF(X70&gt;0,"",X70*VLOOKUP($A70,'VALOR I.'!$B$6:$K$418,10,FALSE)),"")*$C70,"")</f>
        <v/>
      </c>
      <c r="Z70" s="203" t="e">
        <f>VLOOKUP($A70,INICIO_BARRA!$A$6:$R$130,7,FALSE)</f>
        <v>#N/A</v>
      </c>
      <c r="AA70" s="203" t="e">
        <f>VLOOKUP($A70,INICIO_BARRA!$A$6:$R$130,8,FALSE)</f>
        <v>#N/A</v>
      </c>
      <c r="AB70" s="203" t="str">
        <f>IFERROR(VLOOKUP($A70,REPOSICIONES_BARRA!$A$6:$I$130,5,FALSE),"")</f>
        <v/>
      </c>
      <c r="AC70" s="315" t="e">
        <f t="shared" si="4"/>
        <v>#N/A</v>
      </c>
      <c r="AD70" s="316" t="e">
        <f t="shared" si="5"/>
        <v>#N/A</v>
      </c>
      <c r="AE70" s="317" t="str">
        <f>IFERROR(IFERROR(VLOOKUP($A70,VENTAS!$H$2:$O$201,4,FALSE),"")/$C70,"")</f>
        <v/>
      </c>
      <c r="AF70" s="111"/>
      <c r="AG70" s="203" t="e">
        <f>VLOOKUP($A70,INICIO_BARRA!$A$6:$R$130,9,FALSE)</f>
        <v>#N/A</v>
      </c>
      <c r="AH70" s="203" t="e">
        <f>VLOOKUP($A70,INICIO_BARRA!$A$6:$R$130,10,FALSE)</f>
        <v>#N/A</v>
      </c>
      <c r="AI70" s="156"/>
      <c r="AJ70" s="94" t="str">
        <f>IFERROR(IFERROR(IF(AI70&gt;0,"",AI70*VLOOKUP($A70,'VALOR I.'!$B$6:$K$418,10,FALSE)),"")*$C70,"")</f>
        <v/>
      </c>
      <c r="AK70" s="203" t="e">
        <f>VLOOKUP($A70,INICIO_BARRA!$A$6:$R$130,9,FALSE)</f>
        <v>#N/A</v>
      </c>
      <c r="AL70" s="203" t="e">
        <f>VLOOKUP($A70,INICIO_BARRA!$A$6:$R$130,10,FALSE)</f>
        <v>#N/A</v>
      </c>
      <c r="AM70" s="203" t="str">
        <f>IFERROR(VLOOKUP($A70,REPOSICIONES_BARRA!$A$6:$I$130,6,FALSE),"")</f>
        <v/>
      </c>
      <c r="AN70" s="315" t="e">
        <f t="shared" si="6"/>
        <v>#N/A</v>
      </c>
      <c r="AO70" s="316" t="e">
        <f t="shared" si="7"/>
        <v>#N/A</v>
      </c>
      <c r="AP70" s="317" t="str">
        <f>IFERROR(IFERROR(VLOOKUP($A70,VENTAS!$H$2:$O$201,5,FALSE),"")/$C70,"")</f>
        <v/>
      </c>
      <c r="AQ70" s="111"/>
      <c r="AR70" s="203" t="e">
        <f>VLOOKUP($A70,INICIO_BARRA!$A$6:$R$130,11,FALSE)</f>
        <v>#N/A</v>
      </c>
      <c r="AS70" s="203" t="e">
        <f>VLOOKUP($A70,INICIO_BARRA!$A$6:$R$130,12,FALSE)</f>
        <v>#N/A</v>
      </c>
      <c r="AT70" s="156"/>
      <c r="AU70" s="94" t="str">
        <f>IFERROR(IFERROR(IF(AT70&gt;0,"",AT70*VLOOKUP($A70,'VALOR I.'!$B$6:$K$418,10,FALSE)),"")*$C70,"")</f>
        <v/>
      </c>
      <c r="AV70" s="203" t="e">
        <f>VLOOKUP($A70,INICIO_BARRA!$A$6:$R$130,11,FALSE)</f>
        <v>#N/A</v>
      </c>
      <c r="AW70" s="203" t="e">
        <f>VLOOKUP($A70,INICIO_BARRA!$A$6:$R$130,12,FALSE)</f>
        <v>#N/A</v>
      </c>
      <c r="AX70" s="203" t="str">
        <f>IFERROR(VLOOKUP($A70,REPOSICIONES_BARRA!$A$6:$I$130,7,FALSE),"")</f>
        <v/>
      </c>
      <c r="AY70" s="315" t="e">
        <f t="shared" si="8"/>
        <v>#N/A</v>
      </c>
      <c r="AZ70" s="316" t="e">
        <f t="shared" si="9"/>
        <v>#N/A</v>
      </c>
      <c r="BA70" s="317" t="str">
        <f>IFERROR(IFERROR(VLOOKUP($A70,VENTAS!$H$2:$O$201,6,FALSE),"")/$C70,"")</f>
        <v/>
      </c>
      <c r="BB70" s="111"/>
      <c r="BC70" s="203" t="e">
        <f>VLOOKUP($A70,INICIO_BARRA!$A$6:$R$130,13,FALSE)</f>
        <v>#N/A</v>
      </c>
      <c r="BD70" s="203" t="e">
        <f>VLOOKUP($A70,INICIO_BARRA!$A$6:$R$130,14,FALSE)</f>
        <v>#N/A</v>
      </c>
      <c r="BE70" s="156"/>
      <c r="BF70" s="94" t="str">
        <f>IFERROR(IFERROR(IF(BE70&gt;0,"",BE70*VLOOKUP($A70,'VALOR I.'!$B$6:$K$418,10,FALSE)),"")*$C70,"")</f>
        <v/>
      </c>
      <c r="BG70" s="203" t="e">
        <f>VLOOKUP($A70,INICIO_BARRA!$A$6:$R$130,13,FALSE)</f>
        <v>#N/A</v>
      </c>
      <c r="BH70" s="203" t="e">
        <f>VLOOKUP($A70,INICIO_BARRA!$A$6:$R$130,14,FALSE)</f>
        <v>#N/A</v>
      </c>
      <c r="BI70" s="203" t="str">
        <f>IFERROR(VLOOKUP($A70,REPOSICIONES_BARRA!$A$6:$I$130,8,FALSE),"")</f>
        <v/>
      </c>
      <c r="BJ70" s="315" t="e">
        <f t="shared" si="10"/>
        <v>#N/A</v>
      </c>
      <c r="BK70" s="316" t="e">
        <f t="shared" si="11"/>
        <v>#N/A</v>
      </c>
      <c r="BL70" s="317" t="str">
        <f>IFERROR(IFERROR(VLOOKUP($A70,VENTAS!$H$2:$O$201,7,FALSE),"")/$C70,"")</f>
        <v/>
      </c>
      <c r="BM70" s="111"/>
      <c r="BN70" s="203" t="e">
        <f>VLOOKUP($A70,INICIO_BARRA!$A$6:$R$130,15,FALSE)</f>
        <v>#N/A</v>
      </c>
      <c r="BO70" s="203" t="e">
        <f>VLOOKUP($A70,INICIO_BARRA!$A$6:$R$130,16,FALSE)</f>
        <v>#N/A</v>
      </c>
      <c r="BP70" s="156"/>
      <c r="BQ70" s="94" t="str">
        <f>IFERROR(IFERROR(IF(BP70&gt;0,"",BP70*VLOOKUP($A70,'VALOR I.'!$B$6:$K$418,10,FALSE)),"")*$C70,"")</f>
        <v/>
      </c>
      <c r="BR70" s="203" t="e">
        <f>VLOOKUP($A70,INICIO_BARRA!$A$6:$R$130,15,FALSE)</f>
        <v>#N/A</v>
      </c>
      <c r="BS70" s="203" t="e">
        <f>VLOOKUP($A70,INICIO_BARRA!$A$6:$R$130,16,FALSE)</f>
        <v>#N/A</v>
      </c>
      <c r="BT70" s="203" t="str">
        <f>IFERROR(VLOOKUP($A70,REPOSICIONES_BARRA!$A$6:$I$130,9,FALSE),"")</f>
        <v/>
      </c>
      <c r="BU70" s="315" t="e">
        <f t="shared" si="12"/>
        <v>#N/A</v>
      </c>
      <c r="BV70" s="316" t="e">
        <f t="shared" si="13"/>
        <v>#N/A</v>
      </c>
      <c r="BW70" s="317" t="str">
        <f>IFERROR(IFERROR(VLOOKUP($A70,VENTAS!$H$2:$O$201,8,FALSE),"")/$C70,"")</f>
        <v/>
      </c>
      <c r="BX70" s="111"/>
      <c r="BY70" s="203" t="e">
        <f>VLOOKUP($A70,INICIO_BARRA!$A$6:$R$130,17,FALSE)</f>
        <v>#N/A</v>
      </c>
      <c r="BZ70" s="203" t="e">
        <f>VLOOKUP($A70,INICIO_BARRA!$A$6:$R$130,18,FALSE)</f>
        <v>#N/A</v>
      </c>
      <c r="CA70" s="156"/>
      <c r="CB70" s="94" t="str">
        <f>IFERROR(IFERROR(IF(CA70&gt;0,"",CA70*VLOOKUP($A70,'VALOR I.'!$B$6:$K$418,10,FALSE)),"")*$C70,"")</f>
        <v/>
      </c>
    </row>
    <row r="71" spans="1:80" s="7" customFormat="1" ht="30" customHeight="1" x14ac:dyDescent="0.3">
      <c r="A71" s="3" t="s">
        <v>270</v>
      </c>
      <c r="B71" s="308" t="s">
        <v>48</v>
      </c>
      <c r="C71" s="138">
        <v>1</v>
      </c>
      <c r="D71" s="203">
        <f>VLOOKUP($A71,INICIO_BARRA!$A$6:$R$130,3,FALSE)</f>
        <v>0</v>
      </c>
      <c r="E71" s="203">
        <f>VLOOKUP($A71,INICIO_BARRA!$A$6:$R$130,4,FALSE)</f>
        <v>0</v>
      </c>
      <c r="F71" s="203">
        <f>IFERROR(VLOOKUP($A71,REPOSICIONES_BARRA!$A$6:$I$130,3,FALSE),"")</f>
        <v>0</v>
      </c>
      <c r="G71" s="315">
        <f t="shared" si="14"/>
        <v>0</v>
      </c>
      <c r="H71" s="316">
        <f t="shared" si="15"/>
        <v>0</v>
      </c>
      <c r="I71" s="317">
        <f>IFERROR(IFERROR(VLOOKUP($A71,VENTAS!$H$2:$O$201,2,FALSE),"")/$C71,"")</f>
        <v>0</v>
      </c>
      <c r="J71" s="318">
        <f t="shared" si="28"/>
        <v>0</v>
      </c>
      <c r="K71" s="203">
        <f>VLOOKUP($A71,INICIO_BARRA!$A$6:$R$130,5,FALSE)</f>
        <v>11</v>
      </c>
      <c r="L71" s="203">
        <f>VLOOKUP($A71,INICIO_BARRA!$A$6:$R$130,6,FALSE)</f>
        <v>0</v>
      </c>
      <c r="M71" s="319">
        <f t="shared" si="29"/>
        <v>11</v>
      </c>
      <c r="N71" s="204" t="str">
        <f>IFERROR(IFERROR(IF(M71&gt;0,"",M71*VLOOKUP($A71,'VALOR I.'!$B$6:$K$418,10,FALSE)),"")*$C71,"")</f>
        <v/>
      </c>
      <c r="O71" s="203">
        <f>VLOOKUP($A71,INICIO_BARRA!$A$6:$R$130,5,FALSE)</f>
        <v>11</v>
      </c>
      <c r="P71" s="203">
        <f>VLOOKUP($A71,INICIO_BARRA!$A$6:$R$130,6,FALSE)</f>
        <v>0</v>
      </c>
      <c r="Q71" s="203">
        <f>IFERROR(VLOOKUP($A71,REPOSICIONES_BARRA!$A$6:$I$130,4,FALSE),"")</f>
        <v>1</v>
      </c>
      <c r="R71" s="315">
        <f t="shared" si="2"/>
        <v>12</v>
      </c>
      <c r="S71" s="316">
        <f t="shared" si="3"/>
        <v>0</v>
      </c>
      <c r="T71" s="317">
        <f>IFERROR(IFERROR(VLOOKUP($A71,VENTAS!$H$2:$O$201,3,FALSE),"")/$C71,"")</f>
        <v>0</v>
      </c>
      <c r="U71" s="318">
        <f t="shared" ref="U71:U73" si="60">IFERROR(R71-T71,"")</f>
        <v>12</v>
      </c>
      <c r="V71" s="203">
        <f>VLOOKUP($A71,INICIO_BARRA!$A$6:$R$130,7,FALSE)</f>
        <v>7</v>
      </c>
      <c r="W71" s="203">
        <f>VLOOKUP($A71,INICIO_BARRA!$A$6:$R$130,8,FALSE)</f>
        <v>0</v>
      </c>
      <c r="X71" s="319">
        <f t="shared" ref="X71:X73" si="61">IFERROR(V71-U71,"")</f>
        <v>-5</v>
      </c>
      <c r="Y71" s="204">
        <f>IFERROR(IFERROR(IF(X71&gt;0,"",X71*VLOOKUP($A71,'VALOR I.'!$B$6:$K$418,10,FALSE)),"")*$C71,"")</f>
        <v>-5233.3999999999996</v>
      </c>
      <c r="Z71" s="203">
        <f>VLOOKUP($A71,INICIO_BARRA!$A$6:$R$130,7,FALSE)</f>
        <v>7</v>
      </c>
      <c r="AA71" s="203">
        <f>VLOOKUP($A71,INICIO_BARRA!$A$6:$R$130,8,FALSE)</f>
        <v>0</v>
      </c>
      <c r="AB71" s="203">
        <f>IFERROR(VLOOKUP($A71,REPOSICIONES_BARRA!$A$6:$I$130,5,FALSE),"")</f>
        <v>0</v>
      </c>
      <c r="AC71" s="315">
        <f t="shared" si="4"/>
        <v>7</v>
      </c>
      <c r="AD71" s="316">
        <f t="shared" si="5"/>
        <v>0</v>
      </c>
      <c r="AE71" s="317">
        <f>IFERROR(IFERROR(VLOOKUP($A71,VENTAS!$H$2:$O$201,4,FALSE),"")/$C71,"")</f>
        <v>0</v>
      </c>
      <c r="AF71" s="318">
        <f t="shared" ref="AF71:AF73" si="62">IFERROR(AC71-AE71,"")</f>
        <v>7</v>
      </c>
      <c r="AG71" s="203">
        <f>VLOOKUP($A71,INICIO_BARRA!$A$6:$R$130,9,FALSE)</f>
        <v>0</v>
      </c>
      <c r="AH71" s="203">
        <f>VLOOKUP($A71,INICIO_BARRA!$A$6:$R$130,10,FALSE)</f>
        <v>0</v>
      </c>
      <c r="AI71" s="319">
        <f t="shared" ref="AI71:AI73" si="63">IFERROR(AG71-AF71,"")</f>
        <v>-7</v>
      </c>
      <c r="AJ71" s="204">
        <f>IFERROR(IFERROR(IF(AI71&gt;0,"",AI71*VLOOKUP($A71,'VALOR I.'!$B$6:$K$418,10,FALSE)),"")*$C71,"")</f>
        <v>-7326.7599999999984</v>
      </c>
      <c r="AK71" s="203">
        <f>VLOOKUP($A71,INICIO_BARRA!$A$6:$R$130,9,FALSE)</f>
        <v>0</v>
      </c>
      <c r="AL71" s="203">
        <f>VLOOKUP($A71,INICIO_BARRA!$A$6:$R$130,10,FALSE)</f>
        <v>0</v>
      </c>
      <c r="AM71" s="203">
        <f>IFERROR(VLOOKUP($A71,REPOSICIONES_BARRA!$A$6:$I$130,6,FALSE),"")</f>
        <v>18</v>
      </c>
      <c r="AN71" s="315">
        <f t="shared" si="6"/>
        <v>18</v>
      </c>
      <c r="AO71" s="316">
        <f t="shared" si="7"/>
        <v>0</v>
      </c>
      <c r="AP71" s="317">
        <f>IFERROR(IFERROR(VLOOKUP($A71,VENTAS!$H$2:$O$201,5,FALSE),"")/$C71,"")</f>
        <v>0</v>
      </c>
      <c r="AQ71" s="318">
        <f t="shared" ref="AQ71:AQ73" si="64">IFERROR(AN71-AP71,"")</f>
        <v>18</v>
      </c>
      <c r="AR71" s="203">
        <f>VLOOKUP($A71,INICIO_BARRA!$A$6:$R$130,11,FALSE)</f>
        <v>13</v>
      </c>
      <c r="AS71" s="203">
        <f>VLOOKUP($A71,INICIO_BARRA!$A$6:$R$130,12,FALSE)</f>
        <v>0</v>
      </c>
      <c r="AT71" s="319">
        <f t="shared" ref="AT71:AT73" si="65">IFERROR(AR71-AQ71,"")</f>
        <v>-5</v>
      </c>
      <c r="AU71" s="204">
        <f>IFERROR(IFERROR(IF(AT71&gt;0,"",AT71*VLOOKUP($A71,'VALOR I.'!$B$6:$K$418,10,FALSE)),"")*$C71,"")</f>
        <v>-5233.3999999999996</v>
      </c>
      <c r="AV71" s="203">
        <f>VLOOKUP($A71,INICIO_BARRA!$A$6:$R$130,11,FALSE)</f>
        <v>13</v>
      </c>
      <c r="AW71" s="203">
        <f>VLOOKUP($A71,INICIO_BARRA!$A$6:$R$130,12,FALSE)</f>
        <v>0</v>
      </c>
      <c r="AX71" s="203">
        <f>IFERROR(VLOOKUP($A71,REPOSICIONES_BARRA!$A$6:$I$130,7,FALSE),"")</f>
        <v>5</v>
      </c>
      <c r="AY71" s="315">
        <f t="shared" si="8"/>
        <v>18</v>
      </c>
      <c r="AZ71" s="316">
        <f t="shared" si="9"/>
        <v>0</v>
      </c>
      <c r="BA71" s="317">
        <f>IFERROR(IFERROR(VLOOKUP($A71,VENTAS!$H$2:$O$201,6,FALSE),"")/$C71,"")</f>
        <v>0</v>
      </c>
      <c r="BB71" s="318">
        <f t="shared" ref="BB71:BB73" si="66">IFERROR(AY71-BA71,"")</f>
        <v>18</v>
      </c>
      <c r="BC71" s="203">
        <f>VLOOKUP($A71,INICIO_BARRA!$A$6:$R$130,13,FALSE)</f>
        <v>0</v>
      </c>
      <c r="BD71" s="203">
        <f>VLOOKUP($A71,INICIO_BARRA!$A$6:$R$130,14,FALSE)</f>
        <v>0</v>
      </c>
      <c r="BE71" s="319">
        <f t="shared" ref="BE71:BE73" si="67">IFERROR(BC71-BB71,"")</f>
        <v>-18</v>
      </c>
      <c r="BF71" s="204">
        <f>IFERROR(IFERROR(IF(BE71&gt;0,"",BE71*VLOOKUP($A71,'VALOR I.'!$B$6:$K$418,10,FALSE)),"")*$C71,"")</f>
        <v>-18840.239999999998</v>
      </c>
      <c r="BG71" s="203">
        <f>VLOOKUP($A71,INICIO_BARRA!$A$6:$R$130,13,FALSE)</f>
        <v>0</v>
      </c>
      <c r="BH71" s="203">
        <f>VLOOKUP($A71,INICIO_BARRA!$A$6:$R$130,14,FALSE)</f>
        <v>0</v>
      </c>
      <c r="BI71" s="203">
        <f>IFERROR(VLOOKUP($A71,REPOSICIONES_BARRA!$A$6:$I$130,8,FALSE),"")</f>
        <v>0</v>
      </c>
      <c r="BJ71" s="315">
        <f t="shared" si="10"/>
        <v>0</v>
      </c>
      <c r="BK71" s="316">
        <f t="shared" si="11"/>
        <v>0</v>
      </c>
      <c r="BL71" s="317">
        <f>IFERROR(IFERROR(VLOOKUP($A71,VENTAS!$H$2:$O$201,7,FALSE),"")/$C71,"")</f>
        <v>0</v>
      </c>
      <c r="BM71" s="318">
        <f t="shared" ref="BM71:BM73" si="68">IFERROR(BJ71-BL71,"")</f>
        <v>0</v>
      </c>
      <c r="BN71" s="203">
        <f>VLOOKUP($A71,INICIO_BARRA!$A$6:$R$130,15,FALSE)</f>
        <v>0</v>
      </c>
      <c r="BO71" s="203">
        <f>VLOOKUP($A71,INICIO_BARRA!$A$6:$R$130,16,FALSE)</f>
        <v>0</v>
      </c>
      <c r="BP71" s="319">
        <f t="shared" ref="BP71:BP73" si="69">IFERROR(BN71-BM71,"")</f>
        <v>0</v>
      </c>
      <c r="BQ71" s="204">
        <f>IFERROR(IFERROR(IF(BP71&gt;0,"",BP71*VLOOKUP($A71,'VALOR I.'!$B$6:$K$418,10,FALSE)),"")*$C71,"")</f>
        <v>0</v>
      </c>
      <c r="BR71" s="203"/>
      <c r="BS71" s="203"/>
      <c r="BT71" s="203"/>
      <c r="BU71" s="315"/>
      <c r="BV71" s="316"/>
      <c r="BW71" s="317"/>
      <c r="BX71" s="318"/>
      <c r="BY71" s="203"/>
      <c r="BZ71" s="203"/>
      <c r="CA71" s="319"/>
      <c r="CB71" s="204"/>
    </row>
    <row r="72" spans="1:80" s="7" customFormat="1" ht="30" customHeight="1" x14ac:dyDescent="0.3">
      <c r="A72" s="3" t="s">
        <v>268</v>
      </c>
      <c r="B72" s="308" t="s">
        <v>27</v>
      </c>
      <c r="C72" s="138">
        <v>1</v>
      </c>
      <c r="D72" s="203">
        <f>VLOOKUP($A72,INICIO_BARRA!$A$6:$R$130,3,FALSE)</f>
        <v>0</v>
      </c>
      <c r="E72" s="203">
        <f>VLOOKUP($A72,INICIO_BARRA!$A$6:$R$130,4,FALSE)</f>
        <v>0</v>
      </c>
      <c r="F72" s="203">
        <f>IFERROR(VLOOKUP($A72,REPOSICIONES_BARRA!$A$6:$I$130,3,FALSE),"")</f>
        <v>0</v>
      </c>
      <c r="G72" s="315">
        <f t="shared" si="14"/>
        <v>0</v>
      </c>
      <c r="H72" s="316">
        <f t="shared" si="15"/>
        <v>0</v>
      </c>
      <c r="I72" s="317">
        <f>IFERROR(IFERROR(VLOOKUP($A72,VENTAS!$H$2:$O$201,2,FALSE),"")/$C72,"")</f>
        <v>0</v>
      </c>
      <c r="J72" s="318">
        <f t="shared" si="28"/>
        <v>0</v>
      </c>
      <c r="K72" s="203">
        <f>VLOOKUP($A72,INICIO_BARRA!$A$6:$R$130,5,FALSE)</f>
        <v>10</v>
      </c>
      <c r="L72" s="203">
        <f>VLOOKUP($A72,INICIO_BARRA!$A$6:$R$130,6,FALSE)</f>
        <v>0</v>
      </c>
      <c r="M72" s="319">
        <f t="shared" si="29"/>
        <v>10</v>
      </c>
      <c r="N72" s="204" t="str">
        <f>IFERROR(IFERROR(IF(M72&gt;0,"",M72*VLOOKUP($A72,'VALOR I.'!$B$6:$K$418,10,FALSE)),"")*$C72,"")</f>
        <v/>
      </c>
      <c r="O72" s="203">
        <f>VLOOKUP($A72,INICIO_BARRA!$A$6:$R$130,5,FALSE)</f>
        <v>10</v>
      </c>
      <c r="P72" s="203">
        <f>VLOOKUP($A72,INICIO_BARRA!$A$6:$R$130,6,FALSE)</f>
        <v>0</v>
      </c>
      <c r="Q72" s="203">
        <f>IFERROR(VLOOKUP($A72,REPOSICIONES_BARRA!$A$6:$I$130,4,FALSE),"")</f>
        <v>3</v>
      </c>
      <c r="R72" s="315">
        <f t="shared" ref="R72:R135" si="70">O72+Q72</f>
        <v>13</v>
      </c>
      <c r="S72" s="316">
        <f t="shared" ref="S72:S135" si="71">P72</f>
        <v>0</v>
      </c>
      <c r="T72" s="317">
        <f>IFERROR(IFERROR(VLOOKUP($A72,VENTAS!$H$2:$O$201,3,FALSE),"")/$C72,"")</f>
        <v>0</v>
      </c>
      <c r="U72" s="318">
        <f t="shared" si="60"/>
        <v>13</v>
      </c>
      <c r="V72" s="203">
        <f>VLOOKUP($A72,INICIO_BARRA!$A$6:$R$130,7,FALSE)</f>
        <v>14</v>
      </c>
      <c r="W72" s="203">
        <f>VLOOKUP($A72,INICIO_BARRA!$A$6:$R$130,8,FALSE)</f>
        <v>0</v>
      </c>
      <c r="X72" s="319">
        <f t="shared" si="61"/>
        <v>1</v>
      </c>
      <c r="Y72" s="204" t="str">
        <f>IFERROR(IFERROR(IF(X72&gt;0,"",X72*VLOOKUP($A72,'VALOR I.'!$B$6:$K$418,10,FALSE)),"")*$C72,"")</f>
        <v/>
      </c>
      <c r="Z72" s="203">
        <f>VLOOKUP($A72,INICIO_BARRA!$A$6:$R$130,7,FALSE)</f>
        <v>14</v>
      </c>
      <c r="AA72" s="203">
        <f>VLOOKUP($A72,INICIO_BARRA!$A$6:$R$130,8,FALSE)</f>
        <v>0</v>
      </c>
      <c r="AB72" s="203">
        <f>IFERROR(VLOOKUP($A72,REPOSICIONES_BARRA!$A$6:$I$130,5,FALSE),"")</f>
        <v>0</v>
      </c>
      <c r="AC72" s="315">
        <f t="shared" ref="AC72:AC135" si="72">Z72+AB72</f>
        <v>14</v>
      </c>
      <c r="AD72" s="316">
        <f t="shared" ref="AD72:AD135" si="73">AA72</f>
        <v>0</v>
      </c>
      <c r="AE72" s="317">
        <f>IFERROR(IFERROR(VLOOKUP($A72,VENTAS!$H$2:$O$201,4,FALSE),"")/$C72,"")</f>
        <v>1</v>
      </c>
      <c r="AF72" s="318">
        <f t="shared" si="62"/>
        <v>13</v>
      </c>
      <c r="AG72" s="203">
        <f>VLOOKUP($A72,INICIO_BARRA!$A$6:$R$130,9,FALSE)</f>
        <v>11</v>
      </c>
      <c r="AH72" s="203">
        <f>VLOOKUP($A72,INICIO_BARRA!$A$6:$R$130,10,FALSE)</f>
        <v>0</v>
      </c>
      <c r="AI72" s="319">
        <f t="shared" si="63"/>
        <v>-2</v>
      </c>
      <c r="AJ72" s="204">
        <f>IFERROR(IFERROR(IF(AI72&gt;0,"",AI72*VLOOKUP($A72,'VALOR I.'!$B$6:$K$418,10,FALSE)),"")*$C72,"")</f>
        <v>-2085.14</v>
      </c>
      <c r="AK72" s="203">
        <f>VLOOKUP($A72,INICIO_BARRA!$A$6:$R$130,9,FALSE)</f>
        <v>11</v>
      </c>
      <c r="AL72" s="203">
        <f>VLOOKUP($A72,INICIO_BARRA!$A$6:$R$130,10,FALSE)</f>
        <v>0</v>
      </c>
      <c r="AM72" s="203">
        <f>IFERROR(VLOOKUP($A72,REPOSICIONES_BARRA!$A$6:$I$130,6,FALSE),"")</f>
        <v>7</v>
      </c>
      <c r="AN72" s="315">
        <f t="shared" ref="AN72:AN135" si="74">AK72+AM72</f>
        <v>18</v>
      </c>
      <c r="AO72" s="316">
        <f t="shared" ref="AO72:AO135" si="75">AL72</f>
        <v>0</v>
      </c>
      <c r="AP72" s="317">
        <f>IFERROR(IFERROR(VLOOKUP($A72,VENTAS!$H$2:$O$201,5,FALSE),"")/$C72,"")</f>
        <v>18</v>
      </c>
      <c r="AQ72" s="318">
        <f t="shared" si="64"/>
        <v>0</v>
      </c>
      <c r="AR72" s="203">
        <f>VLOOKUP($A72,INICIO_BARRA!$A$6:$R$130,11,FALSE)</f>
        <v>9</v>
      </c>
      <c r="AS72" s="203">
        <f>VLOOKUP($A72,INICIO_BARRA!$A$6:$R$130,12,FALSE)</f>
        <v>0</v>
      </c>
      <c r="AT72" s="319">
        <f t="shared" si="65"/>
        <v>9</v>
      </c>
      <c r="AU72" s="204" t="str">
        <f>IFERROR(IFERROR(IF(AT72&gt;0,"",AT72*VLOOKUP($A72,'VALOR I.'!$B$6:$K$418,10,FALSE)),"")*$C72,"")</f>
        <v/>
      </c>
      <c r="AV72" s="203">
        <f>VLOOKUP($A72,INICIO_BARRA!$A$6:$R$130,11,FALSE)</f>
        <v>9</v>
      </c>
      <c r="AW72" s="203">
        <f>VLOOKUP($A72,INICIO_BARRA!$A$6:$R$130,12,FALSE)</f>
        <v>0</v>
      </c>
      <c r="AX72" s="203">
        <f>IFERROR(VLOOKUP($A72,REPOSICIONES_BARRA!$A$6:$I$130,7,FALSE),"")</f>
        <v>8</v>
      </c>
      <c r="AY72" s="315">
        <f t="shared" ref="AY72:AY135" si="76">AV72+AX72</f>
        <v>17</v>
      </c>
      <c r="AZ72" s="316">
        <f t="shared" ref="AZ72:AZ135" si="77">AW72</f>
        <v>0</v>
      </c>
      <c r="BA72" s="317">
        <f>IFERROR(IFERROR(VLOOKUP($A72,VENTAS!$H$2:$O$201,6,FALSE),"")/$C72,"")</f>
        <v>6</v>
      </c>
      <c r="BB72" s="318">
        <f t="shared" si="66"/>
        <v>11</v>
      </c>
      <c r="BC72" s="203">
        <f>VLOOKUP($A72,INICIO_BARRA!$A$6:$R$130,13,FALSE)</f>
        <v>12</v>
      </c>
      <c r="BD72" s="203">
        <f>VLOOKUP($A72,INICIO_BARRA!$A$6:$R$130,14,FALSE)</f>
        <v>0</v>
      </c>
      <c r="BE72" s="319">
        <f t="shared" si="67"/>
        <v>1</v>
      </c>
      <c r="BF72" s="204" t="str">
        <f>IFERROR(IFERROR(IF(BE72&gt;0,"",BE72*VLOOKUP($A72,'VALOR I.'!$B$6:$K$418,10,FALSE)),"")*$C72,"")</f>
        <v/>
      </c>
      <c r="BG72" s="203">
        <f>VLOOKUP($A72,INICIO_BARRA!$A$6:$R$130,13,FALSE)</f>
        <v>12</v>
      </c>
      <c r="BH72" s="203">
        <f>VLOOKUP($A72,INICIO_BARRA!$A$6:$R$130,14,FALSE)</f>
        <v>0</v>
      </c>
      <c r="BI72" s="203">
        <f>IFERROR(VLOOKUP($A72,REPOSICIONES_BARRA!$A$6:$I$130,8,FALSE),"")</f>
        <v>6</v>
      </c>
      <c r="BJ72" s="315">
        <f t="shared" ref="BJ72:BJ135" si="78">BG72+BI72</f>
        <v>18</v>
      </c>
      <c r="BK72" s="316">
        <f t="shared" ref="BK72:BK135" si="79">BH72</f>
        <v>0</v>
      </c>
      <c r="BL72" s="317">
        <f>IFERROR(IFERROR(VLOOKUP($A72,VENTAS!$H$2:$O$201,7,FALSE),"")/$C72,"")</f>
        <v>1</v>
      </c>
      <c r="BM72" s="318">
        <f t="shared" si="68"/>
        <v>17</v>
      </c>
      <c r="BN72" s="203">
        <f>VLOOKUP($A72,INICIO_BARRA!$A$6:$R$130,15,FALSE)</f>
        <v>13</v>
      </c>
      <c r="BO72" s="203">
        <f>VLOOKUP($A72,INICIO_BARRA!$A$6:$R$130,16,FALSE)</f>
        <v>0</v>
      </c>
      <c r="BP72" s="319">
        <f t="shared" si="69"/>
        <v>-4</v>
      </c>
      <c r="BQ72" s="204">
        <f>IFERROR(IFERROR(IF(BP72&gt;0,"",BP72*VLOOKUP($A72,'VALOR I.'!$B$6:$K$418,10,FALSE)),"")*$C72,"")</f>
        <v>-4170.28</v>
      </c>
      <c r="BR72" s="203"/>
      <c r="BS72" s="203"/>
      <c r="BT72" s="203"/>
      <c r="BU72" s="315"/>
      <c r="BV72" s="316"/>
      <c r="BW72" s="317"/>
      <c r="BX72" s="318"/>
      <c r="BY72" s="203"/>
      <c r="BZ72" s="203"/>
      <c r="CA72" s="319"/>
      <c r="CB72" s="204"/>
    </row>
    <row r="73" spans="1:80" s="7" customFormat="1" ht="30" customHeight="1" x14ac:dyDescent="0.3">
      <c r="A73" s="3" t="s">
        <v>269</v>
      </c>
      <c r="B73" s="308" t="s">
        <v>28</v>
      </c>
      <c r="C73" s="138">
        <v>1</v>
      </c>
      <c r="D73" s="203">
        <f>VLOOKUP($A73,INICIO_BARRA!$A$6:$R$130,3,FALSE)</f>
        <v>0</v>
      </c>
      <c r="E73" s="203">
        <f>VLOOKUP($A73,INICIO_BARRA!$A$6:$R$130,4,FALSE)</f>
        <v>0</v>
      </c>
      <c r="F73" s="203">
        <f>IFERROR(VLOOKUP($A73,REPOSICIONES_BARRA!$A$6:$I$130,3,FALSE),"")</f>
        <v>0</v>
      </c>
      <c r="G73" s="315">
        <f t="shared" ref="G73:G136" si="80">D73+F73</f>
        <v>0</v>
      </c>
      <c r="H73" s="316">
        <f t="shared" ref="H73:H136" si="81">E73</f>
        <v>0</v>
      </c>
      <c r="I73" s="317">
        <f>IFERROR(IFERROR(VLOOKUP($A73,VENTAS!$H$2:$O$201,2,FALSE),"")/$C73,"")</f>
        <v>0</v>
      </c>
      <c r="J73" s="318">
        <f t="shared" si="28"/>
        <v>0</v>
      </c>
      <c r="K73" s="203">
        <f>VLOOKUP($A73,INICIO_BARRA!$A$6:$R$130,5,FALSE)</f>
        <v>7</v>
      </c>
      <c r="L73" s="203">
        <f>VLOOKUP($A73,INICIO_BARRA!$A$6:$R$130,6,FALSE)</f>
        <v>0</v>
      </c>
      <c r="M73" s="319">
        <f t="shared" si="29"/>
        <v>7</v>
      </c>
      <c r="N73" s="204" t="str">
        <f>IFERROR(IFERROR(IF(M73&gt;0,"",M73*VLOOKUP($A73,'VALOR I.'!$B$6:$K$418,10,FALSE)),"")*$C73,"")</f>
        <v/>
      </c>
      <c r="O73" s="203">
        <f>VLOOKUP($A73,INICIO_BARRA!$A$6:$R$130,5,FALSE)</f>
        <v>7</v>
      </c>
      <c r="P73" s="203">
        <f>VLOOKUP($A73,INICIO_BARRA!$A$6:$R$130,6,FALSE)</f>
        <v>0</v>
      </c>
      <c r="Q73" s="203">
        <f>IFERROR(VLOOKUP($A73,REPOSICIONES_BARRA!$A$6:$I$130,4,FALSE),"")</f>
        <v>0</v>
      </c>
      <c r="R73" s="315">
        <f t="shared" si="70"/>
        <v>7</v>
      </c>
      <c r="S73" s="316">
        <f t="shared" si="71"/>
        <v>0</v>
      </c>
      <c r="T73" s="317">
        <f>IFERROR(IFERROR(VLOOKUP($A73,VENTAS!$H$2:$O$201,3,FALSE),"")/$C73,"")</f>
        <v>0</v>
      </c>
      <c r="U73" s="318">
        <f t="shared" si="60"/>
        <v>7</v>
      </c>
      <c r="V73" s="203">
        <f>VLOOKUP($A73,INICIO_BARRA!$A$6:$R$130,7,FALSE)</f>
        <v>6</v>
      </c>
      <c r="W73" s="203">
        <f>VLOOKUP($A73,INICIO_BARRA!$A$6:$R$130,8,FALSE)</f>
        <v>0</v>
      </c>
      <c r="X73" s="319">
        <f t="shared" si="61"/>
        <v>-1</v>
      </c>
      <c r="Y73" s="204">
        <f>IFERROR(IFERROR(IF(X73&gt;0,"",X73*VLOOKUP($A73,'VALOR I.'!$B$6:$K$418,10,FALSE)),"")*$C73,"")</f>
        <v>-1106.96</v>
      </c>
      <c r="Z73" s="203">
        <f>VLOOKUP($A73,INICIO_BARRA!$A$6:$R$130,7,FALSE)</f>
        <v>6</v>
      </c>
      <c r="AA73" s="203">
        <f>VLOOKUP($A73,INICIO_BARRA!$A$6:$R$130,8,FALSE)</f>
        <v>0</v>
      </c>
      <c r="AB73" s="203">
        <f>IFERROR(VLOOKUP($A73,REPOSICIONES_BARRA!$A$6:$I$130,5,FALSE),"")</f>
        <v>0</v>
      </c>
      <c r="AC73" s="315">
        <f t="shared" si="72"/>
        <v>6</v>
      </c>
      <c r="AD73" s="316">
        <f t="shared" si="73"/>
        <v>0</v>
      </c>
      <c r="AE73" s="317">
        <f>IFERROR(IFERROR(VLOOKUP($A73,VENTAS!$H$2:$O$201,4,FALSE),"")/$C73,"")</f>
        <v>1</v>
      </c>
      <c r="AF73" s="318">
        <f t="shared" si="62"/>
        <v>5</v>
      </c>
      <c r="AG73" s="203">
        <f>VLOOKUP($A73,INICIO_BARRA!$A$6:$R$130,9,FALSE)</f>
        <v>5</v>
      </c>
      <c r="AH73" s="203">
        <f>VLOOKUP($A73,INICIO_BARRA!$A$6:$R$130,10,FALSE)</f>
        <v>0</v>
      </c>
      <c r="AI73" s="319">
        <f t="shared" si="63"/>
        <v>0</v>
      </c>
      <c r="AJ73" s="204">
        <f>IFERROR(IFERROR(IF(AI73&gt;0,"",AI73*VLOOKUP($A73,'VALOR I.'!$B$6:$K$418,10,FALSE)),"")*$C73,"")</f>
        <v>0</v>
      </c>
      <c r="AK73" s="203">
        <f>VLOOKUP($A73,INICIO_BARRA!$A$6:$R$130,9,FALSE)</f>
        <v>5</v>
      </c>
      <c r="AL73" s="203">
        <f>VLOOKUP($A73,INICIO_BARRA!$A$6:$R$130,10,FALSE)</f>
        <v>0</v>
      </c>
      <c r="AM73" s="203">
        <f>IFERROR(VLOOKUP($A73,REPOSICIONES_BARRA!$A$6:$I$130,6,FALSE),"")</f>
        <v>7</v>
      </c>
      <c r="AN73" s="315">
        <f t="shared" si="74"/>
        <v>12</v>
      </c>
      <c r="AO73" s="316">
        <f t="shared" si="75"/>
        <v>0</v>
      </c>
      <c r="AP73" s="317">
        <f>IFERROR(IFERROR(VLOOKUP($A73,VENTAS!$H$2:$O$201,5,FALSE),"")/$C73,"")</f>
        <v>0</v>
      </c>
      <c r="AQ73" s="318">
        <f t="shared" si="64"/>
        <v>12</v>
      </c>
      <c r="AR73" s="203">
        <f>VLOOKUP($A73,INICIO_BARRA!$A$6:$R$130,11,FALSE)</f>
        <v>10</v>
      </c>
      <c r="AS73" s="203">
        <f>VLOOKUP($A73,INICIO_BARRA!$A$6:$R$130,12,FALSE)</f>
        <v>0</v>
      </c>
      <c r="AT73" s="319">
        <f t="shared" si="65"/>
        <v>-2</v>
      </c>
      <c r="AU73" s="204">
        <f>IFERROR(IFERROR(IF(AT73&gt;0,"",AT73*VLOOKUP($A73,'VALOR I.'!$B$6:$K$418,10,FALSE)),"")*$C73,"")</f>
        <v>-2213.92</v>
      </c>
      <c r="AV73" s="203">
        <f>VLOOKUP($A73,INICIO_BARRA!$A$6:$R$130,11,FALSE)</f>
        <v>10</v>
      </c>
      <c r="AW73" s="203">
        <f>VLOOKUP($A73,INICIO_BARRA!$A$6:$R$130,12,FALSE)</f>
        <v>0</v>
      </c>
      <c r="AX73" s="203">
        <f>IFERROR(VLOOKUP($A73,REPOSICIONES_BARRA!$A$6:$I$130,7,FALSE),"")</f>
        <v>2</v>
      </c>
      <c r="AY73" s="315">
        <f t="shared" si="76"/>
        <v>12</v>
      </c>
      <c r="AZ73" s="316">
        <f t="shared" si="77"/>
        <v>0</v>
      </c>
      <c r="BA73" s="317">
        <f>IFERROR(IFERROR(VLOOKUP($A73,VENTAS!$H$2:$O$201,6,FALSE),"")/$C73,"")</f>
        <v>2</v>
      </c>
      <c r="BB73" s="318">
        <f t="shared" si="66"/>
        <v>10</v>
      </c>
      <c r="BC73" s="203">
        <f>VLOOKUP($A73,INICIO_BARRA!$A$6:$R$130,13,FALSE)</f>
        <v>10</v>
      </c>
      <c r="BD73" s="203">
        <f>VLOOKUP($A73,INICIO_BARRA!$A$6:$R$130,14,FALSE)</f>
        <v>0</v>
      </c>
      <c r="BE73" s="319">
        <f t="shared" si="67"/>
        <v>0</v>
      </c>
      <c r="BF73" s="204">
        <f>IFERROR(IFERROR(IF(BE73&gt;0,"",BE73*VLOOKUP($A73,'VALOR I.'!$B$6:$K$418,10,FALSE)),"")*$C73,"")</f>
        <v>0</v>
      </c>
      <c r="BG73" s="203">
        <f>VLOOKUP($A73,INICIO_BARRA!$A$6:$R$130,13,FALSE)</f>
        <v>10</v>
      </c>
      <c r="BH73" s="203">
        <f>VLOOKUP($A73,INICIO_BARRA!$A$6:$R$130,14,FALSE)</f>
        <v>0</v>
      </c>
      <c r="BI73" s="203">
        <f>IFERROR(VLOOKUP($A73,REPOSICIONES_BARRA!$A$6:$I$130,8,FALSE),"")</f>
        <v>2</v>
      </c>
      <c r="BJ73" s="315">
        <f t="shared" si="78"/>
        <v>12</v>
      </c>
      <c r="BK73" s="316">
        <f t="shared" si="79"/>
        <v>0</v>
      </c>
      <c r="BL73" s="317">
        <f>IFERROR(IFERROR(VLOOKUP($A73,VENTAS!$H$2:$O$201,7,FALSE),"")/$C73,"")</f>
        <v>0</v>
      </c>
      <c r="BM73" s="318">
        <f t="shared" si="68"/>
        <v>12</v>
      </c>
      <c r="BN73" s="203">
        <f>VLOOKUP($A73,INICIO_BARRA!$A$6:$R$130,15,FALSE)</f>
        <v>12</v>
      </c>
      <c r="BO73" s="203">
        <f>VLOOKUP($A73,INICIO_BARRA!$A$6:$R$130,16,FALSE)</f>
        <v>0</v>
      </c>
      <c r="BP73" s="319">
        <f t="shared" si="69"/>
        <v>0</v>
      </c>
      <c r="BQ73" s="204">
        <f>IFERROR(IFERROR(IF(BP73&gt;0,"",BP73*VLOOKUP($A73,'VALOR I.'!$B$6:$K$418,10,FALSE)),"")*$C73,"")</f>
        <v>0</v>
      </c>
      <c r="BR73" s="203"/>
      <c r="BS73" s="203"/>
      <c r="BT73" s="203"/>
      <c r="BU73" s="315"/>
      <c r="BV73" s="316"/>
      <c r="BW73" s="317"/>
      <c r="BX73" s="318"/>
      <c r="BY73" s="203"/>
      <c r="BZ73" s="203"/>
      <c r="CA73" s="319"/>
      <c r="CB73" s="204"/>
    </row>
    <row r="74" spans="1:80" s="7" customFormat="1" ht="30" hidden="1" customHeight="1" x14ac:dyDescent="0.45">
      <c r="A74" s="3"/>
      <c r="B74" s="26"/>
      <c r="C74" s="133"/>
      <c r="D74" s="203" t="e">
        <f>VLOOKUP($A74,INICIO_BARRA!$A$6:$R$130,3,FALSE)</f>
        <v>#N/A</v>
      </c>
      <c r="E74" s="203" t="e">
        <f>VLOOKUP($A74,INICIO_BARRA!$A$6:$R$130,4,FALSE)</f>
        <v>#N/A</v>
      </c>
      <c r="F74" s="203" t="str">
        <f>IFERROR(VLOOKUP($A74,REPOSICIONES_BARRA!$A$6:$I$130,3,FALSE),"")</f>
        <v/>
      </c>
      <c r="G74" s="315" t="e">
        <f t="shared" si="80"/>
        <v>#N/A</v>
      </c>
      <c r="H74" s="316" t="e">
        <f t="shared" si="81"/>
        <v>#N/A</v>
      </c>
      <c r="I74" s="317" t="str">
        <f>IFERROR(IFERROR(VLOOKUP($A74,VENTAS!$H$2:$O$201,2,FALSE),"")/$C74,"")</f>
        <v/>
      </c>
      <c r="J74" s="111"/>
      <c r="K74" s="203" t="e">
        <f>VLOOKUP($A74,INICIO_BARRA!$A$6:$R$130,5,FALSE)</f>
        <v>#N/A</v>
      </c>
      <c r="L74" s="203" t="e">
        <f>VLOOKUP($A74,INICIO_BARRA!$A$6:$R$130,6,FALSE)</f>
        <v>#N/A</v>
      </c>
      <c r="M74" s="11"/>
      <c r="N74" s="204" t="str">
        <f>IFERROR(IFERROR(IF(M74&gt;0,"",M74*VLOOKUP($A74,'VALOR I.'!$B$6:$K$418,10,FALSE)),"")*$C74,"")</f>
        <v/>
      </c>
      <c r="O74" s="203" t="e">
        <f>VLOOKUP($A74,INICIO_BARRA!$A$6:$R$130,5,FALSE)</f>
        <v>#N/A</v>
      </c>
      <c r="P74" s="203" t="e">
        <f>VLOOKUP($A74,INICIO_BARRA!$A$6:$R$130,6,FALSE)</f>
        <v>#N/A</v>
      </c>
      <c r="Q74" s="203" t="str">
        <f>IFERROR(VLOOKUP($A74,REPOSICIONES_BARRA!$A$6:$I$130,4,FALSE),"")</f>
        <v/>
      </c>
      <c r="R74" s="315" t="e">
        <f t="shared" si="70"/>
        <v>#N/A</v>
      </c>
      <c r="S74" s="316" t="e">
        <f t="shared" si="71"/>
        <v>#N/A</v>
      </c>
      <c r="T74" s="317" t="str">
        <f>IFERROR(IFERROR(VLOOKUP($A74,VENTAS!$H$2:$O$201,3,FALSE),"")/$C74,"")</f>
        <v/>
      </c>
      <c r="U74" s="111"/>
      <c r="V74" s="203" t="e">
        <f>VLOOKUP($A74,INICIO_BARRA!$A$6:$R$130,7,FALSE)</f>
        <v>#N/A</v>
      </c>
      <c r="W74" s="203" t="e">
        <f>VLOOKUP($A74,INICIO_BARRA!$A$6:$R$130,8,FALSE)</f>
        <v>#N/A</v>
      </c>
      <c r="X74" s="11"/>
      <c r="Y74" s="204" t="str">
        <f>IFERROR(IFERROR(IF(X74&gt;0,"",X74*VLOOKUP($A74,'VALOR I.'!$B$6:$K$418,10,FALSE)),"")*$C74,"")</f>
        <v/>
      </c>
      <c r="Z74" s="203" t="e">
        <f>VLOOKUP($A74,INICIO_BARRA!$A$6:$R$130,7,FALSE)</f>
        <v>#N/A</v>
      </c>
      <c r="AA74" s="203" t="e">
        <f>VLOOKUP($A74,INICIO_BARRA!$A$6:$R$130,8,FALSE)</f>
        <v>#N/A</v>
      </c>
      <c r="AB74" s="203" t="str">
        <f>IFERROR(VLOOKUP($A74,REPOSICIONES_BARRA!$A$6:$I$130,5,FALSE),"")</f>
        <v/>
      </c>
      <c r="AC74" s="315" t="e">
        <f t="shared" si="72"/>
        <v>#N/A</v>
      </c>
      <c r="AD74" s="316" t="e">
        <f t="shared" si="73"/>
        <v>#N/A</v>
      </c>
      <c r="AE74" s="317" t="str">
        <f>IFERROR(IFERROR(VLOOKUP($A74,VENTAS!$H$2:$O$201,4,FALSE),"")/$C74,"")</f>
        <v/>
      </c>
      <c r="AF74" s="111"/>
      <c r="AG74" s="203" t="e">
        <f>VLOOKUP($A74,INICIO_BARRA!$A$6:$R$130,9,FALSE)</f>
        <v>#N/A</v>
      </c>
      <c r="AH74" s="203" t="e">
        <f>VLOOKUP($A74,INICIO_BARRA!$A$6:$R$130,10,FALSE)</f>
        <v>#N/A</v>
      </c>
      <c r="AI74" s="11"/>
      <c r="AJ74" s="94" t="str">
        <f>IFERROR(IFERROR(IF(AI74&gt;0,"",AI74*VLOOKUP($A74,'VALOR I.'!$B$6:$K$418,10,FALSE)),"")*$C74,"")</f>
        <v/>
      </c>
      <c r="AK74" s="203" t="e">
        <f>VLOOKUP($A74,INICIO_BARRA!$A$6:$R$130,9,FALSE)</f>
        <v>#N/A</v>
      </c>
      <c r="AL74" s="203" t="e">
        <f>VLOOKUP($A74,INICIO_BARRA!$A$6:$R$130,10,FALSE)</f>
        <v>#N/A</v>
      </c>
      <c r="AM74" s="203" t="str">
        <f>IFERROR(VLOOKUP($A74,REPOSICIONES_BARRA!$A$6:$I$130,6,FALSE),"")</f>
        <v/>
      </c>
      <c r="AN74" s="315" t="e">
        <f t="shared" si="74"/>
        <v>#N/A</v>
      </c>
      <c r="AO74" s="316" t="e">
        <f t="shared" si="75"/>
        <v>#N/A</v>
      </c>
      <c r="AP74" s="317" t="str">
        <f>IFERROR(IFERROR(VLOOKUP($A74,VENTAS!$H$2:$O$201,5,FALSE),"")/$C74,"")</f>
        <v/>
      </c>
      <c r="AQ74" s="111"/>
      <c r="AR74" s="203" t="e">
        <f>VLOOKUP($A74,INICIO_BARRA!$A$6:$R$130,11,FALSE)</f>
        <v>#N/A</v>
      </c>
      <c r="AS74" s="203" t="e">
        <f>VLOOKUP($A74,INICIO_BARRA!$A$6:$R$130,12,FALSE)</f>
        <v>#N/A</v>
      </c>
      <c r="AT74" s="11"/>
      <c r="AU74" s="94" t="str">
        <f>IFERROR(IFERROR(IF(AT74&gt;0,"",AT74*VLOOKUP($A74,'VALOR I.'!$B$6:$K$418,10,FALSE)),"")*$C74,"")</f>
        <v/>
      </c>
      <c r="AV74" s="203" t="e">
        <f>VLOOKUP($A74,INICIO_BARRA!$A$6:$R$130,11,FALSE)</f>
        <v>#N/A</v>
      </c>
      <c r="AW74" s="203" t="e">
        <f>VLOOKUP($A74,INICIO_BARRA!$A$6:$R$130,12,FALSE)</f>
        <v>#N/A</v>
      </c>
      <c r="AX74" s="203" t="str">
        <f>IFERROR(VLOOKUP($A74,REPOSICIONES_BARRA!$A$6:$I$130,7,FALSE),"")</f>
        <v/>
      </c>
      <c r="AY74" s="315" t="e">
        <f t="shared" si="76"/>
        <v>#N/A</v>
      </c>
      <c r="AZ74" s="316" t="e">
        <f t="shared" si="77"/>
        <v>#N/A</v>
      </c>
      <c r="BA74" s="317" t="str">
        <f>IFERROR(IFERROR(VLOOKUP($A74,VENTAS!$H$2:$O$201,6,FALSE),"")/$C74,"")</f>
        <v/>
      </c>
      <c r="BB74" s="111"/>
      <c r="BC74" s="203" t="e">
        <f>VLOOKUP($A74,INICIO_BARRA!$A$6:$R$130,13,FALSE)</f>
        <v>#N/A</v>
      </c>
      <c r="BD74" s="203" t="e">
        <f>VLOOKUP($A74,INICIO_BARRA!$A$6:$R$130,14,FALSE)</f>
        <v>#N/A</v>
      </c>
      <c r="BE74" s="11"/>
      <c r="BF74" s="94" t="str">
        <f>IFERROR(IFERROR(IF(BE74&gt;0,"",BE74*VLOOKUP($A74,'VALOR I.'!$B$6:$K$418,10,FALSE)),"")*$C74,"")</f>
        <v/>
      </c>
      <c r="BG74" s="203" t="e">
        <f>VLOOKUP($A74,INICIO_BARRA!$A$6:$R$130,13,FALSE)</f>
        <v>#N/A</v>
      </c>
      <c r="BH74" s="203" t="e">
        <f>VLOOKUP($A74,INICIO_BARRA!$A$6:$R$130,14,FALSE)</f>
        <v>#N/A</v>
      </c>
      <c r="BI74" s="203" t="str">
        <f>IFERROR(VLOOKUP($A74,REPOSICIONES_BARRA!$A$6:$I$130,8,FALSE),"")</f>
        <v/>
      </c>
      <c r="BJ74" s="315" t="e">
        <f t="shared" si="78"/>
        <v>#N/A</v>
      </c>
      <c r="BK74" s="316" t="e">
        <f t="shared" si="79"/>
        <v>#N/A</v>
      </c>
      <c r="BL74" s="317" t="str">
        <f>IFERROR(IFERROR(VLOOKUP($A74,VENTAS!$H$2:$O$201,7,FALSE),"")/$C74,"")</f>
        <v/>
      </c>
      <c r="BM74" s="111"/>
      <c r="BN74" s="203" t="e">
        <f>VLOOKUP($A74,INICIO_BARRA!$A$6:$R$130,15,FALSE)</f>
        <v>#N/A</v>
      </c>
      <c r="BO74" s="203" t="e">
        <f>VLOOKUP($A74,INICIO_BARRA!$A$6:$R$130,16,FALSE)</f>
        <v>#N/A</v>
      </c>
      <c r="BP74" s="11"/>
      <c r="BQ74" s="94" t="str">
        <f>IFERROR(IFERROR(IF(BP74&gt;0,"",BP74*VLOOKUP($A74,'VALOR I.'!$B$6:$K$418,10,FALSE)),"")*$C74,"")</f>
        <v/>
      </c>
      <c r="BR74" s="203" t="e">
        <f>VLOOKUP($A74,INICIO_BARRA!$A$6:$R$130,15,FALSE)</f>
        <v>#N/A</v>
      </c>
      <c r="BS74" s="203" t="e">
        <f>VLOOKUP($A74,INICIO_BARRA!$A$6:$R$130,16,FALSE)</f>
        <v>#N/A</v>
      </c>
      <c r="BT74" s="203" t="str">
        <f>IFERROR(VLOOKUP($A74,REPOSICIONES_BARRA!$A$6:$I$130,9,FALSE),"")</f>
        <v/>
      </c>
      <c r="BU74" s="315" t="e">
        <f t="shared" ref="BU74:BU135" si="82">BR74+BT74</f>
        <v>#N/A</v>
      </c>
      <c r="BV74" s="316" t="e">
        <f t="shared" ref="BV74:BV135" si="83">BS74</f>
        <v>#N/A</v>
      </c>
      <c r="BW74" s="317" t="str">
        <f>IFERROR(IFERROR(VLOOKUP($A74,VENTAS!$H$2:$O$201,8,FALSE),"")/$C74,"")</f>
        <v/>
      </c>
      <c r="BX74" s="111"/>
      <c r="BY74" s="203" t="e">
        <f>VLOOKUP($A74,INICIO_BARRA!$A$6:$R$130,17,FALSE)</f>
        <v>#N/A</v>
      </c>
      <c r="BZ74" s="203" t="e">
        <f>VLOOKUP($A74,INICIO_BARRA!$A$6:$R$130,18,FALSE)</f>
        <v>#N/A</v>
      </c>
      <c r="CA74" s="11"/>
      <c r="CB74" s="94" t="str">
        <f>IFERROR(IFERROR(IF(CA74&gt;0,"",CA74*VLOOKUP($A74,'VALOR I.'!$B$6:$K$418,10,FALSE)),"")*$C74,"")</f>
        <v/>
      </c>
    </row>
    <row r="75" spans="1:80" s="7" customFormat="1" ht="30" hidden="1" customHeight="1" x14ac:dyDescent="0.45">
      <c r="A75" s="3"/>
      <c r="B75" s="24"/>
      <c r="C75" s="132"/>
      <c r="D75" s="203" t="e">
        <f>VLOOKUP($A75,INICIO_BARRA!$A$6:$R$130,3,FALSE)</f>
        <v>#N/A</v>
      </c>
      <c r="E75" s="203" t="e">
        <f>VLOOKUP($A75,INICIO_BARRA!$A$6:$R$130,4,FALSE)</f>
        <v>#N/A</v>
      </c>
      <c r="F75" s="203" t="str">
        <f>IFERROR(VLOOKUP($A75,REPOSICIONES_BARRA!$A$6:$I$130,3,FALSE),"")</f>
        <v/>
      </c>
      <c r="G75" s="315" t="e">
        <f t="shared" si="80"/>
        <v>#N/A</v>
      </c>
      <c r="H75" s="316" t="e">
        <f t="shared" si="81"/>
        <v>#N/A</v>
      </c>
      <c r="I75" s="317" t="str">
        <f>IFERROR(IFERROR(VLOOKUP($A75,VENTAS!$H$2:$O$201,2,FALSE),"")/$C75,"")</f>
        <v/>
      </c>
      <c r="J75" s="111"/>
      <c r="K75" s="203" t="e">
        <f>VLOOKUP($A75,INICIO_BARRA!$A$6:$R$130,5,FALSE)</f>
        <v>#N/A</v>
      </c>
      <c r="L75" s="203" t="e">
        <f>VLOOKUP($A75,INICIO_BARRA!$A$6:$R$130,6,FALSE)</f>
        <v>#N/A</v>
      </c>
      <c r="M75" s="11"/>
      <c r="N75" s="204" t="str">
        <f>IFERROR(IFERROR(IF(M75&gt;0,"",M75*VLOOKUP($A75,'VALOR I.'!$B$6:$K$418,10,FALSE)),"")*$C75,"")</f>
        <v/>
      </c>
      <c r="O75" s="203" t="e">
        <f>VLOOKUP($A75,INICIO_BARRA!$A$6:$R$130,5,FALSE)</f>
        <v>#N/A</v>
      </c>
      <c r="P75" s="203" t="e">
        <f>VLOOKUP($A75,INICIO_BARRA!$A$6:$R$130,6,FALSE)</f>
        <v>#N/A</v>
      </c>
      <c r="Q75" s="203" t="str">
        <f>IFERROR(VLOOKUP($A75,REPOSICIONES_BARRA!$A$6:$I$130,4,FALSE),"")</f>
        <v/>
      </c>
      <c r="R75" s="315" t="e">
        <f t="shared" si="70"/>
        <v>#N/A</v>
      </c>
      <c r="S75" s="316" t="e">
        <f t="shared" si="71"/>
        <v>#N/A</v>
      </c>
      <c r="T75" s="317" t="str">
        <f>IFERROR(IFERROR(VLOOKUP($A75,VENTAS!$H$2:$O$201,3,FALSE),"")/$C75,"")</f>
        <v/>
      </c>
      <c r="U75" s="111"/>
      <c r="V75" s="203" t="e">
        <f>VLOOKUP($A75,INICIO_BARRA!$A$6:$R$130,7,FALSE)</f>
        <v>#N/A</v>
      </c>
      <c r="W75" s="203" t="e">
        <f>VLOOKUP($A75,INICIO_BARRA!$A$6:$R$130,8,FALSE)</f>
        <v>#N/A</v>
      </c>
      <c r="X75" s="11"/>
      <c r="Y75" s="204" t="str">
        <f>IFERROR(IFERROR(IF(X75&gt;0,"",X75*VLOOKUP($A75,'VALOR I.'!$B$6:$K$418,10,FALSE)),"")*$C75,"")</f>
        <v/>
      </c>
      <c r="Z75" s="203" t="e">
        <f>VLOOKUP($A75,INICIO_BARRA!$A$6:$R$130,7,FALSE)</f>
        <v>#N/A</v>
      </c>
      <c r="AA75" s="203" t="e">
        <f>VLOOKUP($A75,INICIO_BARRA!$A$6:$R$130,8,FALSE)</f>
        <v>#N/A</v>
      </c>
      <c r="AB75" s="203" t="str">
        <f>IFERROR(VLOOKUP($A75,REPOSICIONES_BARRA!$A$6:$I$130,5,FALSE),"")</f>
        <v/>
      </c>
      <c r="AC75" s="315" t="e">
        <f t="shared" si="72"/>
        <v>#N/A</v>
      </c>
      <c r="AD75" s="316" t="e">
        <f t="shared" si="73"/>
        <v>#N/A</v>
      </c>
      <c r="AE75" s="317" t="str">
        <f>IFERROR(IFERROR(VLOOKUP($A75,VENTAS!$H$2:$O$201,4,FALSE),"")/$C75,"")</f>
        <v/>
      </c>
      <c r="AF75" s="111"/>
      <c r="AG75" s="203" t="e">
        <f>VLOOKUP($A75,INICIO_BARRA!$A$6:$R$130,9,FALSE)</f>
        <v>#N/A</v>
      </c>
      <c r="AH75" s="203" t="e">
        <f>VLOOKUP($A75,INICIO_BARRA!$A$6:$R$130,10,FALSE)</f>
        <v>#N/A</v>
      </c>
      <c r="AI75" s="11"/>
      <c r="AJ75" s="94" t="str">
        <f>IFERROR(IFERROR(IF(AI75&gt;0,"",AI75*VLOOKUP($A75,'VALOR I.'!$B$6:$K$418,10,FALSE)),"")*$C75,"")</f>
        <v/>
      </c>
      <c r="AK75" s="203" t="e">
        <f>VLOOKUP($A75,INICIO_BARRA!$A$6:$R$130,9,FALSE)</f>
        <v>#N/A</v>
      </c>
      <c r="AL75" s="203" t="e">
        <f>VLOOKUP($A75,INICIO_BARRA!$A$6:$R$130,10,FALSE)</f>
        <v>#N/A</v>
      </c>
      <c r="AM75" s="203" t="str">
        <f>IFERROR(VLOOKUP($A75,REPOSICIONES_BARRA!$A$6:$I$130,6,FALSE),"")</f>
        <v/>
      </c>
      <c r="AN75" s="315" t="e">
        <f t="shared" si="74"/>
        <v>#N/A</v>
      </c>
      <c r="AO75" s="316" t="e">
        <f t="shared" si="75"/>
        <v>#N/A</v>
      </c>
      <c r="AP75" s="317" t="str">
        <f>IFERROR(IFERROR(VLOOKUP($A75,VENTAS!$H$2:$O$201,5,FALSE),"")/$C75,"")</f>
        <v/>
      </c>
      <c r="AQ75" s="111"/>
      <c r="AR75" s="203" t="e">
        <f>VLOOKUP($A75,INICIO_BARRA!$A$6:$R$130,11,FALSE)</f>
        <v>#N/A</v>
      </c>
      <c r="AS75" s="203" t="e">
        <f>VLOOKUP($A75,INICIO_BARRA!$A$6:$R$130,12,FALSE)</f>
        <v>#N/A</v>
      </c>
      <c r="AT75" s="11"/>
      <c r="AU75" s="94" t="str">
        <f>IFERROR(IFERROR(IF(AT75&gt;0,"",AT75*VLOOKUP($A75,'VALOR I.'!$B$6:$K$418,10,FALSE)),"")*$C75,"")</f>
        <v/>
      </c>
      <c r="AV75" s="203" t="e">
        <f>VLOOKUP($A75,INICIO_BARRA!$A$6:$R$130,11,FALSE)</f>
        <v>#N/A</v>
      </c>
      <c r="AW75" s="203" t="e">
        <f>VLOOKUP($A75,INICIO_BARRA!$A$6:$R$130,12,FALSE)</f>
        <v>#N/A</v>
      </c>
      <c r="AX75" s="203" t="str">
        <f>IFERROR(VLOOKUP($A75,REPOSICIONES_BARRA!$A$6:$I$130,7,FALSE),"")</f>
        <v/>
      </c>
      <c r="AY75" s="315" t="e">
        <f t="shared" si="76"/>
        <v>#N/A</v>
      </c>
      <c r="AZ75" s="316" t="e">
        <f t="shared" si="77"/>
        <v>#N/A</v>
      </c>
      <c r="BA75" s="317" t="str">
        <f>IFERROR(IFERROR(VLOOKUP($A75,VENTAS!$H$2:$O$201,6,FALSE),"")/$C75,"")</f>
        <v/>
      </c>
      <c r="BB75" s="111"/>
      <c r="BC75" s="203" t="e">
        <f>VLOOKUP($A75,INICIO_BARRA!$A$6:$R$130,13,FALSE)</f>
        <v>#N/A</v>
      </c>
      <c r="BD75" s="203" t="e">
        <f>VLOOKUP($A75,INICIO_BARRA!$A$6:$R$130,14,FALSE)</f>
        <v>#N/A</v>
      </c>
      <c r="BE75" s="11"/>
      <c r="BF75" s="94" t="str">
        <f>IFERROR(IFERROR(IF(BE75&gt;0,"",BE75*VLOOKUP($A75,'VALOR I.'!$B$6:$K$418,10,FALSE)),"")*$C75,"")</f>
        <v/>
      </c>
      <c r="BG75" s="203" t="e">
        <f>VLOOKUP($A75,INICIO_BARRA!$A$6:$R$130,13,FALSE)</f>
        <v>#N/A</v>
      </c>
      <c r="BH75" s="203" t="e">
        <f>VLOOKUP($A75,INICIO_BARRA!$A$6:$R$130,14,FALSE)</f>
        <v>#N/A</v>
      </c>
      <c r="BI75" s="203" t="str">
        <f>IFERROR(VLOOKUP($A75,REPOSICIONES_BARRA!$A$6:$I$130,8,FALSE),"")</f>
        <v/>
      </c>
      <c r="BJ75" s="315" t="e">
        <f t="shared" si="78"/>
        <v>#N/A</v>
      </c>
      <c r="BK75" s="316" t="e">
        <f t="shared" si="79"/>
        <v>#N/A</v>
      </c>
      <c r="BL75" s="317" t="str">
        <f>IFERROR(IFERROR(VLOOKUP($A75,VENTAS!$H$2:$O$201,7,FALSE),"")/$C75,"")</f>
        <v/>
      </c>
      <c r="BM75" s="111"/>
      <c r="BN75" s="203" t="e">
        <f>VLOOKUP($A75,INICIO_BARRA!$A$6:$R$130,15,FALSE)</f>
        <v>#N/A</v>
      </c>
      <c r="BO75" s="203" t="e">
        <f>VLOOKUP($A75,INICIO_BARRA!$A$6:$R$130,16,FALSE)</f>
        <v>#N/A</v>
      </c>
      <c r="BP75" s="11"/>
      <c r="BQ75" s="94" t="str">
        <f>IFERROR(IFERROR(IF(BP75&gt;0,"",BP75*VLOOKUP($A75,'VALOR I.'!$B$6:$K$418,10,FALSE)),"")*$C75,"")</f>
        <v/>
      </c>
      <c r="BR75" s="203" t="e">
        <f>VLOOKUP($A75,INICIO_BARRA!$A$6:$R$130,15,FALSE)</f>
        <v>#N/A</v>
      </c>
      <c r="BS75" s="203" t="e">
        <f>VLOOKUP($A75,INICIO_BARRA!$A$6:$R$130,16,FALSE)</f>
        <v>#N/A</v>
      </c>
      <c r="BT75" s="203" t="str">
        <f>IFERROR(VLOOKUP($A75,REPOSICIONES_BARRA!$A$6:$I$130,9,FALSE),"")</f>
        <v/>
      </c>
      <c r="BU75" s="315" t="e">
        <f t="shared" si="82"/>
        <v>#N/A</v>
      </c>
      <c r="BV75" s="316" t="e">
        <f t="shared" si="83"/>
        <v>#N/A</v>
      </c>
      <c r="BW75" s="317" t="str">
        <f>IFERROR(IFERROR(VLOOKUP($A75,VENTAS!$H$2:$O$201,8,FALSE),"")/$C75,"")</f>
        <v/>
      </c>
      <c r="BX75" s="111"/>
      <c r="BY75" s="203" t="e">
        <f>VLOOKUP($A75,INICIO_BARRA!$A$6:$R$130,17,FALSE)</f>
        <v>#N/A</v>
      </c>
      <c r="BZ75" s="203" t="e">
        <f>VLOOKUP($A75,INICIO_BARRA!$A$6:$R$130,18,FALSE)</f>
        <v>#N/A</v>
      </c>
      <c r="CA75" s="11"/>
      <c r="CB75" s="94" t="str">
        <f>IFERROR(IFERROR(IF(CA75&gt;0,"",CA75*VLOOKUP($A75,'VALOR I.'!$B$6:$K$418,10,FALSE)),"")*$C75,"")</f>
        <v/>
      </c>
    </row>
    <row r="76" spans="1:80" s="7" customFormat="1" ht="30" hidden="1" customHeight="1" x14ac:dyDescent="0.45">
      <c r="A76" s="3"/>
      <c r="B76" s="37"/>
      <c r="C76" s="139"/>
      <c r="D76" s="203" t="e">
        <f>VLOOKUP($A76,INICIO_BARRA!$A$6:$R$130,3,FALSE)</f>
        <v>#N/A</v>
      </c>
      <c r="E76" s="203" t="e">
        <f>VLOOKUP($A76,INICIO_BARRA!$A$6:$R$130,4,FALSE)</f>
        <v>#N/A</v>
      </c>
      <c r="F76" s="203" t="str">
        <f>IFERROR(VLOOKUP($A76,REPOSICIONES_BARRA!$A$6:$I$130,3,FALSE),"")</f>
        <v/>
      </c>
      <c r="G76" s="315" t="e">
        <f t="shared" si="80"/>
        <v>#N/A</v>
      </c>
      <c r="H76" s="316" t="e">
        <f t="shared" si="81"/>
        <v>#N/A</v>
      </c>
      <c r="I76" s="317" t="str">
        <f>IFERROR(IFERROR(VLOOKUP($A76,VENTAS!$H$2:$O$201,2,FALSE),"")/$C76,"")</f>
        <v/>
      </c>
      <c r="J76" s="111"/>
      <c r="K76" s="203" t="e">
        <f>VLOOKUP($A76,INICIO_BARRA!$A$6:$R$130,5,FALSE)</f>
        <v>#N/A</v>
      </c>
      <c r="L76" s="203" t="e">
        <f>VLOOKUP($A76,INICIO_BARRA!$A$6:$R$130,6,FALSE)</f>
        <v>#N/A</v>
      </c>
      <c r="M76" s="11"/>
      <c r="N76" s="204" t="str">
        <f>IFERROR(IFERROR(IF(M76&gt;0,"",M76*VLOOKUP($A76,'VALOR I.'!$B$6:$K$418,10,FALSE)),"")*$C76,"")</f>
        <v/>
      </c>
      <c r="O76" s="203" t="e">
        <f>VLOOKUP($A76,INICIO_BARRA!$A$6:$R$130,5,FALSE)</f>
        <v>#N/A</v>
      </c>
      <c r="P76" s="203" t="e">
        <f>VLOOKUP($A76,INICIO_BARRA!$A$6:$R$130,6,FALSE)</f>
        <v>#N/A</v>
      </c>
      <c r="Q76" s="203" t="str">
        <f>IFERROR(VLOOKUP($A76,REPOSICIONES_BARRA!$A$6:$I$130,4,FALSE),"")</f>
        <v/>
      </c>
      <c r="R76" s="315" t="e">
        <f t="shared" si="70"/>
        <v>#N/A</v>
      </c>
      <c r="S76" s="316" t="e">
        <f t="shared" si="71"/>
        <v>#N/A</v>
      </c>
      <c r="T76" s="317" t="str">
        <f>IFERROR(IFERROR(VLOOKUP($A76,VENTAS!$H$2:$O$201,3,FALSE),"")/$C76,"")</f>
        <v/>
      </c>
      <c r="U76" s="111"/>
      <c r="V76" s="203" t="e">
        <f>VLOOKUP($A76,INICIO_BARRA!$A$6:$R$130,7,FALSE)</f>
        <v>#N/A</v>
      </c>
      <c r="W76" s="203" t="e">
        <f>VLOOKUP($A76,INICIO_BARRA!$A$6:$R$130,8,FALSE)</f>
        <v>#N/A</v>
      </c>
      <c r="X76" s="11"/>
      <c r="Y76" s="204" t="str">
        <f>IFERROR(IFERROR(IF(X76&gt;0,"",X76*VLOOKUP($A76,'VALOR I.'!$B$6:$K$418,10,FALSE)),"")*$C76,"")</f>
        <v/>
      </c>
      <c r="Z76" s="203" t="e">
        <f>VLOOKUP($A76,INICIO_BARRA!$A$6:$R$130,7,FALSE)</f>
        <v>#N/A</v>
      </c>
      <c r="AA76" s="203" t="e">
        <f>VLOOKUP($A76,INICIO_BARRA!$A$6:$R$130,8,FALSE)</f>
        <v>#N/A</v>
      </c>
      <c r="AB76" s="203" t="str">
        <f>IFERROR(VLOOKUP($A76,REPOSICIONES_BARRA!$A$6:$I$130,5,FALSE),"")</f>
        <v/>
      </c>
      <c r="AC76" s="315" t="e">
        <f t="shared" si="72"/>
        <v>#N/A</v>
      </c>
      <c r="AD76" s="316" t="e">
        <f t="shared" si="73"/>
        <v>#N/A</v>
      </c>
      <c r="AE76" s="317" t="str">
        <f>IFERROR(IFERROR(VLOOKUP($A76,VENTAS!$H$2:$O$201,4,FALSE),"")/$C76,"")</f>
        <v/>
      </c>
      <c r="AF76" s="111"/>
      <c r="AG76" s="203" t="e">
        <f>VLOOKUP($A76,INICIO_BARRA!$A$6:$R$130,9,FALSE)</f>
        <v>#N/A</v>
      </c>
      <c r="AH76" s="203" t="e">
        <f>VLOOKUP($A76,INICIO_BARRA!$A$6:$R$130,10,FALSE)</f>
        <v>#N/A</v>
      </c>
      <c r="AI76" s="11"/>
      <c r="AJ76" s="94" t="str">
        <f>IFERROR(IFERROR(IF(AI76&gt;0,"",AI76*VLOOKUP($A76,'VALOR I.'!$B$6:$K$418,10,FALSE)),"")*$C76,"")</f>
        <v/>
      </c>
      <c r="AK76" s="203" t="e">
        <f>VLOOKUP($A76,INICIO_BARRA!$A$6:$R$130,9,FALSE)</f>
        <v>#N/A</v>
      </c>
      <c r="AL76" s="203" t="e">
        <f>VLOOKUP($A76,INICIO_BARRA!$A$6:$R$130,10,FALSE)</f>
        <v>#N/A</v>
      </c>
      <c r="AM76" s="203" t="str">
        <f>IFERROR(VLOOKUP($A76,REPOSICIONES_BARRA!$A$6:$I$130,6,FALSE),"")</f>
        <v/>
      </c>
      <c r="AN76" s="315" t="e">
        <f t="shared" si="74"/>
        <v>#N/A</v>
      </c>
      <c r="AO76" s="316" t="e">
        <f t="shared" si="75"/>
        <v>#N/A</v>
      </c>
      <c r="AP76" s="317" t="str">
        <f>IFERROR(IFERROR(VLOOKUP($A76,VENTAS!$H$2:$O$201,5,FALSE),"")/$C76,"")</f>
        <v/>
      </c>
      <c r="AQ76" s="111"/>
      <c r="AR76" s="203" t="e">
        <f>VLOOKUP($A76,INICIO_BARRA!$A$6:$R$130,11,FALSE)</f>
        <v>#N/A</v>
      </c>
      <c r="AS76" s="203" t="e">
        <f>VLOOKUP($A76,INICIO_BARRA!$A$6:$R$130,12,FALSE)</f>
        <v>#N/A</v>
      </c>
      <c r="AT76" s="11"/>
      <c r="AU76" s="94" t="str">
        <f>IFERROR(IFERROR(IF(AT76&gt;0,"",AT76*VLOOKUP($A76,'VALOR I.'!$B$6:$K$418,10,FALSE)),"")*$C76,"")</f>
        <v/>
      </c>
      <c r="AV76" s="203" t="e">
        <f>VLOOKUP($A76,INICIO_BARRA!$A$6:$R$130,11,FALSE)</f>
        <v>#N/A</v>
      </c>
      <c r="AW76" s="203" t="e">
        <f>VLOOKUP($A76,INICIO_BARRA!$A$6:$R$130,12,FALSE)</f>
        <v>#N/A</v>
      </c>
      <c r="AX76" s="203" t="str">
        <f>IFERROR(VLOOKUP($A76,REPOSICIONES_BARRA!$A$6:$I$130,7,FALSE),"")</f>
        <v/>
      </c>
      <c r="AY76" s="315" t="e">
        <f t="shared" si="76"/>
        <v>#N/A</v>
      </c>
      <c r="AZ76" s="316" t="e">
        <f t="shared" si="77"/>
        <v>#N/A</v>
      </c>
      <c r="BA76" s="317" t="str">
        <f>IFERROR(IFERROR(VLOOKUP($A76,VENTAS!$H$2:$O$201,6,FALSE),"")/$C76,"")</f>
        <v/>
      </c>
      <c r="BB76" s="111"/>
      <c r="BC76" s="203" t="e">
        <f>VLOOKUP($A76,INICIO_BARRA!$A$6:$R$130,13,FALSE)</f>
        <v>#N/A</v>
      </c>
      <c r="BD76" s="203" t="e">
        <f>VLOOKUP($A76,INICIO_BARRA!$A$6:$R$130,14,FALSE)</f>
        <v>#N/A</v>
      </c>
      <c r="BE76" s="11"/>
      <c r="BF76" s="94" t="str">
        <f>IFERROR(IFERROR(IF(BE76&gt;0,"",BE76*VLOOKUP($A76,'VALOR I.'!$B$6:$K$418,10,FALSE)),"")*$C76,"")</f>
        <v/>
      </c>
      <c r="BG76" s="203" t="e">
        <f>VLOOKUP($A76,INICIO_BARRA!$A$6:$R$130,13,FALSE)</f>
        <v>#N/A</v>
      </c>
      <c r="BH76" s="203" t="e">
        <f>VLOOKUP($A76,INICIO_BARRA!$A$6:$R$130,14,FALSE)</f>
        <v>#N/A</v>
      </c>
      <c r="BI76" s="203" t="str">
        <f>IFERROR(VLOOKUP($A76,REPOSICIONES_BARRA!$A$6:$I$130,8,FALSE),"")</f>
        <v/>
      </c>
      <c r="BJ76" s="315" t="e">
        <f t="shared" si="78"/>
        <v>#N/A</v>
      </c>
      <c r="BK76" s="316" t="e">
        <f t="shared" si="79"/>
        <v>#N/A</v>
      </c>
      <c r="BL76" s="317" t="str">
        <f>IFERROR(IFERROR(VLOOKUP($A76,VENTAS!$H$2:$O$201,7,FALSE),"")/$C76,"")</f>
        <v/>
      </c>
      <c r="BM76" s="111"/>
      <c r="BN76" s="203" t="e">
        <f>VLOOKUP($A76,INICIO_BARRA!$A$6:$R$130,15,FALSE)</f>
        <v>#N/A</v>
      </c>
      <c r="BO76" s="203" t="e">
        <f>VLOOKUP($A76,INICIO_BARRA!$A$6:$R$130,16,FALSE)</f>
        <v>#N/A</v>
      </c>
      <c r="BP76" s="11"/>
      <c r="BQ76" s="94" t="str">
        <f>IFERROR(IFERROR(IF(BP76&gt;0,"",BP76*VLOOKUP($A76,'VALOR I.'!$B$6:$K$418,10,FALSE)),"")*$C76,"")</f>
        <v/>
      </c>
      <c r="BR76" s="203" t="e">
        <f>VLOOKUP($A76,INICIO_BARRA!$A$6:$R$130,15,FALSE)</f>
        <v>#N/A</v>
      </c>
      <c r="BS76" s="203" t="e">
        <f>VLOOKUP($A76,INICIO_BARRA!$A$6:$R$130,16,FALSE)</f>
        <v>#N/A</v>
      </c>
      <c r="BT76" s="203" t="str">
        <f>IFERROR(VLOOKUP($A76,REPOSICIONES_BARRA!$A$6:$I$130,9,FALSE),"")</f>
        <v/>
      </c>
      <c r="BU76" s="315" t="e">
        <f t="shared" si="82"/>
        <v>#N/A</v>
      </c>
      <c r="BV76" s="316" t="e">
        <f t="shared" si="83"/>
        <v>#N/A</v>
      </c>
      <c r="BW76" s="317" t="str">
        <f>IFERROR(IFERROR(VLOOKUP($A76,VENTAS!$H$2:$O$201,8,FALSE),"")/$C76,"")</f>
        <v/>
      </c>
      <c r="BX76" s="111"/>
      <c r="BY76" s="203" t="e">
        <f>VLOOKUP($A76,INICIO_BARRA!$A$6:$R$130,17,FALSE)</f>
        <v>#N/A</v>
      </c>
      <c r="BZ76" s="203" t="e">
        <f>VLOOKUP($A76,INICIO_BARRA!$A$6:$R$130,18,FALSE)</f>
        <v>#N/A</v>
      </c>
      <c r="CA76" s="11"/>
      <c r="CB76" s="94" t="str">
        <f>IFERROR(IFERROR(IF(CA76&gt;0,"",CA76*VLOOKUP($A76,'VALOR I.'!$B$6:$K$418,10,FALSE)),"")*$C76,"")</f>
        <v/>
      </c>
    </row>
    <row r="77" spans="1:80" s="7" customFormat="1" ht="30" hidden="1" customHeight="1" x14ac:dyDescent="0.45">
      <c r="A77" s="3"/>
      <c r="B77" s="37"/>
      <c r="C77" s="139"/>
      <c r="D77" s="203" t="e">
        <f>VLOOKUP($A77,INICIO_BARRA!$A$6:$R$130,3,FALSE)</f>
        <v>#N/A</v>
      </c>
      <c r="E77" s="203" t="e">
        <f>VLOOKUP($A77,INICIO_BARRA!$A$6:$R$130,4,FALSE)</f>
        <v>#N/A</v>
      </c>
      <c r="F77" s="203" t="str">
        <f>IFERROR(VLOOKUP($A77,REPOSICIONES_BARRA!$A$6:$I$130,3,FALSE),"")</f>
        <v/>
      </c>
      <c r="G77" s="315" t="e">
        <f t="shared" si="80"/>
        <v>#N/A</v>
      </c>
      <c r="H77" s="316" t="e">
        <f t="shared" si="81"/>
        <v>#N/A</v>
      </c>
      <c r="I77" s="317" t="str">
        <f>IFERROR(IFERROR(VLOOKUP($A77,VENTAS!$H$2:$O$201,2,FALSE),"")/$C77,"")</f>
        <v/>
      </c>
      <c r="J77" s="111"/>
      <c r="K77" s="203" t="e">
        <f>VLOOKUP($A77,INICIO_BARRA!$A$6:$R$130,5,FALSE)</f>
        <v>#N/A</v>
      </c>
      <c r="L77" s="203" t="e">
        <f>VLOOKUP($A77,INICIO_BARRA!$A$6:$R$130,6,FALSE)</f>
        <v>#N/A</v>
      </c>
      <c r="M77" s="11"/>
      <c r="N77" s="204" t="str">
        <f>IFERROR(IFERROR(IF(M77&gt;0,"",M77*VLOOKUP($A77,'VALOR I.'!$B$6:$K$418,10,FALSE)),"")*$C77,"")</f>
        <v/>
      </c>
      <c r="O77" s="203" t="e">
        <f>VLOOKUP($A77,INICIO_BARRA!$A$6:$R$130,5,FALSE)</f>
        <v>#N/A</v>
      </c>
      <c r="P77" s="203" t="e">
        <f>VLOOKUP($A77,INICIO_BARRA!$A$6:$R$130,6,FALSE)</f>
        <v>#N/A</v>
      </c>
      <c r="Q77" s="203" t="str">
        <f>IFERROR(VLOOKUP($A77,REPOSICIONES_BARRA!$A$6:$I$130,4,FALSE),"")</f>
        <v/>
      </c>
      <c r="R77" s="315" t="e">
        <f t="shared" si="70"/>
        <v>#N/A</v>
      </c>
      <c r="S77" s="316" t="e">
        <f t="shared" si="71"/>
        <v>#N/A</v>
      </c>
      <c r="T77" s="317" t="str">
        <f>IFERROR(IFERROR(VLOOKUP($A77,VENTAS!$H$2:$O$201,3,FALSE),"")/$C77,"")</f>
        <v/>
      </c>
      <c r="U77" s="111"/>
      <c r="V77" s="203" t="e">
        <f>VLOOKUP($A77,INICIO_BARRA!$A$6:$R$130,7,FALSE)</f>
        <v>#N/A</v>
      </c>
      <c r="W77" s="203" t="e">
        <f>VLOOKUP($A77,INICIO_BARRA!$A$6:$R$130,8,FALSE)</f>
        <v>#N/A</v>
      </c>
      <c r="X77" s="11"/>
      <c r="Y77" s="204" t="str">
        <f>IFERROR(IFERROR(IF(X77&gt;0,"",X77*VLOOKUP($A77,'VALOR I.'!$B$6:$K$418,10,FALSE)),"")*$C77,"")</f>
        <v/>
      </c>
      <c r="Z77" s="203" t="e">
        <f>VLOOKUP($A77,INICIO_BARRA!$A$6:$R$130,7,FALSE)</f>
        <v>#N/A</v>
      </c>
      <c r="AA77" s="203" t="e">
        <f>VLOOKUP($A77,INICIO_BARRA!$A$6:$R$130,8,FALSE)</f>
        <v>#N/A</v>
      </c>
      <c r="AB77" s="203" t="str">
        <f>IFERROR(VLOOKUP($A77,REPOSICIONES_BARRA!$A$6:$I$130,5,FALSE),"")</f>
        <v/>
      </c>
      <c r="AC77" s="315" t="e">
        <f t="shared" si="72"/>
        <v>#N/A</v>
      </c>
      <c r="AD77" s="316" t="e">
        <f t="shared" si="73"/>
        <v>#N/A</v>
      </c>
      <c r="AE77" s="317" t="str">
        <f>IFERROR(IFERROR(VLOOKUP($A77,VENTAS!$H$2:$O$201,4,FALSE),"")/$C77,"")</f>
        <v/>
      </c>
      <c r="AF77" s="111"/>
      <c r="AG77" s="203" t="e">
        <f>VLOOKUP($A77,INICIO_BARRA!$A$6:$R$130,9,FALSE)</f>
        <v>#N/A</v>
      </c>
      <c r="AH77" s="203" t="e">
        <f>VLOOKUP($A77,INICIO_BARRA!$A$6:$R$130,10,FALSE)</f>
        <v>#N/A</v>
      </c>
      <c r="AI77" s="11"/>
      <c r="AJ77" s="94" t="str">
        <f>IFERROR(IFERROR(IF(AI77&gt;0,"",AI77*VLOOKUP($A77,'VALOR I.'!$B$6:$K$418,10,FALSE)),"")*$C77,"")</f>
        <v/>
      </c>
      <c r="AK77" s="203" t="e">
        <f>VLOOKUP($A77,INICIO_BARRA!$A$6:$R$130,9,FALSE)</f>
        <v>#N/A</v>
      </c>
      <c r="AL77" s="203" t="e">
        <f>VLOOKUP($A77,INICIO_BARRA!$A$6:$R$130,10,FALSE)</f>
        <v>#N/A</v>
      </c>
      <c r="AM77" s="203" t="str">
        <f>IFERROR(VLOOKUP($A77,REPOSICIONES_BARRA!$A$6:$I$130,6,FALSE),"")</f>
        <v/>
      </c>
      <c r="AN77" s="315" t="e">
        <f t="shared" si="74"/>
        <v>#N/A</v>
      </c>
      <c r="AO77" s="316" t="e">
        <f t="shared" si="75"/>
        <v>#N/A</v>
      </c>
      <c r="AP77" s="317" t="str">
        <f>IFERROR(IFERROR(VLOOKUP($A77,VENTAS!$H$2:$O$201,5,FALSE),"")/$C77,"")</f>
        <v/>
      </c>
      <c r="AQ77" s="111"/>
      <c r="AR77" s="203" t="e">
        <f>VLOOKUP($A77,INICIO_BARRA!$A$6:$R$130,11,FALSE)</f>
        <v>#N/A</v>
      </c>
      <c r="AS77" s="203" t="e">
        <f>VLOOKUP($A77,INICIO_BARRA!$A$6:$R$130,12,FALSE)</f>
        <v>#N/A</v>
      </c>
      <c r="AT77" s="11"/>
      <c r="AU77" s="94" t="str">
        <f>IFERROR(IFERROR(IF(AT77&gt;0,"",AT77*VLOOKUP($A77,'VALOR I.'!$B$6:$K$418,10,FALSE)),"")*$C77,"")</f>
        <v/>
      </c>
      <c r="AV77" s="203" t="e">
        <f>VLOOKUP($A77,INICIO_BARRA!$A$6:$R$130,11,FALSE)</f>
        <v>#N/A</v>
      </c>
      <c r="AW77" s="203" t="e">
        <f>VLOOKUP($A77,INICIO_BARRA!$A$6:$R$130,12,FALSE)</f>
        <v>#N/A</v>
      </c>
      <c r="AX77" s="203" t="str">
        <f>IFERROR(VLOOKUP($A77,REPOSICIONES_BARRA!$A$6:$I$130,7,FALSE),"")</f>
        <v/>
      </c>
      <c r="AY77" s="315" t="e">
        <f t="shared" si="76"/>
        <v>#N/A</v>
      </c>
      <c r="AZ77" s="316" t="e">
        <f t="shared" si="77"/>
        <v>#N/A</v>
      </c>
      <c r="BA77" s="317" t="str">
        <f>IFERROR(IFERROR(VLOOKUP($A77,VENTAS!$H$2:$O$201,6,FALSE),"")/$C77,"")</f>
        <v/>
      </c>
      <c r="BB77" s="111"/>
      <c r="BC77" s="203" t="e">
        <f>VLOOKUP($A77,INICIO_BARRA!$A$6:$R$130,13,FALSE)</f>
        <v>#N/A</v>
      </c>
      <c r="BD77" s="203" t="e">
        <f>VLOOKUP($A77,INICIO_BARRA!$A$6:$R$130,14,FALSE)</f>
        <v>#N/A</v>
      </c>
      <c r="BE77" s="11"/>
      <c r="BF77" s="94" t="str">
        <f>IFERROR(IFERROR(IF(BE77&gt;0,"",BE77*VLOOKUP($A77,'VALOR I.'!$B$6:$K$418,10,FALSE)),"")*$C77,"")</f>
        <v/>
      </c>
      <c r="BG77" s="203" t="e">
        <f>VLOOKUP($A77,INICIO_BARRA!$A$6:$R$130,13,FALSE)</f>
        <v>#N/A</v>
      </c>
      <c r="BH77" s="203" t="e">
        <f>VLOOKUP($A77,INICIO_BARRA!$A$6:$R$130,14,FALSE)</f>
        <v>#N/A</v>
      </c>
      <c r="BI77" s="203" t="str">
        <f>IFERROR(VLOOKUP($A77,REPOSICIONES_BARRA!$A$6:$I$130,8,FALSE),"")</f>
        <v/>
      </c>
      <c r="BJ77" s="315" t="e">
        <f t="shared" si="78"/>
        <v>#N/A</v>
      </c>
      <c r="BK77" s="316" t="e">
        <f t="shared" si="79"/>
        <v>#N/A</v>
      </c>
      <c r="BL77" s="317" t="str">
        <f>IFERROR(IFERROR(VLOOKUP($A77,VENTAS!$H$2:$O$201,7,FALSE),"")/$C77,"")</f>
        <v/>
      </c>
      <c r="BM77" s="111"/>
      <c r="BN77" s="203" t="e">
        <f>VLOOKUP($A77,INICIO_BARRA!$A$6:$R$130,15,FALSE)</f>
        <v>#N/A</v>
      </c>
      <c r="BO77" s="203" t="e">
        <f>VLOOKUP($A77,INICIO_BARRA!$A$6:$R$130,16,FALSE)</f>
        <v>#N/A</v>
      </c>
      <c r="BP77" s="11"/>
      <c r="BQ77" s="94" t="str">
        <f>IFERROR(IFERROR(IF(BP77&gt;0,"",BP77*VLOOKUP($A77,'VALOR I.'!$B$6:$K$418,10,FALSE)),"")*$C77,"")</f>
        <v/>
      </c>
      <c r="BR77" s="203" t="e">
        <f>VLOOKUP($A77,INICIO_BARRA!$A$6:$R$130,15,FALSE)</f>
        <v>#N/A</v>
      </c>
      <c r="BS77" s="203" t="e">
        <f>VLOOKUP($A77,INICIO_BARRA!$A$6:$R$130,16,FALSE)</f>
        <v>#N/A</v>
      </c>
      <c r="BT77" s="203" t="str">
        <f>IFERROR(VLOOKUP($A77,REPOSICIONES_BARRA!$A$6:$I$130,9,FALSE),"")</f>
        <v/>
      </c>
      <c r="BU77" s="315" t="e">
        <f t="shared" si="82"/>
        <v>#N/A</v>
      </c>
      <c r="BV77" s="316" t="e">
        <f t="shared" si="83"/>
        <v>#N/A</v>
      </c>
      <c r="BW77" s="317" t="str">
        <f>IFERROR(IFERROR(VLOOKUP($A77,VENTAS!$H$2:$O$201,8,FALSE),"")/$C77,"")</f>
        <v/>
      </c>
      <c r="BX77" s="111"/>
      <c r="BY77" s="203" t="e">
        <f>VLOOKUP($A77,INICIO_BARRA!$A$6:$R$130,17,FALSE)</f>
        <v>#N/A</v>
      </c>
      <c r="BZ77" s="203" t="e">
        <f>VLOOKUP($A77,INICIO_BARRA!$A$6:$R$130,18,FALSE)</f>
        <v>#N/A</v>
      </c>
      <c r="CA77" s="11"/>
      <c r="CB77" s="94" t="str">
        <f>IFERROR(IFERROR(IF(CA77&gt;0,"",CA77*VLOOKUP($A77,'VALOR I.'!$B$6:$K$418,10,FALSE)),"")*$C77,"")</f>
        <v/>
      </c>
    </row>
    <row r="78" spans="1:80" s="7" customFormat="1" ht="30" hidden="1" customHeight="1" x14ac:dyDescent="0.45">
      <c r="A78" s="3"/>
      <c r="B78" s="37"/>
      <c r="C78" s="139"/>
      <c r="D78" s="203" t="e">
        <f>VLOOKUP($A78,INICIO_BARRA!$A$6:$R$130,3,FALSE)</f>
        <v>#N/A</v>
      </c>
      <c r="E78" s="203" t="e">
        <f>VLOOKUP($A78,INICIO_BARRA!$A$6:$R$130,4,FALSE)</f>
        <v>#N/A</v>
      </c>
      <c r="F78" s="203" t="str">
        <f>IFERROR(VLOOKUP($A78,REPOSICIONES_BARRA!$A$6:$I$130,3,FALSE),"")</f>
        <v/>
      </c>
      <c r="G78" s="315" t="e">
        <f t="shared" si="80"/>
        <v>#N/A</v>
      </c>
      <c r="H78" s="316" t="e">
        <f t="shared" si="81"/>
        <v>#N/A</v>
      </c>
      <c r="I78" s="317" t="str">
        <f>IFERROR(IFERROR(VLOOKUP($A78,VENTAS!$H$2:$O$201,2,FALSE),"")/$C78,"")</f>
        <v/>
      </c>
      <c r="J78" s="111"/>
      <c r="K78" s="203" t="e">
        <f>VLOOKUP($A78,INICIO_BARRA!$A$6:$R$130,5,FALSE)</f>
        <v>#N/A</v>
      </c>
      <c r="L78" s="203" t="e">
        <f>VLOOKUP($A78,INICIO_BARRA!$A$6:$R$130,6,FALSE)</f>
        <v>#N/A</v>
      </c>
      <c r="M78" s="11"/>
      <c r="N78" s="204" t="str">
        <f>IFERROR(IFERROR(IF(M78&gt;0,"",M78*VLOOKUP($A78,'VALOR I.'!$B$6:$K$418,10,FALSE)),"")*$C78,"")</f>
        <v/>
      </c>
      <c r="O78" s="203" t="e">
        <f>VLOOKUP($A78,INICIO_BARRA!$A$6:$R$130,5,FALSE)</f>
        <v>#N/A</v>
      </c>
      <c r="P78" s="203" t="e">
        <f>VLOOKUP($A78,INICIO_BARRA!$A$6:$R$130,6,FALSE)</f>
        <v>#N/A</v>
      </c>
      <c r="Q78" s="203" t="str">
        <f>IFERROR(VLOOKUP($A78,REPOSICIONES_BARRA!$A$6:$I$130,4,FALSE),"")</f>
        <v/>
      </c>
      <c r="R78" s="315" t="e">
        <f t="shared" si="70"/>
        <v>#N/A</v>
      </c>
      <c r="S78" s="316" t="e">
        <f t="shared" si="71"/>
        <v>#N/A</v>
      </c>
      <c r="T78" s="317" t="str">
        <f>IFERROR(IFERROR(VLOOKUP($A78,VENTAS!$H$2:$O$201,3,FALSE),"")/$C78,"")</f>
        <v/>
      </c>
      <c r="U78" s="111"/>
      <c r="V78" s="203" t="e">
        <f>VLOOKUP($A78,INICIO_BARRA!$A$6:$R$130,7,FALSE)</f>
        <v>#N/A</v>
      </c>
      <c r="W78" s="203" t="e">
        <f>VLOOKUP($A78,INICIO_BARRA!$A$6:$R$130,8,FALSE)</f>
        <v>#N/A</v>
      </c>
      <c r="X78" s="11"/>
      <c r="Y78" s="204" t="str">
        <f>IFERROR(IFERROR(IF(X78&gt;0,"",X78*VLOOKUP($A78,'VALOR I.'!$B$6:$K$418,10,FALSE)),"")*$C78,"")</f>
        <v/>
      </c>
      <c r="Z78" s="203" t="e">
        <f>VLOOKUP($A78,INICIO_BARRA!$A$6:$R$130,7,FALSE)</f>
        <v>#N/A</v>
      </c>
      <c r="AA78" s="203" t="e">
        <f>VLOOKUP($A78,INICIO_BARRA!$A$6:$R$130,8,FALSE)</f>
        <v>#N/A</v>
      </c>
      <c r="AB78" s="203" t="str">
        <f>IFERROR(VLOOKUP($A78,REPOSICIONES_BARRA!$A$6:$I$130,5,FALSE),"")</f>
        <v/>
      </c>
      <c r="AC78" s="315" t="e">
        <f t="shared" si="72"/>
        <v>#N/A</v>
      </c>
      <c r="AD78" s="316" t="e">
        <f t="shared" si="73"/>
        <v>#N/A</v>
      </c>
      <c r="AE78" s="317" t="str">
        <f>IFERROR(IFERROR(VLOOKUP($A78,VENTAS!$H$2:$O$201,4,FALSE),"")/$C78,"")</f>
        <v/>
      </c>
      <c r="AF78" s="111"/>
      <c r="AG78" s="203" t="e">
        <f>VLOOKUP($A78,INICIO_BARRA!$A$6:$R$130,9,FALSE)</f>
        <v>#N/A</v>
      </c>
      <c r="AH78" s="203" t="e">
        <f>VLOOKUP($A78,INICIO_BARRA!$A$6:$R$130,10,FALSE)</f>
        <v>#N/A</v>
      </c>
      <c r="AI78" s="11"/>
      <c r="AJ78" s="94" t="str">
        <f>IFERROR(IFERROR(IF(AI78&gt;0,"",AI78*VLOOKUP($A78,'VALOR I.'!$B$6:$K$418,10,FALSE)),"")*$C78,"")</f>
        <v/>
      </c>
      <c r="AK78" s="203" t="e">
        <f>VLOOKUP($A78,INICIO_BARRA!$A$6:$R$130,9,FALSE)</f>
        <v>#N/A</v>
      </c>
      <c r="AL78" s="203" t="e">
        <f>VLOOKUP($A78,INICIO_BARRA!$A$6:$R$130,10,FALSE)</f>
        <v>#N/A</v>
      </c>
      <c r="AM78" s="203" t="str">
        <f>IFERROR(VLOOKUP($A78,REPOSICIONES_BARRA!$A$6:$I$130,6,FALSE),"")</f>
        <v/>
      </c>
      <c r="AN78" s="315" t="e">
        <f t="shared" si="74"/>
        <v>#N/A</v>
      </c>
      <c r="AO78" s="316" t="e">
        <f t="shared" si="75"/>
        <v>#N/A</v>
      </c>
      <c r="AP78" s="317" t="str">
        <f>IFERROR(IFERROR(VLOOKUP($A78,VENTAS!$H$2:$O$201,5,FALSE),"")/$C78,"")</f>
        <v/>
      </c>
      <c r="AQ78" s="111"/>
      <c r="AR78" s="203" t="e">
        <f>VLOOKUP($A78,INICIO_BARRA!$A$6:$R$130,11,FALSE)</f>
        <v>#N/A</v>
      </c>
      <c r="AS78" s="203" t="e">
        <f>VLOOKUP($A78,INICIO_BARRA!$A$6:$R$130,12,FALSE)</f>
        <v>#N/A</v>
      </c>
      <c r="AT78" s="11"/>
      <c r="AU78" s="94" t="str">
        <f>IFERROR(IFERROR(IF(AT78&gt;0,"",AT78*VLOOKUP($A78,'VALOR I.'!$B$6:$K$418,10,FALSE)),"")*$C78,"")</f>
        <v/>
      </c>
      <c r="AV78" s="203" t="e">
        <f>VLOOKUP($A78,INICIO_BARRA!$A$6:$R$130,11,FALSE)</f>
        <v>#N/A</v>
      </c>
      <c r="AW78" s="203" t="e">
        <f>VLOOKUP($A78,INICIO_BARRA!$A$6:$R$130,12,FALSE)</f>
        <v>#N/A</v>
      </c>
      <c r="AX78" s="203" t="str">
        <f>IFERROR(VLOOKUP($A78,REPOSICIONES_BARRA!$A$6:$I$130,7,FALSE),"")</f>
        <v/>
      </c>
      <c r="AY78" s="315" t="e">
        <f t="shared" si="76"/>
        <v>#N/A</v>
      </c>
      <c r="AZ78" s="316" t="e">
        <f t="shared" si="77"/>
        <v>#N/A</v>
      </c>
      <c r="BA78" s="317" t="str">
        <f>IFERROR(IFERROR(VLOOKUP($A78,VENTAS!$H$2:$O$201,6,FALSE),"")/$C78,"")</f>
        <v/>
      </c>
      <c r="BB78" s="111"/>
      <c r="BC78" s="203" t="e">
        <f>VLOOKUP($A78,INICIO_BARRA!$A$6:$R$130,13,FALSE)</f>
        <v>#N/A</v>
      </c>
      <c r="BD78" s="203" t="e">
        <f>VLOOKUP($A78,INICIO_BARRA!$A$6:$R$130,14,FALSE)</f>
        <v>#N/A</v>
      </c>
      <c r="BE78" s="11"/>
      <c r="BF78" s="94" t="str">
        <f>IFERROR(IFERROR(IF(BE78&gt;0,"",BE78*VLOOKUP($A78,'VALOR I.'!$B$6:$K$418,10,FALSE)),"")*$C78,"")</f>
        <v/>
      </c>
      <c r="BG78" s="203" t="e">
        <f>VLOOKUP($A78,INICIO_BARRA!$A$6:$R$130,13,FALSE)</f>
        <v>#N/A</v>
      </c>
      <c r="BH78" s="203" t="e">
        <f>VLOOKUP($A78,INICIO_BARRA!$A$6:$R$130,14,FALSE)</f>
        <v>#N/A</v>
      </c>
      <c r="BI78" s="203" t="str">
        <f>IFERROR(VLOOKUP($A78,REPOSICIONES_BARRA!$A$6:$I$130,8,FALSE),"")</f>
        <v/>
      </c>
      <c r="BJ78" s="315" t="e">
        <f t="shared" si="78"/>
        <v>#N/A</v>
      </c>
      <c r="BK78" s="316" t="e">
        <f t="shared" si="79"/>
        <v>#N/A</v>
      </c>
      <c r="BL78" s="317" t="str">
        <f>IFERROR(IFERROR(VLOOKUP($A78,VENTAS!$H$2:$O$201,7,FALSE),"")/$C78,"")</f>
        <v/>
      </c>
      <c r="BM78" s="111"/>
      <c r="BN78" s="203" t="e">
        <f>VLOOKUP($A78,INICIO_BARRA!$A$6:$R$130,15,FALSE)</f>
        <v>#N/A</v>
      </c>
      <c r="BO78" s="203" t="e">
        <f>VLOOKUP($A78,INICIO_BARRA!$A$6:$R$130,16,FALSE)</f>
        <v>#N/A</v>
      </c>
      <c r="BP78" s="11"/>
      <c r="BQ78" s="94" t="str">
        <f>IFERROR(IFERROR(IF(BP78&gt;0,"",BP78*VLOOKUP($A78,'VALOR I.'!$B$6:$K$418,10,FALSE)),"")*$C78,"")</f>
        <v/>
      </c>
      <c r="BR78" s="203" t="e">
        <f>VLOOKUP($A78,INICIO_BARRA!$A$6:$R$130,15,FALSE)</f>
        <v>#N/A</v>
      </c>
      <c r="BS78" s="203" t="e">
        <f>VLOOKUP($A78,INICIO_BARRA!$A$6:$R$130,16,FALSE)</f>
        <v>#N/A</v>
      </c>
      <c r="BT78" s="203" t="str">
        <f>IFERROR(VLOOKUP($A78,REPOSICIONES_BARRA!$A$6:$I$130,9,FALSE),"")</f>
        <v/>
      </c>
      <c r="BU78" s="315" t="e">
        <f t="shared" si="82"/>
        <v>#N/A</v>
      </c>
      <c r="BV78" s="316" t="e">
        <f t="shared" si="83"/>
        <v>#N/A</v>
      </c>
      <c r="BW78" s="317" t="str">
        <f>IFERROR(IFERROR(VLOOKUP($A78,VENTAS!$H$2:$O$201,8,FALSE),"")/$C78,"")</f>
        <v/>
      </c>
      <c r="BX78" s="111"/>
      <c r="BY78" s="203" t="e">
        <f>VLOOKUP($A78,INICIO_BARRA!$A$6:$R$130,17,FALSE)</f>
        <v>#N/A</v>
      </c>
      <c r="BZ78" s="203" t="e">
        <f>VLOOKUP($A78,INICIO_BARRA!$A$6:$R$130,18,FALSE)</f>
        <v>#N/A</v>
      </c>
      <c r="CA78" s="11"/>
      <c r="CB78" s="94" t="str">
        <f>IFERROR(IFERROR(IF(CA78&gt;0,"",CA78*VLOOKUP($A78,'VALOR I.'!$B$6:$K$418,10,FALSE)),"")*$C78,"")</f>
        <v/>
      </c>
    </row>
    <row r="79" spans="1:80" s="7" customFormat="1" ht="30" hidden="1" customHeight="1" x14ac:dyDescent="0.45">
      <c r="A79" s="3"/>
      <c r="B79" s="37"/>
      <c r="C79" s="139"/>
      <c r="D79" s="203" t="e">
        <f>VLOOKUP($A79,INICIO_BARRA!$A$6:$R$130,3,FALSE)</f>
        <v>#N/A</v>
      </c>
      <c r="E79" s="203" t="e">
        <f>VLOOKUP($A79,INICIO_BARRA!$A$6:$R$130,4,FALSE)</f>
        <v>#N/A</v>
      </c>
      <c r="F79" s="203" t="str">
        <f>IFERROR(VLOOKUP($A79,REPOSICIONES_BARRA!$A$6:$I$130,3,FALSE),"")</f>
        <v/>
      </c>
      <c r="G79" s="315" t="e">
        <f t="shared" si="80"/>
        <v>#N/A</v>
      </c>
      <c r="H79" s="316" t="e">
        <f t="shared" si="81"/>
        <v>#N/A</v>
      </c>
      <c r="I79" s="317" t="str">
        <f>IFERROR(IFERROR(VLOOKUP($A79,VENTAS!$H$2:$O$201,2,FALSE),"")/$C79,"")</f>
        <v/>
      </c>
      <c r="J79" s="111"/>
      <c r="K79" s="203" t="e">
        <f>VLOOKUP($A79,INICIO_BARRA!$A$6:$R$130,5,FALSE)</f>
        <v>#N/A</v>
      </c>
      <c r="L79" s="203" t="e">
        <f>VLOOKUP($A79,INICIO_BARRA!$A$6:$R$130,6,FALSE)</f>
        <v>#N/A</v>
      </c>
      <c r="M79" s="11"/>
      <c r="N79" s="204" t="str">
        <f>IFERROR(IFERROR(IF(M79&gt;0,"",M79*VLOOKUP($A79,'VALOR I.'!$B$6:$K$418,10,FALSE)),"")*$C79,"")</f>
        <v/>
      </c>
      <c r="O79" s="203" t="e">
        <f>VLOOKUP($A79,INICIO_BARRA!$A$6:$R$130,5,FALSE)</f>
        <v>#N/A</v>
      </c>
      <c r="P79" s="203" t="e">
        <f>VLOOKUP($A79,INICIO_BARRA!$A$6:$R$130,6,FALSE)</f>
        <v>#N/A</v>
      </c>
      <c r="Q79" s="203" t="str">
        <f>IFERROR(VLOOKUP($A79,REPOSICIONES_BARRA!$A$6:$I$130,4,FALSE),"")</f>
        <v/>
      </c>
      <c r="R79" s="315" t="e">
        <f t="shared" si="70"/>
        <v>#N/A</v>
      </c>
      <c r="S79" s="316" t="e">
        <f t="shared" si="71"/>
        <v>#N/A</v>
      </c>
      <c r="T79" s="317" t="str">
        <f>IFERROR(IFERROR(VLOOKUP($A79,VENTAS!$H$2:$O$201,3,FALSE),"")/$C79,"")</f>
        <v/>
      </c>
      <c r="U79" s="111"/>
      <c r="V79" s="203" t="e">
        <f>VLOOKUP($A79,INICIO_BARRA!$A$6:$R$130,7,FALSE)</f>
        <v>#N/A</v>
      </c>
      <c r="W79" s="203" t="e">
        <f>VLOOKUP($A79,INICIO_BARRA!$A$6:$R$130,8,FALSE)</f>
        <v>#N/A</v>
      </c>
      <c r="X79" s="11"/>
      <c r="Y79" s="204" t="str">
        <f>IFERROR(IFERROR(IF(X79&gt;0,"",X79*VLOOKUP($A79,'VALOR I.'!$B$6:$K$418,10,FALSE)),"")*$C79,"")</f>
        <v/>
      </c>
      <c r="Z79" s="203" t="e">
        <f>VLOOKUP($A79,INICIO_BARRA!$A$6:$R$130,7,FALSE)</f>
        <v>#N/A</v>
      </c>
      <c r="AA79" s="203" t="e">
        <f>VLOOKUP($A79,INICIO_BARRA!$A$6:$R$130,8,FALSE)</f>
        <v>#N/A</v>
      </c>
      <c r="AB79" s="203" t="str">
        <f>IFERROR(VLOOKUP($A79,REPOSICIONES_BARRA!$A$6:$I$130,5,FALSE),"")</f>
        <v/>
      </c>
      <c r="AC79" s="315" t="e">
        <f t="shared" si="72"/>
        <v>#N/A</v>
      </c>
      <c r="AD79" s="316" t="e">
        <f t="shared" si="73"/>
        <v>#N/A</v>
      </c>
      <c r="AE79" s="317" t="str">
        <f>IFERROR(IFERROR(VLOOKUP($A79,VENTAS!$H$2:$O$201,4,FALSE),"")/$C79,"")</f>
        <v/>
      </c>
      <c r="AF79" s="111"/>
      <c r="AG79" s="203" t="e">
        <f>VLOOKUP($A79,INICIO_BARRA!$A$6:$R$130,9,FALSE)</f>
        <v>#N/A</v>
      </c>
      <c r="AH79" s="203" t="e">
        <f>VLOOKUP($A79,INICIO_BARRA!$A$6:$R$130,10,FALSE)</f>
        <v>#N/A</v>
      </c>
      <c r="AI79" s="11"/>
      <c r="AJ79" s="94" t="str">
        <f>IFERROR(IFERROR(IF(AI79&gt;0,"",AI79*VLOOKUP($A79,'VALOR I.'!$B$6:$K$418,10,FALSE)),"")*$C79,"")</f>
        <v/>
      </c>
      <c r="AK79" s="203" t="e">
        <f>VLOOKUP($A79,INICIO_BARRA!$A$6:$R$130,9,FALSE)</f>
        <v>#N/A</v>
      </c>
      <c r="AL79" s="203" t="e">
        <f>VLOOKUP($A79,INICIO_BARRA!$A$6:$R$130,10,FALSE)</f>
        <v>#N/A</v>
      </c>
      <c r="AM79" s="203" t="str">
        <f>IFERROR(VLOOKUP($A79,REPOSICIONES_BARRA!$A$6:$I$130,6,FALSE),"")</f>
        <v/>
      </c>
      <c r="AN79" s="315" t="e">
        <f t="shared" si="74"/>
        <v>#N/A</v>
      </c>
      <c r="AO79" s="316" t="e">
        <f t="shared" si="75"/>
        <v>#N/A</v>
      </c>
      <c r="AP79" s="317" t="str">
        <f>IFERROR(IFERROR(VLOOKUP($A79,VENTAS!$H$2:$O$201,5,FALSE),"")/$C79,"")</f>
        <v/>
      </c>
      <c r="AQ79" s="111"/>
      <c r="AR79" s="203" t="e">
        <f>VLOOKUP($A79,INICIO_BARRA!$A$6:$R$130,11,FALSE)</f>
        <v>#N/A</v>
      </c>
      <c r="AS79" s="203" t="e">
        <f>VLOOKUP($A79,INICIO_BARRA!$A$6:$R$130,12,FALSE)</f>
        <v>#N/A</v>
      </c>
      <c r="AT79" s="11"/>
      <c r="AU79" s="94" t="str">
        <f>IFERROR(IFERROR(IF(AT79&gt;0,"",AT79*VLOOKUP($A79,'VALOR I.'!$B$6:$K$418,10,FALSE)),"")*$C79,"")</f>
        <v/>
      </c>
      <c r="AV79" s="203" t="e">
        <f>VLOOKUP($A79,INICIO_BARRA!$A$6:$R$130,11,FALSE)</f>
        <v>#N/A</v>
      </c>
      <c r="AW79" s="203" t="e">
        <f>VLOOKUP($A79,INICIO_BARRA!$A$6:$R$130,12,FALSE)</f>
        <v>#N/A</v>
      </c>
      <c r="AX79" s="203" t="str">
        <f>IFERROR(VLOOKUP($A79,REPOSICIONES_BARRA!$A$6:$I$130,7,FALSE),"")</f>
        <v/>
      </c>
      <c r="AY79" s="315" t="e">
        <f t="shared" si="76"/>
        <v>#N/A</v>
      </c>
      <c r="AZ79" s="316" t="e">
        <f t="shared" si="77"/>
        <v>#N/A</v>
      </c>
      <c r="BA79" s="317" t="str">
        <f>IFERROR(IFERROR(VLOOKUP($A79,VENTAS!$H$2:$O$201,6,FALSE),"")/$C79,"")</f>
        <v/>
      </c>
      <c r="BB79" s="111"/>
      <c r="BC79" s="203" t="e">
        <f>VLOOKUP($A79,INICIO_BARRA!$A$6:$R$130,13,FALSE)</f>
        <v>#N/A</v>
      </c>
      <c r="BD79" s="203" t="e">
        <f>VLOOKUP($A79,INICIO_BARRA!$A$6:$R$130,14,FALSE)</f>
        <v>#N/A</v>
      </c>
      <c r="BE79" s="11"/>
      <c r="BF79" s="94" t="str">
        <f>IFERROR(IFERROR(IF(BE79&gt;0,"",BE79*VLOOKUP($A79,'VALOR I.'!$B$6:$K$418,10,FALSE)),"")*$C79,"")</f>
        <v/>
      </c>
      <c r="BG79" s="203" t="e">
        <f>VLOOKUP($A79,INICIO_BARRA!$A$6:$R$130,13,FALSE)</f>
        <v>#N/A</v>
      </c>
      <c r="BH79" s="203" t="e">
        <f>VLOOKUP($A79,INICIO_BARRA!$A$6:$R$130,14,FALSE)</f>
        <v>#N/A</v>
      </c>
      <c r="BI79" s="203" t="str">
        <f>IFERROR(VLOOKUP($A79,REPOSICIONES_BARRA!$A$6:$I$130,8,FALSE),"")</f>
        <v/>
      </c>
      <c r="BJ79" s="315" t="e">
        <f t="shared" si="78"/>
        <v>#N/A</v>
      </c>
      <c r="BK79" s="316" t="e">
        <f t="shared" si="79"/>
        <v>#N/A</v>
      </c>
      <c r="BL79" s="317" t="str">
        <f>IFERROR(IFERROR(VLOOKUP($A79,VENTAS!$H$2:$O$201,7,FALSE),"")/$C79,"")</f>
        <v/>
      </c>
      <c r="BM79" s="111"/>
      <c r="BN79" s="203" t="e">
        <f>VLOOKUP($A79,INICIO_BARRA!$A$6:$R$130,15,FALSE)</f>
        <v>#N/A</v>
      </c>
      <c r="BO79" s="203" t="e">
        <f>VLOOKUP($A79,INICIO_BARRA!$A$6:$R$130,16,FALSE)</f>
        <v>#N/A</v>
      </c>
      <c r="BP79" s="11"/>
      <c r="BQ79" s="94" t="str">
        <f>IFERROR(IFERROR(IF(BP79&gt;0,"",BP79*VLOOKUP($A79,'VALOR I.'!$B$6:$K$418,10,FALSE)),"")*$C79,"")</f>
        <v/>
      </c>
      <c r="BR79" s="203" t="e">
        <f>VLOOKUP($A79,INICIO_BARRA!$A$6:$R$130,15,FALSE)</f>
        <v>#N/A</v>
      </c>
      <c r="BS79" s="203" t="e">
        <f>VLOOKUP($A79,INICIO_BARRA!$A$6:$R$130,16,FALSE)</f>
        <v>#N/A</v>
      </c>
      <c r="BT79" s="203" t="str">
        <f>IFERROR(VLOOKUP($A79,REPOSICIONES_BARRA!$A$6:$I$130,9,FALSE),"")</f>
        <v/>
      </c>
      <c r="BU79" s="315" t="e">
        <f t="shared" si="82"/>
        <v>#N/A</v>
      </c>
      <c r="BV79" s="316" t="e">
        <f t="shared" si="83"/>
        <v>#N/A</v>
      </c>
      <c r="BW79" s="317" t="str">
        <f>IFERROR(IFERROR(VLOOKUP($A79,VENTAS!$H$2:$O$201,8,FALSE),"")/$C79,"")</f>
        <v/>
      </c>
      <c r="BX79" s="111"/>
      <c r="BY79" s="203" t="e">
        <f>VLOOKUP($A79,INICIO_BARRA!$A$6:$R$130,17,FALSE)</f>
        <v>#N/A</v>
      </c>
      <c r="BZ79" s="203" t="e">
        <f>VLOOKUP($A79,INICIO_BARRA!$A$6:$R$130,18,FALSE)</f>
        <v>#N/A</v>
      </c>
      <c r="CA79" s="11"/>
      <c r="CB79" s="94" t="str">
        <f>IFERROR(IFERROR(IF(CA79&gt;0,"",CA79*VLOOKUP($A79,'VALOR I.'!$B$6:$K$418,10,FALSE)),"")*$C79,"")</f>
        <v/>
      </c>
    </row>
    <row r="80" spans="1:80" s="7" customFormat="1" ht="30" hidden="1" customHeight="1" x14ac:dyDescent="0.45">
      <c r="A80" s="3"/>
      <c r="B80" s="37"/>
      <c r="C80" s="139"/>
      <c r="D80" s="203" t="e">
        <f>VLOOKUP($A80,INICIO_BARRA!$A$6:$R$130,3,FALSE)</f>
        <v>#N/A</v>
      </c>
      <c r="E80" s="203" t="e">
        <f>VLOOKUP($A80,INICIO_BARRA!$A$6:$R$130,4,FALSE)</f>
        <v>#N/A</v>
      </c>
      <c r="F80" s="203" t="str">
        <f>IFERROR(VLOOKUP($A80,REPOSICIONES_BARRA!$A$6:$I$130,3,FALSE),"")</f>
        <v/>
      </c>
      <c r="G80" s="315" t="e">
        <f t="shared" si="80"/>
        <v>#N/A</v>
      </c>
      <c r="H80" s="316" t="e">
        <f t="shared" si="81"/>
        <v>#N/A</v>
      </c>
      <c r="I80" s="317" t="str">
        <f>IFERROR(IFERROR(VLOOKUP($A80,VENTAS!$H$2:$O$201,2,FALSE),"")/$C80,"")</f>
        <v/>
      </c>
      <c r="J80" s="111"/>
      <c r="K80" s="203" t="e">
        <f>VLOOKUP($A80,INICIO_BARRA!$A$6:$R$130,5,FALSE)</f>
        <v>#N/A</v>
      </c>
      <c r="L80" s="203" t="e">
        <f>VLOOKUP($A80,INICIO_BARRA!$A$6:$R$130,6,FALSE)</f>
        <v>#N/A</v>
      </c>
      <c r="M80" s="11"/>
      <c r="N80" s="204" t="str">
        <f>IFERROR(IFERROR(IF(M80&gt;0,"",M80*VLOOKUP($A80,'VALOR I.'!$B$6:$K$418,10,FALSE)),"")*$C80,"")</f>
        <v/>
      </c>
      <c r="O80" s="203" t="e">
        <f>VLOOKUP($A80,INICIO_BARRA!$A$6:$R$130,5,FALSE)</f>
        <v>#N/A</v>
      </c>
      <c r="P80" s="203" t="e">
        <f>VLOOKUP($A80,INICIO_BARRA!$A$6:$R$130,6,FALSE)</f>
        <v>#N/A</v>
      </c>
      <c r="Q80" s="203" t="str">
        <f>IFERROR(VLOOKUP($A80,REPOSICIONES_BARRA!$A$6:$I$130,4,FALSE),"")</f>
        <v/>
      </c>
      <c r="R80" s="315" t="e">
        <f t="shared" si="70"/>
        <v>#N/A</v>
      </c>
      <c r="S80" s="316" t="e">
        <f t="shared" si="71"/>
        <v>#N/A</v>
      </c>
      <c r="T80" s="317" t="str">
        <f>IFERROR(IFERROR(VLOOKUP($A80,VENTAS!$H$2:$O$201,3,FALSE),"")/$C80,"")</f>
        <v/>
      </c>
      <c r="U80" s="111"/>
      <c r="V80" s="203" t="e">
        <f>VLOOKUP($A80,INICIO_BARRA!$A$6:$R$130,7,FALSE)</f>
        <v>#N/A</v>
      </c>
      <c r="W80" s="203" t="e">
        <f>VLOOKUP($A80,INICIO_BARRA!$A$6:$R$130,8,FALSE)</f>
        <v>#N/A</v>
      </c>
      <c r="X80" s="11"/>
      <c r="Y80" s="204" t="str">
        <f>IFERROR(IFERROR(IF(X80&gt;0,"",X80*VLOOKUP($A80,'VALOR I.'!$B$6:$K$418,10,FALSE)),"")*$C80,"")</f>
        <v/>
      </c>
      <c r="Z80" s="203" t="e">
        <f>VLOOKUP($A80,INICIO_BARRA!$A$6:$R$130,7,FALSE)</f>
        <v>#N/A</v>
      </c>
      <c r="AA80" s="203" t="e">
        <f>VLOOKUP($A80,INICIO_BARRA!$A$6:$R$130,8,FALSE)</f>
        <v>#N/A</v>
      </c>
      <c r="AB80" s="203" t="str">
        <f>IFERROR(VLOOKUP($A80,REPOSICIONES_BARRA!$A$6:$I$130,5,FALSE),"")</f>
        <v/>
      </c>
      <c r="AC80" s="315" t="e">
        <f t="shared" si="72"/>
        <v>#N/A</v>
      </c>
      <c r="AD80" s="316" t="e">
        <f t="shared" si="73"/>
        <v>#N/A</v>
      </c>
      <c r="AE80" s="317" t="str">
        <f>IFERROR(IFERROR(VLOOKUP($A80,VENTAS!$H$2:$O$201,4,FALSE),"")/$C80,"")</f>
        <v/>
      </c>
      <c r="AF80" s="111"/>
      <c r="AG80" s="203" t="e">
        <f>VLOOKUP($A80,INICIO_BARRA!$A$6:$R$130,9,FALSE)</f>
        <v>#N/A</v>
      </c>
      <c r="AH80" s="203" t="e">
        <f>VLOOKUP($A80,INICIO_BARRA!$A$6:$R$130,10,FALSE)</f>
        <v>#N/A</v>
      </c>
      <c r="AI80" s="11"/>
      <c r="AJ80" s="94" t="str">
        <f>IFERROR(IFERROR(IF(AI80&gt;0,"",AI80*VLOOKUP($A80,'VALOR I.'!$B$6:$K$418,10,FALSE)),"")*$C80,"")</f>
        <v/>
      </c>
      <c r="AK80" s="203" t="e">
        <f>VLOOKUP($A80,INICIO_BARRA!$A$6:$R$130,9,FALSE)</f>
        <v>#N/A</v>
      </c>
      <c r="AL80" s="203" t="e">
        <f>VLOOKUP($A80,INICIO_BARRA!$A$6:$R$130,10,FALSE)</f>
        <v>#N/A</v>
      </c>
      <c r="AM80" s="203" t="str">
        <f>IFERROR(VLOOKUP($A80,REPOSICIONES_BARRA!$A$6:$I$130,6,FALSE),"")</f>
        <v/>
      </c>
      <c r="AN80" s="315" t="e">
        <f t="shared" si="74"/>
        <v>#N/A</v>
      </c>
      <c r="AO80" s="316" t="e">
        <f t="shared" si="75"/>
        <v>#N/A</v>
      </c>
      <c r="AP80" s="317" t="str">
        <f>IFERROR(IFERROR(VLOOKUP($A80,VENTAS!$H$2:$O$201,5,FALSE),"")/$C80,"")</f>
        <v/>
      </c>
      <c r="AQ80" s="111"/>
      <c r="AR80" s="203" t="e">
        <f>VLOOKUP($A80,INICIO_BARRA!$A$6:$R$130,11,FALSE)</f>
        <v>#N/A</v>
      </c>
      <c r="AS80" s="203" t="e">
        <f>VLOOKUP($A80,INICIO_BARRA!$A$6:$R$130,12,FALSE)</f>
        <v>#N/A</v>
      </c>
      <c r="AT80" s="11"/>
      <c r="AU80" s="94" t="str">
        <f>IFERROR(IFERROR(IF(AT80&gt;0,"",AT80*VLOOKUP($A80,'VALOR I.'!$B$6:$K$418,10,FALSE)),"")*$C80,"")</f>
        <v/>
      </c>
      <c r="AV80" s="203" t="e">
        <f>VLOOKUP($A80,INICIO_BARRA!$A$6:$R$130,11,FALSE)</f>
        <v>#N/A</v>
      </c>
      <c r="AW80" s="203" t="e">
        <f>VLOOKUP($A80,INICIO_BARRA!$A$6:$R$130,12,FALSE)</f>
        <v>#N/A</v>
      </c>
      <c r="AX80" s="203" t="str">
        <f>IFERROR(VLOOKUP($A80,REPOSICIONES_BARRA!$A$6:$I$130,7,FALSE),"")</f>
        <v/>
      </c>
      <c r="AY80" s="315" t="e">
        <f t="shared" si="76"/>
        <v>#N/A</v>
      </c>
      <c r="AZ80" s="316" t="e">
        <f t="shared" si="77"/>
        <v>#N/A</v>
      </c>
      <c r="BA80" s="317" t="str">
        <f>IFERROR(IFERROR(VLOOKUP($A80,VENTAS!$H$2:$O$201,6,FALSE),"")/$C80,"")</f>
        <v/>
      </c>
      <c r="BB80" s="111"/>
      <c r="BC80" s="203" t="e">
        <f>VLOOKUP($A80,INICIO_BARRA!$A$6:$R$130,13,FALSE)</f>
        <v>#N/A</v>
      </c>
      <c r="BD80" s="203" t="e">
        <f>VLOOKUP($A80,INICIO_BARRA!$A$6:$R$130,14,FALSE)</f>
        <v>#N/A</v>
      </c>
      <c r="BE80" s="11"/>
      <c r="BF80" s="94" t="str">
        <f>IFERROR(IFERROR(IF(BE80&gt;0,"",BE80*VLOOKUP($A80,'VALOR I.'!$B$6:$K$418,10,FALSE)),"")*$C80,"")</f>
        <v/>
      </c>
      <c r="BG80" s="203" t="e">
        <f>VLOOKUP($A80,INICIO_BARRA!$A$6:$R$130,13,FALSE)</f>
        <v>#N/A</v>
      </c>
      <c r="BH80" s="203" t="e">
        <f>VLOOKUP($A80,INICIO_BARRA!$A$6:$R$130,14,FALSE)</f>
        <v>#N/A</v>
      </c>
      <c r="BI80" s="203" t="str">
        <f>IFERROR(VLOOKUP($A80,REPOSICIONES_BARRA!$A$6:$I$130,8,FALSE),"")</f>
        <v/>
      </c>
      <c r="BJ80" s="315" t="e">
        <f t="shared" si="78"/>
        <v>#N/A</v>
      </c>
      <c r="BK80" s="316" t="e">
        <f t="shared" si="79"/>
        <v>#N/A</v>
      </c>
      <c r="BL80" s="317" t="str">
        <f>IFERROR(IFERROR(VLOOKUP($A80,VENTAS!$H$2:$O$201,7,FALSE),"")/$C80,"")</f>
        <v/>
      </c>
      <c r="BM80" s="111"/>
      <c r="BN80" s="203" t="e">
        <f>VLOOKUP($A80,INICIO_BARRA!$A$6:$R$130,15,FALSE)</f>
        <v>#N/A</v>
      </c>
      <c r="BO80" s="203" t="e">
        <f>VLOOKUP($A80,INICIO_BARRA!$A$6:$R$130,16,FALSE)</f>
        <v>#N/A</v>
      </c>
      <c r="BP80" s="11"/>
      <c r="BQ80" s="94" t="str">
        <f>IFERROR(IFERROR(IF(BP80&gt;0,"",BP80*VLOOKUP($A80,'VALOR I.'!$B$6:$K$418,10,FALSE)),"")*$C80,"")</f>
        <v/>
      </c>
      <c r="BR80" s="203" t="e">
        <f>VLOOKUP($A80,INICIO_BARRA!$A$6:$R$130,15,FALSE)</f>
        <v>#N/A</v>
      </c>
      <c r="BS80" s="203" t="e">
        <f>VLOOKUP($A80,INICIO_BARRA!$A$6:$R$130,16,FALSE)</f>
        <v>#N/A</v>
      </c>
      <c r="BT80" s="203" t="str">
        <f>IFERROR(VLOOKUP($A80,REPOSICIONES_BARRA!$A$6:$I$130,9,FALSE),"")</f>
        <v/>
      </c>
      <c r="BU80" s="315" t="e">
        <f t="shared" si="82"/>
        <v>#N/A</v>
      </c>
      <c r="BV80" s="316" t="e">
        <f t="shared" si="83"/>
        <v>#N/A</v>
      </c>
      <c r="BW80" s="317" t="str">
        <f>IFERROR(IFERROR(VLOOKUP($A80,VENTAS!$H$2:$O$201,8,FALSE),"")/$C80,"")</f>
        <v/>
      </c>
      <c r="BX80" s="111"/>
      <c r="BY80" s="203" t="e">
        <f>VLOOKUP($A80,INICIO_BARRA!$A$6:$R$130,17,FALSE)</f>
        <v>#N/A</v>
      </c>
      <c r="BZ80" s="203" t="e">
        <f>VLOOKUP($A80,INICIO_BARRA!$A$6:$R$130,18,FALSE)</f>
        <v>#N/A</v>
      </c>
      <c r="CA80" s="11"/>
      <c r="CB80" s="94" t="str">
        <f>IFERROR(IFERROR(IF(CA80&gt;0,"",CA80*VLOOKUP($A80,'VALOR I.'!$B$6:$K$418,10,FALSE)),"")*$C80,"")</f>
        <v/>
      </c>
    </row>
    <row r="81" spans="1:80" s="7" customFormat="1" ht="30" hidden="1" customHeight="1" x14ac:dyDescent="0.45">
      <c r="A81" s="3"/>
      <c r="B81" s="24"/>
      <c r="C81" s="132"/>
      <c r="D81" s="203" t="e">
        <f>VLOOKUP($A81,INICIO_BARRA!$A$6:$R$130,3,FALSE)</f>
        <v>#N/A</v>
      </c>
      <c r="E81" s="203" t="e">
        <f>VLOOKUP($A81,INICIO_BARRA!$A$6:$R$130,4,FALSE)</f>
        <v>#N/A</v>
      </c>
      <c r="F81" s="203" t="str">
        <f>IFERROR(VLOOKUP($A81,REPOSICIONES_BARRA!$A$6:$I$130,3,FALSE),"")</f>
        <v/>
      </c>
      <c r="G81" s="315" t="e">
        <f t="shared" si="80"/>
        <v>#N/A</v>
      </c>
      <c r="H81" s="316" t="e">
        <f t="shared" si="81"/>
        <v>#N/A</v>
      </c>
      <c r="I81" s="317" t="str">
        <f>IFERROR(IFERROR(VLOOKUP($A81,VENTAS!$H$2:$O$201,2,FALSE),"")/$C81,"")</f>
        <v/>
      </c>
      <c r="J81" s="111"/>
      <c r="K81" s="203" t="e">
        <f>VLOOKUP($A81,INICIO_BARRA!$A$6:$R$130,5,FALSE)</f>
        <v>#N/A</v>
      </c>
      <c r="L81" s="203" t="e">
        <f>VLOOKUP($A81,INICIO_BARRA!$A$6:$R$130,6,FALSE)</f>
        <v>#N/A</v>
      </c>
      <c r="M81" s="11"/>
      <c r="N81" s="204" t="str">
        <f>IFERROR(IFERROR(IF(M81&gt;0,"",M81*VLOOKUP($A81,'VALOR I.'!$B$6:$K$418,10,FALSE)),"")*$C81,"")</f>
        <v/>
      </c>
      <c r="O81" s="203" t="e">
        <f>VLOOKUP($A81,INICIO_BARRA!$A$6:$R$130,5,FALSE)</f>
        <v>#N/A</v>
      </c>
      <c r="P81" s="203" t="e">
        <f>VLOOKUP($A81,INICIO_BARRA!$A$6:$R$130,6,FALSE)</f>
        <v>#N/A</v>
      </c>
      <c r="Q81" s="203" t="str">
        <f>IFERROR(VLOOKUP($A81,REPOSICIONES_BARRA!$A$6:$I$130,4,FALSE),"")</f>
        <v/>
      </c>
      <c r="R81" s="315" t="e">
        <f t="shared" si="70"/>
        <v>#N/A</v>
      </c>
      <c r="S81" s="316" t="e">
        <f t="shared" si="71"/>
        <v>#N/A</v>
      </c>
      <c r="T81" s="317" t="str">
        <f>IFERROR(IFERROR(VLOOKUP($A81,VENTAS!$H$2:$O$201,3,FALSE),"")/$C81,"")</f>
        <v/>
      </c>
      <c r="U81" s="111"/>
      <c r="V81" s="203" t="e">
        <f>VLOOKUP($A81,INICIO_BARRA!$A$6:$R$130,7,FALSE)</f>
        <v>#N/A</v>
      </c>
      <c r="W81" s="203" t="e">
        <f>VLOOKUP($A81,INICIO_BARRA!$A$6:$R$130,8,FALSE)</f>
        <v>#N/A</v>
      </c>
      <c r="X81" s="11"/>
      <c r="Y81" s="204" t="str">
        <f>IFERROR(IFERROR(IF(X81&gt;0,"",X81*VLOOKUP($A81,'VALOR I.'!$B$6:$K$418,10,FALSE)),"")*$C81,"")</f>
        <v/>
      </c>
      <c r="Z81" s="203" t="e">
        <f>VLOOKUP($A81,INICIO_BARRA!$A$6:$R$130,7,FALSE)</f>
        <v>#N/A</v>
      </c>
      <c r="AA81" s="203" t="e">
        <f>VLOOKUP($A81,INICIO_BARRA!$A$6:$R$130,8,FALSE)</f>
        <v>#N/A</v>
      </c>
      <c r="AB81" s="203" t="str">
        <f>IFERROR(VLOOKUP($A81,REPOSICIONES_BARRA!$A$6:$I$130,5,FALSE),"")</f>
        <v/>
      </c>
      <c r="AC81" s="315" t="e">
        <f t="shared" si="72"/>
        <v>#N/A</v>
      </c>
      <c r="AD81" s="316" t="e">
        <f t="shared" si="73"/>
        <v>#N/A</v>
      </c>
      <c r="AE81" s="317" t="str">
        <f>IFERROR(IFERROR(VLOOKUP($A81,VENTAS!$H$2:$O$201,4,FALSE),"")/$C81,"")</f>
        <v/>
      </c>
      <c r="AF81" s="111"/>
      <c r="AG81" s="203" t="e">
        <f>VLOOKUP($A81,INICIO_BARRA!$A$6:$R$130,9,FALSE)</f>
        <v>#N/A</v>
      </c>
      <c r="AH81" s="203" t="e">
        <f>VLOOKUP($A81,INICIO_BARRA!$A$6:$R$130,10,FALSE)</f>
        <v>#N/A</v>
      </c>
      <c r="AI81" s="11"/>
      <c r="AJ81" s="94" t="str">
        <f>IFERROR(IFERROR(IF(AI81&gt;0,"",AI81*VLOOKUP($A81,'VALOR I.'!$B$6:$K$418,10,FALSE)),"")*$C81,"")</f>
        <v/>
      </c>
      <c r="AK81" s="203" t="e">
        <f>VLOOKUP($A81,INICIO_BARRA!$A$6:$R$130,9,FALSE)</f>
        <v>#N/A</v>
      </c>
      <c r="AL81" s="203" t="e">
        <f>VLOOKUP($A81,INICIO_BARRA!$A$6:$R$130,10,FALSE)</f>
        <v>#N/A</v>
      </c>
      <c r="AM81" s="203" t="str">
        <f>IFERROR(VLOOKUP($A81,REPOSICIONES_BARRA!$A$6:$I$130,6,FALSE),"")</f>
        <v/>
      </c>
      <c r="AN81" s="315" t="e">
        <f t="shared" si="74"/>
        <v>#N/A</v>
      </c>
      <c r="AO81" s="316" t="e">
        <f t="shared" si="75"/>
        <v>#N/A</v>
      </c>
      <c r="AP81" s="317" t="str">
        <f>IFERROR(IFERROR(VLOOKUP($A81,VENTAS!$H$2:$O$201,5,FALSE),"")/$C81,"")</f>
        <v/>
      </c>
      <c r="AQ81" s="111"/>
      <c r="AR81" s="203" t="e">
        <f>VLOOKUP($A81,INICIO_BARRA!$A$6:$R$130,11,FALSE)</f>
        <v>#N/A</v>
      </c>
      <c r="AS81" s="203" t="e">
        <f>VLOOKUP($A81,INICIO_BARRA!$A$6:$R$130,12,FALSE)</f>
        <v>#N/A</v>
      </c>
      <c r="AT81" s="11"/>
      <c r="AU81" s="94" t="str">
        <f>IFERROR(IFERROR(IF(AT81&gt;0,"",AT81*VLOOKUP($A81,'VALOR I.'!$B$6:$K$418,10,FALSE)),"")*$C81,"")</f>
        <v/>
      </c>
      <c r="AV81" s="203" t="e">
        <f>VLOOKUP($A81,INICIO_BARRA!$A$6:$R$130,11,FALSE)</f>
        <v>#N/A</v>
      </c>
      <c r="AW81" s="203" t="e">
        <f>VLOOKUP($A81,INICIO_BARRA!$A$6:$R$130,12,FALSE)</f>
        <v>#N/A</v>
      </c>
      <c r="AX81" s="203" t="str">
        <f>IFERROR(VLOOKUP($A81,REPOSICIONES_BARRA!$A$6:$I$130,7,FALSE),"")</f>
        <v/>
      </c>
      <c r="AY81" s="315" t="e">
        <f t="shared" si="76"/>
        <v>#N/A</v>
      </c>
      <c r="AZ81" s="316" t="e">
        <f t="shared" si="77"/>
        <v>#N/A</v>
      </c>
      <c r="BA81" s="317" t="str">
        <f>IFERROR(IFERROR(VLOOKUP($A81,VENTAS!$H$2:$O$201,6,FALSE),"")/$C81,"")</f>
        <v/>
      </c>
      <c r="BB81" s="111"/>
      <c r="BC81" s="203" t="e">
        <f>VLOOKUP($A81,INICIO_BARRA!$A$6:$R$130,13,FALSE)</f>
        <v>#N/A</v>
      </c>
      <c r="BD81" s="203" t="e">
        <f>VLOOKUP($A81,INICIO_BARRA!$A$6:$R$130,14,FALSE)</f>
        <v>#N/A</v>
      </c>
      <c r="BE81" s="11"/>
      <c r="BF81" s="94" t="str">
        <f>IFERROR(IFERROR(IF(BE81&gt;0,"",BE81*VLOOKUP($A81,'VALOR I.'!$B$6:$K$418,10,FALSE)),"")*$C81,"")</f>
        <v/>
      </c>
      <c r="BG81" s="203" t="e">
        <f>VLOOKUP($A81,INICIO_BARRA!$A$6:$R$130,13,FALSE)</f>
        <v>#N/A</v>
      </c>
      <c r="BH81" s="203" t="e">
        <f>VLOOKUP($A81,INICIO_BARRA!$A$6:$R$130,14,FALSE)</f>
        <v>#N/A</v>
      </c>
      <c r="BI81" s="203" t="str">
        <f>IFERROR(VLOOKUP($A81,REPOSICIONES_BARRA!$A$6:$I$130,8,FALSE),"")</f>
        <v/>
      </c>
      <c r="BJ81" s="315" t="e">
        <f t="shared" si="78"/>
        <v>#N/A</v>
      </c>
      <c r="BK81" s="316" t="e">
        <f t="shared" si="79"/>
        <v>#N/A</v>
      </c>
      <c r="BL81" s="317" t="str">
        <f>IFERROR(IFERROR(VLOOKUP($A81,VENTAS!$H$2:$O$201,7,FALSE),"")/$C81,"")</f>
        <v/>
      </c>
      <c r="BM81" s="111"/>
      <c r="BN81" s="203" t="e">
        <f>VLOOKUP($A81,INICIO_BARRA!$A$6:$R$130,15,FALSE)</f>
        <v>#N/A</v>
      </c>
      <c r="BO81" s="203" t="e">
        <f>VLOOKUP($A81,INICIO_BARRA!$A$6:$R$130,16,FALSE)</f>
        <v>#N/A</v>
      </c>
      <c r="BP81" s="11"/>
      <c r="BQ81" s="94" t="str">
        <f>IFERROR(IFERROR(IF(BP81&gt;0,"",BP81*VLOOKUP($A81,'VALOR I.'!$B$6:$K$418,10,FALSE)),"")*$C81,"")</f>
        <v/>
      </c>
      <c r="BR81" s="203" t="e">
        <f>VLOOKUP($A81,INICIO_BARRA!$A$6:$R$130,15,FALSE)</f>
        <v>#N/A</v>
      </c>
      <c r="BS81" s="203" t="e">
        <f>VLOOKUP($A81,INICIO_BARRA!$A$6:$R$130,16,FALSE)</f>
        <v>#N/A</v>
      </c>
      <c r="BT81" s="203" t="str">
        <f>IFERROR(VLOOKUP($A81,REPOSICIONES_BARRA!$A$6:$I$130,9,FALSE),"")</f>
        <v/>
      </c>
      <c r="BU81" s="315" t="e">
        <f t="shared" si="82"/>
        <v>#N/A</v>
      </c>
      <c r="BV81" s="316" t="e">
        <f t="shared" si="83"/>
        <v>#N/A</v>
      </c>
      <c r="BW81" s="317" t="str">
        <f>IFERROR(IFERROR(VLOOKUP($A81,VENTAS!$H$2:$O$201,8,FALSE),"")/$C81,"")</f>
        <v/>
      </c>
      <c r="BX81" s="111"/>
      <c r="BY81" s="203" t="e">
        <f>VLOOKUP($A81,INICIO_BARRA!$A$6:$R$130,17,FALSE)</f>
        <v>#N/A</v>
      </c>
      <c r="BZ81" s="203" t="e">
        <f>VLOOKUP($A81,INICIO_BARRA!$A$6:$R$130,18,FALSE)</f>
        <v>#N/A</v>
      </c>
      <c r="CA81" s="11"/>
      <c r="CB81" s="94" t="str">
        <f>IFERROR(IFERROR(IF(CA81&gt;0,"",CA81*VLOOKUP($A81,'VALOR I.'!$B$6:$K$418,10,FALSE)),"")*$C81,"")</f>
        <v/>
      </c>
    </row>
    <row r="82" spans="1:80" s="7" customFormat="1" ht="30" hidden="1" customHeight="1" x14ac:dyDescent="0.45">
      <c r="A82" s="3"/>
      <c r="B82" s="24"/>
      <c r="C82" s="132"/>
      <c r="D82" s="203" t="e">
        <f>VLOOKUP($A82,INICIO_BARRA!$A$6:$R$130,3,FALSE)</f>
        <v>#N/A</v>
      </c>
      <c r="E82" s="203" t="e">
        <f>VLOOKUP($A82,INICIO_BARRA!$A$6:$R$130,4,FALSE)</f>
        <v>#N/A</v>
      </c>
      <c r="F82" s="203" t="str">
        <f>IFERROR(VLOOKUP($A82,REPOSICIONES_BARRA!$A$6:$I$130,3,FALSE),"")</f>
        <v/>
      </c>
      <c r="G82" s="315" t="e">
        <f t="shared" si="80"/>
        <v>#N/A</v>
      </c>
      <c r="H82" s="316" t="e">
        <f t="shared" si="81"/>
        <v>#N/A</v>
      </c>
      <c r="I82" s="317" t="str">
        <f>IFERROR(IFERROR(VLOOKUP($A82,VENTAS!$H$2:$O$201,2,FALSE),"")/$C82,"")</f>
        <v/>
      </c>
      <c r="J82" s="111"/>
      <c r="K82" s="203" t="e">
        <f>VLOOKUP($A82,INICIO_BARRA!$A$6:$R$130,5,FALSE)</f>
        <v>#N/A</v>
      </c>
      <c r="L82" s="203" t="e">
        <f>VLOOKUP($A82,INICIO_BARRA!$A$6:$R$130,6,FALSE)</f>
        <v>#N/A</v>
      </c>
      <c r="M82" s="11"/>
      <c r="N82" s="204" t="str">
        <f>IFERROR(IFERROR(IF(M82&gt;0,"",M82*VLOOKUP($A82,'VALOR I.'!$B$6:$K$418,10,FALSE)),"")*$C82,"")</f>
        <v/>
      </c>
      <c r="O82" s="203" t="e">
        <f>VLOOKUP($A82,INICIO_BARRA!$A$6:$R$130,5,FALSE)</f>
        <v>#N/A</v>
      </c>
      <c r="P82" s="203" t="e">
        <f>VLOOKUP($A82,INICIO_BARRA!$A$6:$R$130,6,FALSE)</f>
        <v>#N/A</v>
      </c>
      <c r="Q82" s="203" t="str">
        <f>IFERROR(VLOOKUP($A82,REPOSICIONES_BARRA!$A$6:$I$130,4,FALSE),"")</f>
        <v/>
      </c>
      <c r="R82" s="315" t="e">
        <f t="shared" si="70"/>
        <v>#N/A</v>
      </c>
      <c r="S82" s="316" t="e">
        <f t="shared" si="71"/>
        <v>#N/A</v>
      </c>
      <c r="T82" s="317" t="str">
        <f>IFERROR(IFERROR(VLOOKUP($A82,VENTAS!$H$2:$O$201,3,FALSE),"")/$C82,"")</f>
        <v/>
      </c>
      <c r="U82" s="111"/>
      <c r="V82" s="203" t="e">
        <f>VLOOKUP($A82,INICIO_BARRA!$A$6:$R$130,7,FALSE)</f>
        <v>#N/A</v>
      </c>
      <c r="W82" s="203" t="e">
        <f>VLOOKUP($A82,INICIO_BARRA!$A$6:$R$130,8,FALSE)</f>
        <v>#N/A</v>
      </c>
      <c r="X82" s="11"/>
      <c r="Y82" s="204" t="str">
        <f>IFERROR(IFERROR(IF(X82&gt;0,"",X82*VLOOKUP($A82,'VALOR I.'!$B$6:$K$418,10,FALSE)),"")*$C82,"")</f>
        <v/>
      </c>
      <c r="Z82" s="203" t="e">
        <f>VLOOKUP($A82,INICIO_BARRA!$A$6:$R$130,7,FALSE)</f>
        <v>#N/A</v>
      </c>
      <c r="AA82" s="203" t="e">
        <f>VLOOKUP($A82,INICIO_BARRA!$A$6:$R$130,8,FALSE)</f>
        <v>#N/A</v>
      </c>
      <c r="AB82" s="203" t="str">
        <f>IFERROR(VLOOKUP($A82,REPOSICIONES_BARRA!$A$6:$I$130,5,FALSE),"")</f>
        <v/>
      </c>
      <c r="AC82" s="315" t="e">
        <f t="shared" si="72"/>
        <v>#N/A</v>
      </c>
      <c r="AD82" s="316" t="e">
        <f t="shared" si="73"/>
        <v>#N/A</v>
      </c>
      <c r="AE82" s="317" t="str">
        <f>IFERROR(IFERROR(VLOOKUP($A82,VENTAS!$H$2:$O$201,4,FALSE),"")/$C82,"")</f>
        <v/>
      </c>
      <c r="AF82" s="111"/>
      <c r="AG82" s="203" t="e">
        <f>VLOOKUP($A82,INICIO_BARRA!$A$6:$R$130,9,FALSE)</f>
        <v>#N/A</v>
      </c>
      <c r="AH82" s="203" t="e">
        <f>VLOOKUP($A82,INICIO_BARRA!$A$6:$R$130,10,FALSE)</f>
        <v>#N/A</v>
      </c>
      <c r="AI82" s="11"/>
      <c r="AJ82" s="94" t="str">
        <f>IFERROR(IFERROR(IF(AI82&gt;0,"",AI82*VLOOKUP($A82,'VALOR I.'!$B$6:$K$418,10,FALSE)),"")*$C82,"")</f>
        <v/>
      </c>
      <c r="AK82" s="203" t="e">
        <f>VLOOKUP($A82,INICIO_BARRA!$A$6:$R$130,9,FALSE)</f>
        <v>#N/A</v>
      </c>
      <c r="AL82" s="203" t="e">
        <f>VLOOKUP($A82,INICIO_BARRA!$A$6:$R$130,10,FALSE)</f>
        <v>#N/A</v>
      </c>
      <c r="AM82" s="203" t="str">
        <f>IFERROR(VLOOKUP($A82,REPOSICIONES_BARRA!$A$6:$I$130,6,FALSE),"")</f>
        <v/>
      </c>
      <c r="AN82" s="315" t="e">
        <f t="shared" si="74"/>
        <v>#N/A</v>
      </c>
      <c r="AO82" s="316" t="e">
        <f t="shared" si="75"/>
        <v>#N/A</v>
      </c>
      <c r="AP82" s="317" t="str">
        <f>IFERROR(IFERROR(VLOOKUP($A82,VENTAS!$H$2:$O$201,5,FALSE),"")/$C82,"")</f>
        <v/>
      </c>
      <c r="AQ82" s="111"/>
      <c r="AR82" s="203" t="e">
        <f>VLOOKUP($A82,INICIO_BARRA!$A$6:$R$130,11,FALSE)</f>
        <v>#N/A</v>
      </c>
      <c r="AS82" s="203" t="e">
        <f>VLOOKUP($A82,INICIO_BARRA!$A$6:$R$130,12,FALSE)</f>
        <v>#N/A</v>
      </c>
      <c r="AT82" s="11"/>
      <c r="AU82" s="94" t="str">
        <f>IFERROR(IFERROR(IF(AT82&gt;0,"",AT82*VLOOKUP($A82,'VALOR I.'!$B$6:$K$418,10,FALSE)),"")*$C82,"")</f>
        <v/>
      </c>
      <c r="AV82" s="203" t="e">
        <f>VLOOKUP($A82,INICIO_BARRA!$A$6:$R$130,11,FALSE)</f>
        <v>#N/A</v>
      </c>
      <c r="AW82" s="203" t="e">
        <f>VLOOKUP($A82,INICIO_BARRA!$A$6:$R$130,12,FALSE)</f>
        <v>#N/A</v>
      </c>
      <c r="AX82" s="203" t="str">
        <f>IFERROR(VLOOKUP($A82,REPOSICIONES_BARRA!$A$6:$I$130,7,FALSE),"")</f>
        <v/>
      </c>
      <c r="AY82" s="315" t="e">
        <f t="shared" si="76"/>
        <v>#N/A</v>
      </c>
      <c r="AZ82" s="316" t="e">
        <f t="shared" si="77"/>
        <v>#N/A</v>
      </c>
      <c r="BA82" s="317" t="str">
        <f>IFERROR(IFERROR(VLOOKUP($A82,VENTAS!$H$2:$O$201,6,FALSE),"")/$C82,"")</f>
        <v/>
      </c>
      <c r="BB82" s="111"/>
      <c r="BC82" s="203" t="e">
        <f>VLOOKUP($A82,INICIO_BARRA!$A$6:$R$130,13,FALSE)</f>
        <v>#N/A</v>
      </c>
      <c r="BD82" s="203" t="e">
        <f>VLOOKUP($A82,INICIO_BARRA!$A$6:$R$130,14,FALSE)</f>
        <v>#N/A</v>
      </c>
      <c r="BE82" s="11"/>
      <c r="BF82" s="94" t="str">
        <f>IFERROR(IFERROR(IF(BE82&gt;0,"",BE82*VLOOKUP($A82,'VALOR I.'!$B$6:$K$418,10,FALSE)),"")*$C82,"")</f>
        <v/>
      </c>
      <c r="BG82" s="203" t="e">
        <f>VLOOKUP($A82,INICIO_BARRA!$A$6:$R$130,13,FALSE)</f>
        <v>#N/A</v>
      </c>
      <c r="BH82" s="203" t="e">
        <f>VLOOKUP($A82,INICIO_BARRA!$A$6:$R$130,14,FALSE)</f>
        <v>#N/A</v>
      </c>
      <c r="BI82" s="203" t="str">
        <f>IFERROR(VLOOKUP($A82,REPOSICIONES_BARRA!$A$6:$I$130,8,FALSE),"")</f>
        <v/>
      </c>
      <c r="BJ82" s="315" t="e">
        <f t="shared" si="78"/>
        <v>#N/A</v>
      </c>
      <c r="BK82" s="316" t="e">
        <f t="shared" si="79"/>
        <v>#N/A</v>
      </c>
      <c r="BL82" s="317" t="str">
        <f>IFERROR(IFERROR(VLOOKUP($A82,VENTAS!$H$2:$O$201,7,FALSE),"")/$C82,"")</f>
        <v/>
      </c>
      <c r="BM82" s="111"/>
      <c r="BN82" s="203" t="e">
        <f>VLOOKUP($A82,INICIO_BARRA!$A$6:$R$130,15,FALSE)</f>
        <v>#N/A</v>
      </c>
      <c r="BO82" s="203" t="e">
        <f>VLOOKUP($A82,INICIO_BARRA!$A$6:$R$130,16,FALSE)</f>
        <v>#N/A</v>
      </c>
      <c r="BP82" s="11"/>
      <c r="BQ82" s="94" t="str">
        <f>IFERROR(IFERROR(IF(BP82&gt;0,"",BP82*VLOOKUP($A82,'VALOR I.'!$B$6:$K$418,10,FALSE)),"")*$C82,"")</f>
        <v/>
      </c>
      <c r="BR82" s="203" t="e">
        <f>VLOOKUP($A82,INICIO_BARRA!$A$6:$R$130,15,FALSE)</f>
        <v>#N/A</v>
      </c>
      <c r="BS82" s="203" t="e">
        <f>VLOOKUP($A82,INICIO_BARRA!$A$6:$R$130,16,FALSE)</f>
        <v>#N/A</v>
      </c>
      <c r="BT82" s="203" t="str">
        <f>IFERROR(VLOOKUP($A82,REPOSICIONES_BARRA!$A$6:$I$130,9,FALSE),"")</f>
        <v/>
      </c>
      <c r="BU82" s="315" t="e">
        <f t="shared" si="82"/>
        <v>#N/A</v>
      </c>
      <c r="BV82" s="316" t="e">
        <f t="shared" si="83"/>
        <v>#N/A</v>
      </c>
      <c r="BW82" s="317" t="str">
        <f>IFERROR(IFERROR(VLOOKUP($A82,VENTAS!$H$2:$O$201,8,FALSE),"")/$C82,"")</f>
        <v/>
      </c>
      <c r="BX82" s="111"/>
      <c r="BY82" s="203" t="e">
        <f>VLOOKUP($A82,INICIO_BARRA!$A$6:$R$130,17,FALSE)</f>
        <v>#N/A</v>
      </c>
      <c r="BZ82" s="203" t="e">
        <f>VLOOKUP($A82,INICIO_BARRA!$A$6:$R$130,18,FALSE)</f>
        <v>#N/A</v>
      </c>
      <c r="CA82" s="11"/>
      <c r="CB82" s="94" t="str">
        <f>IFERROR(IFERROR(IF(CA82&gt;0,"",CA82*VLOOKUP($A82,'VALOR I.'!$B$6:$K$418,10,FALSE)),"")*$C82,"")</f>
        <v/>
      </c>
    </row>
    <row r="83" spans="1:80" s="7" customFormat="1" ht="30" hidden="1" customHeight="1" x14ac:dyDescent="0.45">
      <c r="A83" s="3"/>
      <c r="B83" s="35"/>
      <c r="C83" s="140"/>
      <c r="D83" s="203" t="e">
        <f>VLOOKUP($A83,INICIO_BARRA!$A$6:$R$130,3,FALSE)</f>
        <v>#N/A</v>
      </c>
      <c r="E83" s="203" t="e">
        <f>VLOOKUP($A83,INICIO_BARRA!$A$6:$R$130,4,FALSE)</f>
        <v>#N/A</v>
      </c>
      <c r="F83" s="203" t="str">
        <f>IFERROR(VLOOKUP($A83,REPOSICIONES_BARRA!$A$6:$I$130,3,FALSE),"")</f>
        <v/>
      </c>
      <c r="G83" s="315" t="e">
        <f t="shared" si="80"/>
        <v>#N/A</v>
      </c>
      <c r="H83" s="316" t="e">
        <f t="shared" si="81"/>
        <v>#N/A</v>
      </c>
      <c r="I83" s="317" t="str">
        <f>IFERROR(IFERROR(VLOOKUP($A83,VENTAS!$H$2:$O$201,2,FALSE),"")/$C83,"")</f>
        <v/>
      </c>
      <c r="J83" s="111"/>
      <c r="K83" s="203" t="e">
        <f>VLOOKUP($A83,INICIO_BARRA!$A$6:$R$130,5,FALSE)</f>
        <v>#N/A</v>
      </c>
      <c r="L83" s="203" t="e">
        <f>VLOOKUP($A83,INICIO_BARRA!$A$6:$R$130,6,FALSE)</f>
        <v>#N/A</v>
      </c>
      <c r="M83" s="11"/>
      <c r="N83" s="204" t="str">
        <f>IFERROR(IFERROR(IF(M83&gt;0,"",M83*VLOOKUP($A83,'VALOR I.'!$B$6:$K$418,10,FALSE)),"")*$C83,"")</f>
        <v/>
      </c>
      <c r="O83" s="203" t="e">
        <f>VLOOKUP($A83,INICIO_BARRA!$A$6:$R$130,5,FALSE)</f>
        <v>#N/A</v>
      </c>
      <c r="P83" s="203" t="e">
        <f>VLOOKUP($A83,INICIO_BARRA!$A$6:$R$130,6,FALSE)</f>
        <v>#N/A</v>
      </c>
      <c r="Q83" s="203" t="str">
        <f>IFERROR(VLOOKUP($A83,REPOSICIONES_BARRA!$A$6:$I$130,4,FALSE),"")</f>
        <v/>
      </c>
      <c r="R83" s="315" t="e">
        <f t="shared" si="70"/>
        <v>#N/A</v>
      </c>
      <c r="S83" s="316" t="e">
        <f t="shared" si="71"/>
        <v>#N/A</v>
      </c>
      <c r="T83" s="317" t="str">
        <f>IFERROR(IFERROR(VLOOKUP($A83,VENTAS!$H$2:$O$201,3,FALSE),"")/$C83,"")</f>
        <v/>
      </c>
      <c r="U83" s="111"/>
      <c r="V83" s="203" t="e">
        <f>VLOOKUP($A83,INICIO_BARRA!$A$6:$R$130,7,FALSE)</f>
        <v>#N/A</v>
      </c>
      <c r="W83" s="203" t="e">
        <f>VLOOKUP($A83,INICIO_BARRA!$A$6:$R$130,8,FALSE)</f>
        <v>#N/A</v>
      </c>
      <c r="X83" s="11"/>
      <c r="Y83" s="204" t="str">
        <f>IFERROR(IFERROR(IF(X83&gt;0,"",X83*VLOOKUP($A83,'VALOR I.'!$B$6:$K$418,10,FALSE)),"")*$C83,"")</f>
        <v/>
      </c>
      <c r="Z83" s="203" t="e">
        <f>VLOOKUP($A83,INICIO_BARRA!$A$6:$R$130,7,FALSE)</f>
        <v>#N/A</v>
      </c>
      <c r="AA83" s="203" t="e">
        <f>VLOOKUP($A83,INICIO_BARRA!$A$6:$R$130,8,FALSE)</f>
        <v>#N/A</v>
      </c>
      <c r="AB83" s="203" t="str">
        <f>IFERROR(VLOOKUP($A83,REPOSICIONES_BARRA!$A$6:$I$130,5,FALSE),"")</f>
        <v/>
      </c>
      <c r="AC83" s="315" t="e">
        <f t="shared" si="72"/>
        <v>#N/A</v>
      </c>
      <c r="AD83" s="316" t="e">
        <f t="shared" si="73"/>
        <v>#N/A</v>
      </c>
      <c r="AE83" s="317" t="str">
        <f>IFERROR(IFERROR(VLOOKUP($A83,VENTAS!$H$2:$O$201,4,FALSE),"")/$C83,"")</f>
        <v/>
      </c>
      <c r="AF83" s="111"/>
      <c r="AG83" s="203" t="e">
        <f>VLOOKUP($A83,INICIO_BARRA!$A$6:$R$130,9,FALSE)</f>
        <v>#N/A</v>
      </c>
      <c r="AH83" s="203" t="e">
        <f>VLOOKUP($A83,INICIO_BARRA!$A$6:$R$130,10,FALSE)</f>
        <v>#N/A</v>
      </c>
      <c r="AI83" s="11"/>
      <c r="AJ83" s="94" t="str">
        <f>IFERROR(IFERROR(IF(AI83&gt;0,"",AI83*VLOOKUP($A83,'VALOR I.'!$B$6:$K$418,10,FALSE)),"")*$C83,"")</f>
        <v/>
      </c>
      <c r="AK83" s="203" t="e">
        <f>VLOOKUP($A83,INICIO_BARRA!$A$6:$R$130,9,FALSE)</f>
        <v>#N/A</v>
      </c>
      <c r="AL83" s="203" t="e">
        <f>VLOOKUP($A83,INICIO_BARRA!$A$6:$R$130,10,FALSE)</f>
        <v>#N/A</v>
      </c>
      <c r="AM83" s="203" t="str">
        <f>IFERROR(VLOOKUP($A83,REPOSICIONES_BARRA!$A$6:$I$130,6,FALSE),"")</f>
        <v/>
      </c>
      <c r="AN83" s="315" t="e">
        <f t="shared" si="74"/>
        <v>#N/A</v>
      </c>
      <c r="AO83" s="316" t="e">
        <f t="shared" si="75"/>
        <v>#N/A</v>
      </c>
      <c r="AP83" s="317" t="str">
        <f>IFERROR(IFERROR(VLOOKUP($A83,VENTAS!$H$2:$O$201,5,FALSE),"")/$C83,"")</f>
        <v/>
      </c>
      <c r="AQ83" s="111"/>
      <c r="AR83" s="203" t="e">
        <f>VLOOKUP($A83,INICIO_BARRA!$A$6:$R$130,11,FALSE)</f>
        <v>#N/A</v>
      </c>
      <c r="AS83" s="203" t="e">
        <f>VLOOKUP($A83,INICIO_BARRA!$A$6:$R$130,12,FALSE)</f>
        <v>#N/A</v>
      </c>
      <c r="AT83" s="11"/>
      <c r="AU83" s="94" t="str">
        <f>IFERROR(IFERROR(IF(AT83&gt;0,"",AT83*VLOOKUP($A83,'VALOR I.'!$B$6:$K$418,10,FALSE)),"")*$C83,"")</f>
        <v/>
      </c>
      <c r="AV83" s="203" t="e">
        <f>VLOOKUP($A83,INICIO_BARRA!$A$6:$R$130,11,FALSE)</f>
        <v>#N/A</v>
      </c>
      <c r="AW83" s="203" t="e">
        <f>VLOOKUP($A83,INICIO_BARRA!$A$6:$R$130,12,FALSE)</f>
        <v>#N/A</v>
      </c>
      <c r="AX83" s="203" t="str">
        <f>IFERROR(VLOOKUP($A83,REPOSICIONES_BARRA!$A$6:$I$130,7,FALSE),"")</f>
        <v/>
      </c>
      <c r="AY83" s="315" t="e">
        <f t="shared" si="76"/>
        <v>#N/A</v>
      </c>
      <c r="AZ83" s="316" t="e">
        <f t="shared" si="77"/>
        <v>#N/A</v>
      </c>
      <c r="BA83" s="317" t="str">
        <f>IFERROR(IFERROR(VLOOKUP($A83,VENTAS!$H$2:$O$201,6,FALSE),"")/$C83,"")</f>
        <v/>
      </c>
      <c r="BB83" s="111"/>
      <c r="BC83" s="203" t="e">
        <f>VLOOKUP($A83,INICIO_BARRA!$A$6:$R$130,13,FALSE)</f>
        <v>#N/A</v>
      </c>
      <c r="BD83" s="203" t="e">
        <f>VLOOKUP($A83,INICIO_BARRA!$A$6:$R$130,14,FALSE)</f>
        <v>#N/A</v>
      </c>
      <c r="BE83" s="11"/>
      <c r="BF83" s="94" t="str">
        <f>IFERROR(IFERROR(IF(BE83&gt;0,"",BE83*VLOOKUP($A83,'VALOR I.'!$B$6:$K$418,10,FALSE)),"")*$C83,"")</f>
        <v/>
      </c>
      <c r="BG83" s="203" t="e">
        <f>VLOOKUP($A83,INICIO_BARRA!$A$6:$R$130,13,FALSE)</f>
        <v>#N/A</v>
      </c>
      <c r="BH83" s="203" t="e">
        <f>VLOOKUP($A83,INICIO_BARRA!$A$6:$R$130,14,FALSE)</f>
        <v>#N/A</v>
      </c>
      <c r="BI83" s="203" t="str">
        <f>IFERROR(VLOOKUP($A83,REPOSICIONES_BARRA!$A$6:$I$130,8,FALSE),"")</f>
        <v/>
      </c>
      <c r="BJ83" s="315" t="e">
        <f t="shared" si="78"/>
        <v>#N/A</v>
      </c>
      <c r="BK83" s="316" t="e">
        <f t="shared" si="79"/>
        <v>#N/A</v>
      </c>
      <c r="BL83" s="317" t="str">
        <f>IFERROR(IFERROR(VLOOKUP($A83,VENTAS!$H$2:$O$201,7,FALSE),"")/$C83,"")</f>
        <v/>
      </c>
      <c r="BM83" s="111"/>
      <c r="BN83" s="203" t="e">
        <f>VLOOKUP($A83,INICIO_BARRA!$A$6:$R$130,15,FALSE)</f>
        <v>#N/A</v>
      </c>
      <c r="BO83" s="203" t="e">
        <f>VLOOKUP($A83,INICIO_BARRA!$A$6:$R$130,16,FALSE)</f>
        <v>#N/A</v>
      </c>
      <c r="BP83" s="11"/>
      <c r="BQ83" s="94" t="str">
        <f>IFERROR(IFERROR(IF(BP83&gt;0,"",BP83*VLOOKUP($A83,'VALOR I.'!$B$6:$K$418,10,FALSE)),"")*$C83,"")</f>
        <v/>
      </c>
      <c r="BR83" s="203" t="e">
        <f>VLOOKUP($A83,INICIO_BARRA!$A$6:$R$130,15,FALSE)</f>
        <v>#N/A</v>
      </c>
      <c r="BS83" s="203" t="e">
        <f>VLOOKUP($A83,INICIO_BARRA!$A$6:$R$130,16,FALSE)</f>
        <v>#N/A</v>
      </c>
      <c r="BT83" s="203" t="str">
        <f>IFERROR(VLOOKUP($A83,REPOSICIONES_BARRA!$A$6:$I$130,9,FALSE),"")</f>
        <v/>
      </c>
      <c r="BU83" s="315" t="e">
        <f t="shared" si="82"/>
        <v>#N/A</v>
      </c>
      <c r="BV83" s="316" t="e">
        <f t="shared" si="83"/>
        <v>#N/A</v>
      </c>
      <c r="BW83" s="317" t="str">
        <f>IFERROR(IFERROR(VLOOKUP($A83,VENTAS!$H$2:$O$201,8,FALSE),"")/$C83,"")</f>
        <v/>
      </c>
      <c r="BX83" s="111"/>
      <c r="BY83" s="203" t="e">
        <f>VLOOKUP($A83,INICIO_BARRA!$A$6:$R$130,17,FALSE)</f>
        <v>#N/A</v>
      </c>
      <c r="BZ83" s="203" t="e">
        <f>VLOOKUP($A83,INICIO_BARRA!$A$6:$R$130,18,FALSE)</f>
        <v>#N/A</v>
      </c>
      <c r="CA83" s="11"/>
      <c r="CB83" s="94" t="str">
        <f>IFERROR(IFERROR(IF(CA83&gt;0,"",CA83*VLOOKUP($A83,'VALOR I.'!$B$6:$K$418,10,FALSE)),"")*$C83,"")</f>
        <v/>
      </c>
    </row>
    <row r="84" spans="1:80" s="7" customFormat="1" ht="30" hidden="1" customHeight="1" x14ac:dyDescent="0.45">
      <c r="A84" s="3"/>
      <c r="B84" s="28"/>
      <c r="C84" s="141"/>
      <c r="D84" s="203" t="e">
        <f>VLOOKUP($A84,INICIO_BARRA!$A$6:$R$130,3,FALSE)</f>
        <v>#N/A</v>
      </c>
      <c r="E84" s="203" t="e">
        <f>VLOOKUP($A84,INICIO_BARRA!$A$6:$R$130,4,FALSE)</f>
        <v>#N/A</v>
      </c>
      <c r="F84" s="203" t="str">
        <f>IFERROR(VLOOKUP($A84,REPOSICIONES_BARRA!$A$6:$I$130,3,FALSE),"")</f>
        <v/>
      </c>
      <c r="G84" s="315" t="e">
        <f t="shared" si="80"/>
        <v>#N/A</v>
      </c>
      <c r="H84" s="316" t="e">
        <f t="shared" si="81"/>
        <v>#N/A</v>
      </c>
      <c r="I84" s="317" t="str">
        <f>IFERROR(IFERROR(VLOOKUP($A84,VENTAS!$H$2:$O$201,2,FALSE),"")/$C84,"")</f>
        <v/>
      </c>
      <c r="J84" s="111"/>
      <c r="K84" s="203" t="e">
        <f>VLOOKUP($A84,INICIO_BARRA!$A$6:$R$130,5,FALSE)</f>
        <v>#N/A</v>
      </c>
      <c r="L84" s="203" t="e">
        <f>VLOOKUP($A84,INICIO_BARRA!$A$6:$R$130,6,FALSE)</f>
        <v>#N/A</v>
      </c>
      <c r="M84" s="11"/>
      <c r="N84" s="204" t="str">
        <f>IFERROR(IFERROR(IF(M84&gt;0,"",M84*VLOOKUP($A84,'VALOR I.'!$B$6:$K$418,10,FALSE)),"")*$C84,"")</f>
        <v/>
      </c>
      <c r="O84" s="203" t="e">
        <f>VLOOKUP($A84,INICIO_BARRA!$A$6:$R$130,5,FALSE)</f>
        <v>#N/A</v>
      </c>
      <c r="P84" s="203" t="e">
        <f>VLOOKUP($A84,INICIO_BARRA!$A$6:$R$130,6,FALSE)</f>
        <v>#N/A</v>
      </c>
      <c r="Q84" s="203" t="str">
        <f>IFERROR(VLOOKUP($A84,REPOSICIONES_BARRA!$A$6:$I$130,4,FALSE),"")</f>
        <v/>
      </c>
      <c r="R84" s="315" t="e">
        <f t="shared" si="70"/>
        <v>#N/A</v>
      </c>
      <c r="S84" s="316" t="e">
        <f t="shared" si="71"/>
        <v>#N/A</v>
      </c>
      <c r="T84" s="317" t="str">
        <f>IFERROR(IFERROR(VLOOKUP($A84,VENTAS!$H$2:$O$201,3,FALSE),"")/$C84,"")</f>
        <v/>
      </c>
      <c r="U84" s="111"/>
      <c r="V84" s="203" t="e">
        <f>VLOOKUP($A84,INICIO_BARRA!$A$6:$R$130,7,FALSE)</f>
        <v>#N/A</v>
      </c>
      <c r="W84" s="203" t="e">
        <f>VLOOKUP($A84,INICIO_BARRA!$A$6:$R$130,8,FALSE)</f>
        <v>#N/A</v>
      </c>
      <c r="X84" s="11"/>
      <c r="Y84" s="204" t="str">
        <f>IFERROR(IFERROR(IF(X84&gt;0,"",X84*VLOOKUP($A84,'VALOR I.'!$B$6:$K$418,10,FALSE)),"")*$C84,"")</f>
        <v/>
      </c>
      <c r="Z84" s="203" t="e">
        <f>VLOOKUP($A84,INICIO_BARRA!$A$6:$R$130,7,FALSE)</f>
        <v>#N/A</v>
      </c>
      <c r="AA84" s="203" t="e">
        <f>VLOOKUP($A84,INICIO_BARRA!$A$6:$R$130,8,FALSE)</f>
        <v>#N/A</v>
      </c>
      <c r="AB84" s="203" t="str">
        <f>IFERROR(VLOOKUP($A84,REPOSICIONES_BARRA!$A$6:$I$130,5,FALSE),"")</f>
        <v/>
      </c>
      <c r="AC84" s="315" t="e">
        <f t="shared" si="72"/>
        <v>#N/A</v>
      </c>
      <c r="AD84" s="316" t="e">
        <f t="shared" si="73"/>
        <v>#N/A</v>
      </c>
      <c r="AE84" s="317" t="str">
        <f>IFERROR(IFERROR(VLOOKUP($A84,VENTAS!$H$2:$O$201,4,FALSE),"")/$C84,"")</f>
        <v/>
      </c>
      <c r="AF84" s="111"/>
      <c r="AG84" s="203" t="e">
        <f>VLOOKUP($A84,INICIO_BARRA!$A$6:$R$130,9,FALSE)</f>
        <v>#N/A</v>
      </c>
      <c r="AH84" s="203" t="e">
        <f>VLOOKUP($A84,INICIO_BARRA!$A$6:$R$130,10,FALSE)</f>
        <v>#N/A</v>
      </c>
      <c r="AI84" s="11"/>
      <c r="AJ84" s="94" t="str">
        <f>IFERROR(IFERROR(IF(AI84&gt;0,"",AI84*VLOOKUP($A84,'VALOR I.'!$B$6:$K$418,10,FALSE)),"")*$C84,"")</f>
        <v/>
      </c>
      <c r="AK84" s="203" t="e">
        <f>VLOOKUP($A84,INICIO_BARRA!$A$6:$R$130,9,FALSE)</f>
        <v>#N/A</v>
      </c>
      <c r="AL84" s="203" t="e">
        <f>VLOOKUP($A84,INICIO_BARRA!$A$6:$R$130,10,FALSE)</f>
        <v>#N/A</v>
      </c>
      <c r="AM84" s="203" t="str">
        <f>IFERROR(VLOOKUP($A84,REPOSICIONES_BARRA!$A$6:$I$130,6,FALSE),"")</f>
        <v/>
      </c>
      <c r="AN84" s="315" t="e">
        <f t="shared" si="74"/>
        <v>#N/A</v>
      </c>
      <c r="AO84" s="316" t="e">
        <f t="shared" si="75"/>
        <v>#N/A</v>
      </c>
      <c r="AP84" s="317" t="str">
        <f>IFERROR(IFERROR(VLOOKUP($A84,VENTAS!$H$2:$O$201,5,FALSE),"")/$C84,"")</f>
        <v/>
      </c>
      <c r="AQ84" s="111"/>
      <c r="AR84" s="203" t="e">
        <f>VLOOKUP($A84,INICIO_BARRA!$A$6:$R$130,11,FALSE)</f>
        <v>#N/A</v>
      </c>
      <c r="AS84" s="203" t="e">
        <f>VLOOKUP($A84,INICIO_BARRA!$A$6:$R$130,12,FALSE)</f>
        <v>#N/A</v>
      </c>
      <c r="AT84" s="11"/>
      <c r="AU84" s="94" t="str">
        <f>IFERROR(IFERROR(IF(AT84&gt;0,"",AT84*VLOOKUP($A84,'VALOR I.'!$B$6:$K$418,10,FALSE)),"")*$C84,"")</f>
        <v/>
      </c>
      <c r="AV84" s="203" t="e">
        <f>VLOOKUP($A84,INICIO_BARRA!$A$6:$R$130,11,FALSE)</f>
        <v>#N/A</v>
      </c>
      <c r="AW84" s="203" t="e">
        <f>VLOOKUP($A84,INICIO_BARRA!$A$6:$R$130,12,FALSE)</f>
        <v>#N/A</v>
      </c>
      <c r="AX84" s="203" t="str">
        <f>IFERROR(VLOOKUP($A84,REPOSICIONES_BARRA!$A$6:$I$130,7,FALSE),"")</f>
        <v/>
      </c>
      <c r="AY84" s="315" t="e">
        <f t="shared" si="76"/>
        <v>#N/A</v>
      </c>
      <c r="AZ84" s="316" t="e">
        <f t="shared" si="77"/>
        <v>#N/A</v>
      </c>
      <c r="BA84" s="317" t="str">
        <f>IFERROR(IFERROR(VLOOKUP($A84,VENTAS!$H$2:$O$201,6,FALSE),"")/$C84,"")</f>
        <v/>
      </c>
      <c r="BB84" s="111"/>
      <c r="BC84" s="203" t="e">
        <f>VLOOKUP($A84,INICIO_BARRA!$A$6:$R$130,13,FALSE)</f>
        <v>#N/A</v>
      </c>
      <c r="BD84" s="203" t="e">
        <f>VLOOKUP($A84,INICIO_BARRA!$A$6:$R$130,14,FALSE)</f>
        <v>#N/A</v>
      </c>
      <c r="BE84" s="11"/>
      <c r="BF84" s="94" t="str">
        <f>IFERROR(IFERROR(IF(BE84&gt;0,"",BE84*VLOOKUP($A84,'VALOR I.'!$B$6:$K$418,10,FALSE)),"")*$C84,"")</f>
        <v/>
      </c>
      <c r="BG84" s="203" t="e">
        <f>VLOOKUP($A84,INICIO_BARRA!$A$6:$R$130,13,FALSE)</f>
        <v>#N/A</v>
      </c>
      <c r="BH84" s="203" t="e">
        <f>VLOOKUP($A84,INICIO_BARRA!$A$6:$R$130,14,FALSE)</f>
        <v>#N/A</v>
      </c>
      <c r="BI84" s="203" t="str">
        <f>IFERROR(VLOOKUP($A84,REPOSICIONES_BARRA!$A$6:$I$130,8,FALSE),"")</f>
        <v/>
      </c>
      <c r="BJ84" s="315" t="e">
        <f t="shared" si="78"/>
        <v>#N/A</v>
      </c>
      <c r="BK84" s="316" t="e">
        <f t="shared" si="79"/>
        <v>#N/A</v>
      </c>
      <c r="BL84" s="317" t="str">
        <f>IFERROR(IFERROR(VLOOKUP($A84,VENTAS!$H$2:$O$201,7,FALSE),"")/$C84,"")</f>
        <v/>
      </c>
      <c r="BM84" s="111"/>
      <c r="BN84" s="203" t="e">
        <f>VLOOKUP($A84,INICIO_BARRA!$A$6:$R$130,15,FALSE)</f>
        <v>#N/A</v>
      </c>
      <c r="BO84" s="203" t="e">
        <f>VLOOKUP($A84,INICIO_BARRA!$A$6:$R$130,16,FALSE)</f>
        <v>#N/A</v>
      </c>
      <c r="BP84" s="11"/>
      <c r="BQ84" s="94" t="str">
        <f>IFERROR(IFERROR(IF(BP84&gt;0,"",BP84*VLOOKUP($A84,'VALOR I.'!$B$6:$K$418,10,FALSE)),"")*$C84,"")</f>
        <v/>
      </c>
      <c r="BR84" s="203" t="e">
        <f>VLOOKUP($A84,INICIO_BARRA!$A$6:$R$130,15,FALSE)</f>
        <v>#N/A</v>
      </c>
      <c r="BS84" s="203" t="e">
        <f>VLOOKUP($A84,INICIO_BARRA!$A$6:$R$130,16,FALSE)</f>
        <v>#N/A</v>
      </c>
      <c r="BT84" s="203" t="str">
        <f>IFERROR(VLOOKUP($A84,REPOSICIONES_BARRA!$A$6:$I$130,9,FALSE),"")</f>
        <v/>
      </c>
      <c r="BU84" s="315" t="e">
        <f t="shared" si="82"/>
        <v>#N/A</v>
      </c>
      <c r="BV84" s="316" t="e">
        <f t="shared" si="83"/>
        <v>#N/A</v>
      </c>
      <c r="BW84" s="317" t="str">
        <f>IFERROR(IFERROR(VLOOKUP($A84,VENTAS!$H$2:$O$201,8,FALSE),"")/$C84,"")</f>
        <v/>
      </c>
      <c r="BX84" s="111"/>
      <c r="BY84" s="203" t="e">
        <f>VLOOKUP($A84,INICIO_BARRA!$A$6:$R$130,17,FALSE)</f>
        <v>#N/A</v>
      </c>
      <c r="BZ84" s="203" t="e">
        <f>VLOOKUP($A84,INICIO_BARRA!$A$6:$R$130,18,FALSE)</f>
        <v>#N/A</v>
      </c>
      <c r="CA84" s="11"/>
      <c r="CB84" s="94" t="str">
        <f>IFERROR(IFERROR(IF(CA84&gt;0,"",CA84*VLOOKUP($A84,'VALOR I.'!$B$6:$K$418,10,FALSE)),"")*$C84,"")</f>
        <v/>
      </c>
    </row>
    <row r="85" spans="1:80" s="7" customFormat="1" ht="30" hidden="1" customHeight="1" x14ac:dyDescent="0.45">
      <c r="A85" s="3"/>
      <c r="B85" s="31"/>
      <c r="C85" s="142"/>
      <c r="D85" s="203" t="e">
        <f>VLOOKUP($A85,INICIO_BARRA!$A$6:$R$130,3,FALSE)</f>
        <v>#N/A</v>
      </c>
      <c r="E85" s="203" t="e">
        <f>VLOOKUP($A85,INICIO_BARRA!$A$6:$R$130,4,FALSE)</f>
        <v>#N/A</v>
      </c>
      <c r="F85" s="203" t="str">
        <f>IFERROR(VLOOKUP($A85,REPOSICIONES_BARRA!$A$6:$I$130,3,FALSE),"")</f>
        <v/>
      </c>
      <c r="G85" s="315" t="e">
        <f t="shared" si="80"/>
        <v>#N/A</v>
      </c>
      <c r="H85" s="316" t="e">
        <f t="shared" si="81"/>
        <v>#N/A</v>
      </c>
      <c r="I85" s="317" t="str">
        <f>IFERROR(IFERROR(VLOOKUP($A85,VENTAS!$H$2:$O$201,2,FALSE),"")/$C85,"")</f>
        <v/>
      </c>
      <c r="J85" s="111"/>
      <c r="K85" s="203" t="e">
        <f>VLOOKUP($A85,INICIO_BARRA!$A$6:$R$130,5,FALSE)</f>
        <v>#N/A</v>
      </c>
      <c r="L85" s="203" t="e">
        <f>VLOOKUP($A85,INICIO_BARRA!$A$6:$R$130,6,FALSE)</f>
        <v>#N/A</v>
      </c>
      <c r="M85" s="11"/>
      <c r="N85" s="204" t="str">
        <f>IFERROR(IFERROR(IF(M85&gt;0,"",M85*VLOOKUP($A85,'VALOR I.'!$B$6:$K$418,10,FALSE)),"")*$C85,"")</f>
        <v/>
      </c>
      <c r="O85" s="203" t="e">
        <f>VLOOKUP($A85,INICIO_BARRA!$A$6:$R$130,5,FALSE)</f>
        <v>#N/A</v>
      </c>
      <c r="P85" s="203" t="e">
        <f>VLOOKUP($A85,INICIO_BARRA!$A$6:$R$130,6,FALSE)</f>
        <v>#N/A</v>
      </c>
      <c r="Q85" s="203" t="str">
        <f>IFERROR(VLOOKUP($A85,REPOSICIONES_BARRA!$A$6:$I$130,4,FALSE),"")</f>
        <v/>
      </c>
      <c r="R85" s="315" t="e">
        <f t="shared" si="70"/>
        <v>#N/A</v>
      </c>
      <c r="S85" s="316" t="e">
        <f t="shared" si="71"/>
        <v>#N/A</v>
      </c>
      <c r="T85" s="317" t="str">
        <f>IFERROR(IFERROR(VLOOKUP($A85,VENTAS!$H$2:$O$201,3,FALSE),"")/$C85,"")</f>
        <v/>
      </c>
      <c r="U85" s="111"/>
      <c r="V85" s="203" t="e">
        <f>VLOOKUP($A85,INICIO_BARRA!$A$6:$R$130,7,FALSE)</f>
        <v>#N/A</v>
      </c>
      <c r="W85" s="203" t="e">
        <f>VLOOKUP($A85,INICIO_BARRA!$A$6:$R$130,8,FALSE)</f>
        <v>#N/A</v>
      </c>
      <c r="X85" s="11"/>
      <c r="Y85" s="204" t="str">
        <f>IFERROR(IFERROR(IF(X85&gt;0,"",X85*VLOOKUP($A85,'VALOR I.'!$B$6:$K$418,10,FALSE)),"")*$C85,"")</f>
        <v/>
      </c>
      <c r="Z85" s="203" t="e">
        <f>VLOOKUP($A85,INICIO_BARRA!$A$6:$R$130,7,FALSE)</f>
        <v>#N/A</v>
      </c>
      <c r="AA85" s="203" t="e">
        <f>VLOOKUP($A85,INICIO_BARRA!$A$6:$R$130,8,FALSE)</f>
        <v>#N/A</v>
      </c>
      <c r="AB85" s="203" t="str">
        <f>IFERROR(VLOOKUP($A85,REPOSICIONES_BARRA!$A$6:$I$130,5,FALSE),"")</f>
        <v/>
      </c>
      <c r="AC85" s="315" t="e">
        <f t="shared" si="72"/>
        <v>#N/A</v>
      </c>
      <c r="AD85" s="316" t="e">
        <f t="shared" si="73"/>
        <v>#N/A</v>
      </c>
      <c r="AE85" s="317" t="str">
        <f>IFERROR(IFERROR(VLOOKUP($A85,VENTAS!$H$2:$O$201,4,FALSE),"")/$C85,"")</f>
        <v/>
      </c>
      <c r="AF85" s="111"/>
      <c r="AG85" s="203" t="e">
        <f>VLOOKUP($A85,INICIO_BARRA!$A$6:$R$130,9,FALSE)</f>
        <v>#N/A</v>
      </c>
      <c r="AH85" s="203" t="e">
        <f>VLOOKUP($A85,INICIO_BARRA!$A$6:$R$130,10,FALSE)</f>
        <v>#N/A</v>
      </c>
      <c r="AI85" s="11"/>
      <c r="AJ85" s="94" t="str">
        <f>IFERROR(IFERROR(IF(AI85&gt;0,"",AI85*VLOOKUP($A85,'VALOR I.'!$B$6:$K$418,10,FALSE)),"")*$C85,"")</f>
        <v/>
      </c>
      <c r="AK85" s="203" t="e">
        <f>VLOOKUP($A85,INICIO_BARRA!$A$6:$R$130,9,FALSE)</f>
        <v>#N/A</v>
      </c>
      <c r="AL85" s="203" t="e">
        <f>VLOOKUP($A85,INICIO_BARRA!$A$6:$R$130,10,FALSE)</f>
        <v>#N/A</v>
      </c>
      <c r="AM85" s="203" t="str">
        <f>IFERROR(VLOOKUP($A85,REPOSICIONES_BARRA!$A$6:$I$130,6,FALSE),"")</f>
        <v/>
      </c>
      <c r="AN85" s="315" t="e">
        <f t="shared" si="74"/>
        <v>#N/A</v>
      </c>
      <c r="AO85" s="316" t="e">
        <f t="shared" si="75"/>
        <v>#N/A</v>
      </c>
      <c r="AP85" s="317" t="str">
        <f>IFERROR(IFERROR(VLOOKUP($A85,VENTAS!$H$2:$O$201,5,FALSE),"")/$C85,"")</f>
        <v/>
      </c>
      <c r="AQ85" s="111"/>
      <c r="AR85" s="203" t="e">
        <f>VLOOKUP($A85,INICIO_BARRA!$A$6:$R$130,11,FALSE)</f>
        <v>#N/A</v>
      </c>
      <c r="AS85" s="203" t="e">
        <f>VLOOKUP($A85,INICIO_BARRA!$A$6:$R$130,12,FALSE)</f>
        <v>#N/A</v>
      </c>
      <c r="AT85" s="11"/>
      <c r="AU85" s="94" t="str">
        <f>IFERROR(IFERROR(IF(AT85&gt;0,"",AT85*VLOOKUP($A85,'VALOR I.'!$B$6:$K$418,10,FALSE)),"")*$C85,"")</f>
        <v/>
      </c>
      <c r="AV85" s="203" t="e">
        <f>VLOOKUP($A85,INICIO_BARRA!$A$6:$R$130,11,FALSE)</f>
        <v>#N/A</v>
      </c>
      <c r="AW85" s="203" t="e">
        <f>VLOOKUP($A85,INICIO_BARRA!$A$6:$R$130,12,FALSE)</f>
        <v>#N/A</v>
      </c>
      <c r="AX85" s="203" t="str">
        <f>IFERROR(VLOOKUP($A85,REPOSICIONES_BARRA!$A$6:$I$130,7,FALSE),"")</f>
        <v/>
      </c>
      <c r="AY85" s="315" t="e">
        <f t="shared" si="76"/>
        <v>#N/A</v>
      </c>
      <c r="AZ85" s="316" t="e">
        <f t="shared" si="77"/>
        <v>#N/A</v>
      </c>
      <c r="BA85" s="317" t="str">
        <f>IFERROR(IFERROR(VLOOKUP($A85,VENTAS!$H$2:$O$201,6,FALSE),"")/$C85,"")</f>
        <v/>
      </c>
      <c r="BB85" s="111"/>
      <c r="BC85" s="203" t="e">
        <f>VLOOKUP($A85,INICIO_BARRA!$A$6:$R$130,13,FALSE)</f>
        <v>#N/A</v>
      </c>
      <c r="BD85" s="203" t="e">
        <f>VLOOKUP($A85,INICIO_BARRA!$A$6:$R$130,14,FALSE)</f>
        <v>#N/A</v>
      </c>
      <c r="BE85" s="11"/>
      <c r="BF85" s="94" t="str">
        <f>IFERROR(IFERROR(IF(BE85&gt;0,"",BE85*VLOOKUP($A85,'VALOR I.'!$B$6:$K$418,10,FALSE)),"")*$C85,"")</f>
        <v/>
      </c>
      <c r="BG85" s="203" t="e">
        <f>VLOOKUP($A85,INICIO_BARRA!$A$6:$R$130,13,FALSE)</f>
        <v>#N/A</v>
      </c>
      <c r="BH85" s="203" t="e">
        <f>VLOOKUP($A85,INICIO_BARRA!$A$6:$R$130,14,FALSE)</f>
        <v>#N/A</v>
      </c>
      <c r="BI85" s="203" t="str">
        <f>IFERROR(VLOOKUP($A85,REPOSICIONES_BARRA!$A$6:$I$130,8,FALSE),"")</f>
        <v/>
      </c>
      <c r="BJ85" s="315" t="e">
        <f t="shared" si="78"/>
        <v>#N/A</v>
      </c>
      <c r="BK85" s="316" t="e">
        <f t="shared" si="79"/>
        <v>#N/A</v>
      </c>
      <c r="BL85" s="317" t="str">
        <f>IFERROR(IFERROR(VLOOKUP($A85,VENTAS!$H$2:$O$201,7,FALSE),"")/$C85,"")</f>
        <v/>
      </c>
      <c r="BM85" s="111"/>
      <c r="BN85" s="203" t="e">
        <f>VLOOKUP($A85,INICIO_BARRA!$A$6:$R$130,15,FALSE)</f>
        <v>#N/A</v>
      </c>
      <c r="BO85" s="203" t="e">
        <f>VLOOKUP($A85,INICIO_BARRA!$A$6:$R$130,16,FALSE)</f>
        <v>#N/A</v>
      </c>
      <c r="BP85" s="11"/>
      <c r="BQ85" s="94" t="str">
        <f>IFERROR(IFERROR(IF(BP85&gt;0,"",BP85*VLOOKUP($A85,'VALOR I.'!$B$6:$K$418,10,FALSE)),"")*$C85,"")</f>
        <v/>
      </c>
      <c r="BR85" s="203" t="e">
        <f>VLOOKUP($A85,INICIO_BARRA!$A$6:$R$130,15,FALSE)</f>
        <v>#N/A</v>
      </c>
      <c r="BS85" s="203" t="e">
        <f>VLOOKUP($A85,INICIO_BARRA!$A$6:$R$130,16,FALSE)</f>
        <v>#N/A</v>
      </c>
      <c r="BT85" s="203" t="str">
        <f>IFERROR(VLOOKUP($A85,REPOSICIONES_BARRA!$A$6:$I$130,9,FALSE),"")</f>
        <v/>
      </c>
      <c r="BU85" s="315" t="e">
        <f t="shared" si="82"/>
        <v>#N/A</v>
      </c>
      <c r="BV85" s="316" t="e">
        <f t="shared" si="83"/>
        <v>#N/A</v>
      </c>
      <c r="BW85" s="317" t="str">
        <f>IFERROR(IFERROR(VLOOKUP($A85,VENTAS!$H$2:$O$201,8,FALSE),"")/$C85,"")</f>
        <v/>
      </c>
      <c r="BX85" s="111"/>
      <c r="BY85" s="203" t="e">
        <f>VLOOKUP($A85,INICIO_BARRA!$A$6:$R$130,17,FALSE)</f>
        <v>#N/A</v>
      </c>
      <c r="BZ85" s="203" t="e">
        <f>VLOOKUP($A85,INICIO_BARRA!$A$6:$R$130,18,FALSE)</f>
        <v>#N/A</v>
      </c>
      <c r="CA85" s="11"/>
      <c r="CB85" s="94" t="str">
        <f>IFERROR(IFERROR(IF(CA85&gt;0,"",CA85*VLOOKUP($A85,'VALOR I.'!$B$6:$K$418,10,FALSE)),"")*$C85,"")</f>
        <v/>
      </c>
    </row>
    <row r="86" spans="1:80" s="7" customFormat="1" ht="30" hidden="1" customHeight="1" x14ac:dyDescent="0.45">
      <c r="A86" s="3"/>
      <c r="B86" s="26"/>
      <c r="C86" s="133"/>
      <c r="D86" s="203" t="e">
        <f>VLOOKUP($A86,INICIO_BARRA!$A$6:$R$130,3,FALSE)</f>
        <v>#N/A</v>
      </c>
      <c r="E86" s="203" t="e">
        <f>VLOOKUP($A86,INICIO_BARRA!$A$6:$R$130,4,FALSE)</f>
        <v>#N/A</v>
      </c>
      <c r="F86" s="203" t="str">
        <f>IFERROR(VLOOKUP($A86,REPOSICIONES_BARRA!$A$6:$I$130,3,FALSE),"")</f>
        <v/>
      </c>
      <c r="G86" s="315" t="e">
        <f t="shared" si="80"/>
        <v>#N/A</v>
      </c>
      <c r="H86" s="316" t="e">
        <f t="shared" si="81"/>
        <v>#N/A</v>
      </c>
      <c r="I86" s="317" t="str">
        <f>IFERROR(IFERROR(VLOOKUP($A86,VENTAS!$H$2:$O$201,2,FALSE),"")/$C86,"")</f>
        <v/>
      </c>
      <c r="J86" s="111"/>
      <c r="K86" s="203" t="e">
        <f>VLOOKUP($A86,INICIO_BARRA!$A$6:$R$130,5,FALSE)</f>
        <v>#N/A</v>
      </c>
      <c r="L86" s="203" t="e">
        <f>VLOOKUP($A86,INICIO_BARRA!$A$6:$R$130,6,FALSE)</f>
        <v>#N/A</v>
      </c>
      <c r="M86" s="11"/>
      <c r="N86" s="204" t="str">
        <f>IFERROR(IFERROR(IF(M86&gt;0,"",M86*VLOOKUP($A86,'VALOR I.'!$B$6:$K$418,10,FALSE)),"")*$C86,"")</f>
        <v/>
      </c>
      <c r="O86" s="203" t="e">
        <f>VLOOKUP($A86,INICIO_BARRA!$A$6:$R$130,5,FALSE)</f>
        <v>#N/A</v>
      </c>
      <c r="P86" s="203" t="e">
        <f>VLOOKUP($A86,INICIO_BARRA!$A$6:$R$130,6,FALSE)</f>
        <v>#N/A</v>
      </c>
      <c r="Q86" s="203" t="str">
        <f>IFERROR(VLOOKUP($A86,REPOSICIONES_BARRA!$A$6:$I$130,4,FALSE),"")</f>
        <v/>
      </c>
      <c r="R86" s="315" t="e">
        <f t="shared" si="70"/>
        <v>#N/A</v>
      </c>
      <c r="S86" s="316" t="e">
        <f t="shared" si="71"/>
        <v>#N/A</v>
      </c>
      <c r="T86" s="317" t="str">
        <f>IFERROR(IFERROR(VLOOKUP($A86,VENTAS!$H$2:$O$201,3,FALSE),"")/$C86,"")</f>
        <v/>
      </c>
      <c r="U86" s="111"/>
      <c r="V86" s="203" t="e">
        <f>VLOOKUP($A86,INICIO_BARRA!$A$6:$R$130,7,FALSE)</f>
        <v>#N/A</v>
      </c>
      <c r="W86" s="203" t="e">
        <f>VLOOKUP($A86,INICIO_BARRA!$A$6:$R$130,8,FALSE)</f>
        <v>#N/A</v>
      </c>
      <c r="X86" s="11"/>
      <c r="Y86" s="204" t="str">
        <f>IFERROR(IFERROR(IF(X86&gt;0,"",X86*VLOOKUP($A86,'VALOR I.'!$B$6:$K$418,10,FALSE)),"")*$C86,"")</f>
        <v/>
      </c>
      <c r="Z86" s="203" t="e">
        <f>VLOOKUP($A86,INICIO_BARRA!$A$6:$R$130,7,FALSE)</f>
        <v>#N/A</v>
      </c>
      <c r="AA86" s="203" t="e">
        <f>VLOOKUP($A86,INICIO_BARRA!$A$6:$R$130,8,FALSE)</f>
        <v>#N/A</v>
      </c>
      <c r="AB86" s="203" t="str">
        <f>IFERROR(VLOOKUP($A86,REPOSICIONES_BARRA!$A$6:$I$130,5,FALSE),"")</f>
        <v/>
      </c>
      <c r="AC86" s="315" t="e">
        <f t="shared" si="72"/>
        <v>#N/A</v>
      </c>
      <c r="AD86" s="316" t="e">
        <f t="shared" si="73"/>
        <v>#N/A</v>
      </c>
      <c r="AE86" s="317" t="str">
        <f>IFERROR(IFERROR(VLOOKUP($A86,VENTAS!$H$2:$O$201,4,FALSE),"")/$C86,"")</f>
        <v/>
      </c>
      <c r="AF86" s="111"/>
      <c r="AG86" s="203" t="e">
        <f>VLOOKUP($A86,INICIO_BARRA!$A$6:$R$130,9,FALSE)</f>
        <v>#N/A</v>
      </c>
      <c r="AH86" s="203" t="e">
        <f>VLOOKUP($A86,INICIO_BARRA!$A$6:$R$130,10,FALSE)</f>
        <v>#N/A</v>
      </c>
      <c r="AI86" s="11"/>
      <c r="AJ86" s="94" t="str">
        <f>IFERROR(IFERROR(IF(AI86&gt;0,"",AI86*VLOOKUP($A86,'VALOR I.'!$B$6:$K$418,10,FALSE)),"")*$C86,"")</f>
        <v/>
      </c>
      <c r="AK86" s="203" t="e">
        <f>VLOOKUP($A86,INICIO_BARRA!$A$6:$R$130,9,FALSE)</f>
        <v>#N/A</v>
      </c>
      <c r="AL86" s="203" t="e">
        <f>VLOOKUP($A86,INICIO_BARRA!$A$6:$R$130,10,FALSE)</f>
        <v>#N/A</v>
      </c>
      <c r="AM86" s="203" t="str">
        <f>IFERROR(VLOOKUP($A86,REPOSICIONES_BARRA!$A$6:$I$130,6,FALSE),"")</f>
        <v/>
      </c>
      <c r="AN86" s="315" t="e">
        <f t="shared" si="74"/>
        <v>#N/A</v>
      </c>
      <c r="AO86" s="316" t="e">
        <f t="shared" si="75"/>
        <v>#N/A</v>
      </c>
      <c r="AP86" s="317" t="str">
        <f>IFERROR(IFERROR(VLOOKUP($A86,VENTAS!$H$2:$O$201,5,FALSE),"")/$C86,"")</f>
        <v/>
      </c>
      <c r="AQ86" s="111"/>
      <c r="AR86" s="203" t="e">
        <f>VLOOKUP($A86,INICIO_BARRA!$A$6:$R$130,11,FALSE)</f>
        <v>#N/A</v>
      </c>
      <c r="AS86" s="203" t="e">
        <f>VLOOKUP($A86,INICIO_BARRA!$A$6:$R$130,12,FALSE)</f>
        <v>#N/A</v>
      </c>
      <c r="AT86" s="11"/>
      <c r="AU86" s="94" t="str">
        <f>IFERROR(IFERROR(IF(AT86&gt;0,"",AT86*VLOOKUP($A86,'VALOR I.'!$B$6:$K$418,10,FALSE)),"")*$C86,"")</f>
        <v/>
      </c>
      <c r="AV86" s="203" t="e">
        <f>VLOOKUP($A86,INICIO_BARRA!$A$6:$R$130,11,FALSE)</f>
        <v>#N/A</v>
      </c>
      <c r="AW86" s="203" t="e">
        <f>VLOOKUP($A86,INICIO_BARRA!$A$6:$R$130,12,FALSE)</f>
        <v>#N/A</v>
      </c>
      <c r="AX86" s="203" t="str">
        <f>IFERROR(VLOOKUP($A86,REPOSICIONES_BARRA!$A$6:$I$130,7,FALSE),"")</f>
        <v/>
      </c>
      <c r="AY86" s="315" t="e">
        <f t="shared" si="76"/>
        <v>#N/A</v>
      </c>
      <c r="AZ86" s="316" t="e">
        <f t="shared" si="77"/>
        <v>#N/A</v>
      </c>
      <c r="BA86" s="317" t="str">
        <f>IFERROR(IFERROR(VLOOKUP($A86,VENTAS!$H$2:$O$201,6,FALSE),"")/$C86,"")</f>
        <v/>
      </c>
      <c r="BB86" s="111"/>
      <c r="BC86" s="203" t="e">
        <f>VLOOKUP($A86,INICIO_BARRA!$A$6:$R$130,13,FALSE)</f>
        <v>#N/A</v>
      </c>
      <c r="BD86" s="203" t="e">
        <f>VLOOKUP($A86,INICIO_BARRA!$A$6:$R$130,14,FALSE)</f>
        <v>#N/A</v>
      </c>
      <c r="BE86" s="11"/>
      <c r="BF86" s="94" t="str">
        <f>IFERROR(IFERROR(IF(BE86&gt;0,"",BE86*VLOOKUP($A86,'VALOR I.'!$B$6:$K$418,10,FALSE)),"")*$C86,"")</f>
        <v/>
      </c>
      <c r="BG86" s="203" t="e">
        <f>VLOOKUP($A86,INICIO_BARRA!$A$6:$R$130,13,FALSE)</f>
        <v>#N/A</v>
      </c>
      <c r="BH86" s="203" t="e">
        <f>VLOOKUP($A86,INICIO_BARRA!$A$6:$R$130,14,FALSE)</f>
        <v>#N/A</v>
      </c>
      <c r="BI86" s="203" t="str">
        <f>IFERROR(VLOOKUP($A86,REPOSICIONES_BARRA!$A$6:$I$130,8,FALSE),"")</f>
        <v/>
      </c>
      <c r="BJ86" s="315" t="e">
        <f t="shared" si="78"/>
        <v>#N/A</v>
      </c>
      <c r="BK86" s="316" t="e">
        <f t="shared" si="79"/>
        <v>#N/A</v>
      </c>
      <c r="BL86" s="317" t="str">
        <f>IFERROR(IFERROR(VLOOKUP($A86,VENTAS!$H$2:$O$201,7,FALSE),"")/$C86,"")</f>
        <v/>
      </c>
      <c r="BM86" s="111"/>
      <c r="BN86" s="203" t="e">
        <f>VLOOKUP($A86,INICIO_BARRA!$A$6:$R$130,15,FALSE)</f>
        <v>#N/A</v>
      </c>
      <c r="BO86" s="203" t="e">
        <f>VLOOKUP($A86,INICIO_BARRA!$A$6:$R$130,16,FALSE)</f>
        <v>#N/A</v>
      </c>
      <c r="BP86" s="11"/>
      <c r="BQ86" s="94" t="str">
        <f>IFERROR(IFERROR(IF(BP86&gt;0,"",BP86*VLOOKUP($A86,'VALOR I.'!$B$6:$K$418,10,FALSE)),"")*$C86,"")</f>
        <v/>
      </c>
      <c r="BR86" s="203" t="e">
        <f>VLOOKUP($A86,INICIO_BARRA!$A$6:$R$130,15,FALSE)</f>
        <v>#N/A</v>
      </c>
      <c r="BS86" s="203" t="e">
        <f>VLOOKUP($A86,INICIO_BARRA!$A$6:$R$130,16,FALSE)</f>
        <v>#N/A</v>
      </c>
      <c r="BT86" s="203" t="str">
        <f>IFERROR(VLOOKUP($A86,REPOSICIONES_BARRA!$A$6:$I$130,9,FALSE),"")</f>
        <v/>
      </c>
      <c r="BU86" s="315" t="e">
        <f t="shared" si="82"/>
        <v>#N/A</v>
      </c>
      <c r="BV86" s="316" t="e">
        <f t="shared" si="83"/>
        <v>#N/A</v>
      </c>
      <c r="BW86" s="317" t="str">
        <f>IFERROR(IFERROR(VLOOKUP($A86,VENTAS!$H$2:$O$201,8,FALSE),"")/$C86,"")</f>
        <v/>
      </c>
      <c r="BX86" s="111"/>
      <c r="BY86" s="203" t="e">
        <f>VLOOKUP($A86,INICIO_BARRA!$A$6:$R$130,17,FALSE)</f>
        <v>#N/A</v>
      </c>
      <c r="BZ86" s="203" t="e">
        <f>VLOOKUP($A86,INICIO_BARRA!$A$6:$R$130,18,FALSE)</f>
        <v>#N/A</v>
      </c>
      <c r="CA86" s="11"/>
      <c r="CB86" s="94" t="str">
        <f>IFERROR(IFERROR(IF(CA86&gt;0,"",CA86*VLOOKUP($A86,'VALOR I.'!$B$6:$K$418,10,FALSE)),"")*$C86,"")</f>
        <v/>
      </c>
    </row>
    <row r="87" spans="1:80" s="7" customFormat="1" ht="30" hidden="1" customHeight="1" x14ac:dyDescent="0.45">
      <c r="A87" s="3"/>
      <c r="B87" s="28"/>
      <c r="C87" s="141"/>
      <c r="D87" s="203" t="e">
        <f>VLOOKUP($A87,INICIO_BARRA!$A$6:$R$130,3,FALSE)</f>
        <v>#N/A</v>
      </c>
      <c r="E87" s="203" t="e">
        <f>VLOOKUP($A87,INICIO_BARRA!$A$6:$R$130,4,FALSE)</f>
        <v>#N/A</v>
      </c>
      <c r="F87" s="203" t="str">
        <f>IFERROR(VLOOKUP($A87,REPOSICIONES_BARRA!$A$6:$I$130,3,FALSE),"")</f>
        <v/>
      </c>
      <c r="G87" s="315" t="e">
        <f t="shared" si="80"/>
        <v>#N/A</v>
      </c>
      <c r="H87" s="316" t="e">
        <f t="shared" si="81"/>
        <v>#N/A</v>
      </c>
      <c r="I87" s="317" t="str">
        <f>IFERROR(IFERROR(VLOOKUP($A87,VENTAS!$H$2:$O$201,2,FALSE),"")/$C87,"")</f>
        <v/>
      </c>
      <c r="J87" s="111"/>
      <c r="K87" s="203" t="e">
        <f>VLOOKUP($A87,INICIO_BARRA!$A$6:$R$130,5,FALSE)</f>
        <v>#N/A</v>
      </c>
      <c r="L87" s="203" t="e">
        <f>VLOOKUP($A87,INICIO_BARRA!$A$6:$R$130,6,FALSE)</f>
        <v>#N/A</v>
      </c>
      <c r="M87" s="11"/>
      <c r="N87" s="204" t="str">
        <f>IFERROR(IFERROR(IF(M87&gt;0,"",M87*VLOOKUP($A87,'VALOR I.'!$B$6:$K$418,10,FALSE)),"")*$C87,"")</f>
        <v/>
      </c>
      <c r="O87" s="203" t="e">
        <f>VLOOKUP($A87,INICIO_BARRA!$A$6:$R$130,5,FALSE)</f>
        <v>#N/A</v>
      </c>
      <c r="P87" s="203" t="e">
        <f>VLOOKUP($A87,INICIO_BARRA!$A$6:$R$130,6,FALSE)</f>
        <v>#N/A</v>
      </c>
      <c r="Q87" s="203" t="str">
        <f>IFERROR(VLOOKUP($A87,REPOSICIONES_BARRA!$A$6:$I$130,4,FALSE),"")</f>
        <v/>
      </c>
      <c r="R87" s="315" t="e">
        <f t="shared" si="70"/>
        <v>#N/A</v>
      </c>
      <c r="S87" s="316" t="e">
        <f t="shared" si="71"/>
        <v>#N/A</v>
      </c>
      <c r="T87" s="317" t="str">
        <f>IFERROR(IFERROR(VLOOKUP($A87,VENTAS!$H$2:$O$201,3,FALSE),"")/$C87,"")</f>
        <v/>
      </c>
      <c r="U87" s="111"/>
      <c r="V87" s="203" t="e">
        <f>VLOOKUP($A87,INICIO_BARRA!$A$6:$R$130,7,FALSE)</f>
        <v>#N/A</v>
      </c>
      <c r="W87" s="203" t="e">
        <f>VLOOKUP($A87,INICIO_BARRA!$A$6:$R$130,8,FALSE)</f>
        <v>#N/A</v>
      </c>
      <c r="X87" s="11"/>
      <c r="Y87" s="204" t="str">
        <f>IFERROR(IFERROR(IF(X87&gt;0,"",X87*VLOOKUP($A87,'VALOR I.'!$B$6:$K$418,10,FALSE)),"")*$C87,"")</f>
        <v/>
      </c>
      <c r="Z87" s="203" t="e">
        <f>VLOOKUP($A87,INICIO_BARRA!$A$6:$R$130,7,FALSE)</f>
        <v>#N/A</v>
      </c>
      <c r="AA87" s="203" t="e">
        <f>VLOOKUP($A87,INICIO_BARRA!$A$6:$R$130,8,FALSE)</f>
        <v>#N/A</v>
      </c>
      <c r="AB87" s="203" t="str">
        <f>IFERROR(VLOOKUP($A87,REPOSICIONES_BARRA!$A$6:$I$130,5,FALSE),"")</f>
        <v/>
      </c>
      <c r="AC87" s="315" t="e">
        <f t="shared" si="72"/>
        <v>#N/A</v>
      </c>
      <c r="AD87" s="316" t="e">
        <f t="shared" si="73"/>
        <v>#N/A</v>
      </c>
      <c r="AE87" s="317" t="str">
        <f>IFERROR(IFERROR(VLOOKUP($A87,VENTAS!$H$2:$O$201,4,FALSE),"")/$C87,"")</f>
        <v/>
      </c>
      <c r="AF87" s="111"/>
      <c r="AG87" s="203" t="e">
        <f>VLOOKUP($A87,INICIO_BARRA!$A$6:$R$130,9,FALSE)</f>
        <v>#N/A</v>
      </c>
      <c r="AH87" s="203" t="e">
        <f>VLOOKUP($A87,INICIO_BARRA!$A$6:$R$130,10,FALSE)</f>
        <v>#N/A</v>
      </c>
      <c r="AI87" s="11"/>
      <c r="AJ87" s="94" t="str">
        <f>IFERROR(IFERROR(IF(AI87&gt;0,"",AI87*VLOOKUP($A87,'VALOR I.'!$B$6:$K$418,10,FALSE)),"")*$C87,"")</f>
        <v/>
      </c>
      <c r="AK87" s="203" t="e">
        <f>VLOOKUP($A87,INICIO_BARRA!$A$6:$R$130,9,FALSE)</f>
        <v>#N/A</v>
      </c>
      <c r="AL87" s="203" t="e">
        <f>VLOOKUP($A87,INICIO_BARRA!$A$6:$R$130,10,FALSE)</f>
        <v>#N/A</v>
      </c>
      <c r="AM87" s="203" t="str">
        <f>IFERROR(VLOOKUP($A87,REPOSICIONES_BARRA!$A$6:$I$130,6,FALSE),"")</f>
        <v/>
      </c>
      <c r="AN87" s="315" t="e">
        <f t="shared" si="74"/>
        <v>#N/A</v>
      </c>
      <c r="AO87" s="316" t="e">
        <f t="shared" si="75"/>
        <v>#N/A</v>
      </c>
      <c r="AP87" s="317" t="str">
        <f>IFERROR(IFERROR(VLOOKUP($A87,VENTAS!$H$2:$O$201,5,FALSE),"")/$C87,"")</f>
        <v/>
      </c>
      <c r="AQ87" s="111"/>
      <c r="AR87" s="203" t="e">
        <f>VLOOKUP($A87,INICIO_BARRA!$A$6:$R$130,11,FALSE)</f>
        <v>#N/A</v>
      </c>
      <c r="AS87" s="203" t="e">
        <f>VLOOKUP($A87,INICIO_BARRA!$A$6:$R$130,12,FALSE)</f>
        <v>#N/A</v>
      </c>
      <c r="AT87" s="11"/>
      <c r="AU87" s="94" t="str">
        <f>IFERROR(IFERROR(IF(AT87&gt;0,"",AT87*VLOOKUP($A87,'VALOR I.'!$B$6:$K$418,10,FALSE)),"")*$C87,"")</f>
        <v/>
      </c>
      <c r="AV87" s="203" t="e">
        <f>VLOOKUP($A87,INICIO_BARRA!$A$6:$R$130,11,FALSE)</f>
        <v>#N/A</v>
      </c>
      <c r="AW87" s="203" t="e">
        <f>VLOOKUP($A87,INICIO_BARRA!$A$6:$R$130,12,FALSE)</f>
        <v>#N/A</v>
      </c>
      <c r="AX87" s="203" t="str">
        <f>IFERROR(VLOOKUP($A87,REPOSICIONES_BARRA!$A$6:$I$130,7,FALSE),"")</f>
        <v/>
      </c>
      <c r="AY87" s="315" t="e">
        <f t="shared" si="76"/>
        <v>#N/A</v>
      </c>
      <c r="AZ87" s="316" t="e">
        <f t="shared" si="77"/>
        <v>#N/A</v>
      </c>
      <c r="BA87" s="317" t="str">
        <f>IFERROR(IFERROR(VLOOKUP($A87,VENTAS!$H$2:$O$201,6,FALSE),"")/$C87,"")</f>
        <v/>
      </c>
      <c r="BB87" s="111"/>
      <c r="BC87" s="203" t="e">
        <f>VLOOKUP($A87,INICIO_BARRA!$A$6:$R$130,13,FALSE)</f>
        <v>#N/A</v>
      </c>
      <c r="BD87" s="203" t="e">
        <f>VLOOKUP($A87,INICIO_BARRA!$A$6:$R$130,14,FALSE)</f>
        <v>#N/A</v>
      </c>
      <c r="BE87" s="11"/>
      <c r="BF87" s="94" t="str">
        <f>IFERROR(IFERROR(IF(BE87&gt;0,"",BE87*VLOOKUP($A87,'VALOR I.'!$B$6:$K$418,10,FALSE)),"")*$C87,"")</f>
        <v/>
      </c>
      <c r="BG87" s="203" t="e">
        <f>VLOOKUP($A87,INICIO_BARRA!$A$6:$R$130,13,FALSE)</f>
        <v>#N/A</v>
      </c>
      <c r="BH87" s="203" t="e">
        <f>VLOOKUP($A87,INICIO_BARRA!$A$6:$R$130,14,FALSE)</f>
        <v>#N/A</v>
      </c>
      <c r="BI87" s="203" t="str">
        <f>IFERROR(VLOOKUP($A87,REPOSICIONES_BARRA!$A$6:$I$130,8,FALSE),"")</f>
        <v/>
      </c>
      <c r="BJ87" s="315" t="e">
        <f t="shared" si="78"/>
        <v>#N/A</v>
      </c>
      <c r="BK87" s="316" t="e">
        <f t="shared" si="79"/>
        <v>#N/A</v>
      </c>
      <c r="BL87" s="317" t="str">
        <f>IFERROR(IFERROR(VLOOKUP($A87,VENTAS!$H$2:$O$201,7,FALSE),"")/$C87,"")</f>
        <v/>
      </c>
      <c r="BM87" s="111"/>
      <c r="BN87" s="203" t="e">
        <f>VLOOKUP($A87,INICIO_BARRA!$A$6:$R$130,15,FALSE)</f>
        <v>#N/A</v>
      </c>
      <c r="BO87" s="203" t="e">
        <f>VLOOKUP($A87,INICIO_BARRA!$A$6:$R$130,16,FALSE)</f>
        <v>#N/A</v>
      </c>
      <c r="BP87" s="11"/>
      <c r="BQ87" s="94" t="str">
        <f>IFERROR(IFERROR(IF(BP87&gt;0,"",BP87*VLOOKUP($A87,'VALOR I.'!$B$6:$K$418,10,FALSE)),"")*$C87,"")</f>
        <v/>
      </c>
      <c r="BR87" s="203" t="e">
        <f>VLOOKUP($A87,INICIO_BARRA!$A$6:$R$130,15,FALSE)</f>
        <v>#N/A</v>
      </c>
      <c r="BS87" s="203" t="e">
        <f>VLOOKUP($A87,INICIO_BARRA!$A$6:$R$130,16,FALSE)</f>
        <v>#N/A</v>
      </c>
      <c r="BT87" s="203" t="str">
        <f>IFERROR(VLOOKUP($A87,REPOSICIONES_BARRA!$A$6:$I$130,9,FALSE),"")</f>
        <v/>
      </c>
      <c r="BU87" s="315" t="e">
        <f t="shared" si="82"/>
        <v>#N/A</v>
      </c>
      <c r="BV87" s="316" t="e">
        <f t="shared" si="83"/>
        <v>#N/A</v>
      </c>
      <c r="BW87" s="317" t="str">
        <f>IFERROR(IFERROR(VLOOKUP($A87,VENTAS!$H$2:$O$201,8,FALSE),"")/$C87,"")</f>
        <v/>
      </c>
      <c r="BX87" s="111"/>
      <c r="BY87" s="203" t="e">
        <f>VLOOKUP($A87,INICIO_BARRA!$A$6:$R$130,17,FALSE)</f>
        <v>#N/A</v>
      </c>
      <c r="BZ87" s="203" t="e">
        <f>VLOOKUP($A87,INICIO_BARRA!$A$6:$R$130,18,FALSE)</f>
        <v>#N/A</v>
      </c>
      <c r="CA87" s="11"/>
      <c r="CB87" s="94" t="str">
        <f>IFERROR(IFERROR(IF(CA87&gt;0,"",CA87*VLOOKUP($A87,'VALOR I.'!$B$6:$K$418,10,FALSE)),"")*$C87,"")</f>
        <v/>
      </c>
    </row>
    <row r="88" spans="1:80" s="7" customFormat="1" ht="30" hidden="1" customHeight="1" x14ac:dyDescent="0.45">
      <c r="A88" s="3"/>
      <c r="B88" s="28"/>
      <c r="C88" s="141"/>
      <c r="D88" s="203" t="e">
        <f>VLOOKUP($A88,INICIO_BARRA!$A$6:$R$130,3,FALSE)</f>
        <v>#N/A</v>
      </c>
      <c r="E88" s="203" t="e">
        <f>VLOOKUP($A88,INICIO_BARRA!$A$6:$R$130,4,FALSE)</f>
        <v>#N/A</v>
      </c>
      <c r="F88" s="203" t="str">
        <f>IFERROR(VLOOKUP($A88,REPOSICIONES_BARRA!$A$6:$I$130,3,FALSE),"")</f>
        <v/>
      </c>
      <c r="G88" s="315" t="e">
        <f t="shared" si="80"/>
        <v>#N/A</v>
      </c>
      <c r="H88" s="316" t="e">
        <f t="shared" si="81"/>
        <v>#N/A</v>
      </c>
      <c r="I88" s="317" t="str">
        <f>IFERROR(IFERROR(VLOOKUP($A88,VENTAS!$H$2:$O$201,2,FALSE),"")/$C88,"")</f>
        <v/>
      </c>
      <c r="J88" s="111"/>
      <c r="K88" s="203" t="e">
        <f>VLOOKUP($A88,INICIO_BARRA!$A$6:$R$130,5,FALSE)</f>
        <v>#N/A</v>
      </c>
      <c r="L88" s="203" t="e">
        <f>VLOOKUP($A88,INICIO_BARRA!$A$6:$R$130,6,FALSE)</f>
        <v>#N/A</v>
      </c>
      <c r="M88" s="11"/>
      <c r="N88" s="204" t="str">
        <f>IFERROR(IFERROR(IF(M88&gt;0,"",M88*VLOOKUP($A88,'VALOR I.'!$B$6:$K$418,10,FALSE)),"")*$C88,"")</f>
        <v/>
      </c>
      <c r="O88" s="203" t="e">
        <f>VLOOKUP($A88,INICIO_BARRA!$A$6:$R$130,5,FALSE)</f>
        <v>#N/A</v>
      </c>
      <c r="P88" s="203" t="e">
        <f>VLOOKUP($A88,INICIO_BARRA!$A$6:$R$130,6,FALSE)</f>
        <v>#N/A</v>
      </c>
      <c r="Q88" s="203" t="str">
        <f>IFERROR(VLOOKUP($A88,REPOSICIONES_BARRA!$A$6:$I$130,4,FALSE),"")</f>
        <v/>
      </c>
      <c r="R88" s="315" t="e">
        <f t="shared" si="70"/>
        <v>#N/A</v>
      </c>
      <c r="S88" s="316" t="e">
        <f t="shared" si="71"/>
        <v>#N/A</v>
      </c>
      <c r="T88" s="317" t="str">
        <f>IFERROR(IFERROR(VLOOKUP($A88,VENTAS!$H$2:$O$201,3,FALSE),"")/$C88,"")</f>
        <v/>
      </c>
      <c r="U88" s="111"/>
      <c r="V88" s="203" t="e">
        <f>VLOOKUP($A88,INICIO_BARRA!$A$6:$R$130,7,FALSE)</f>
        <v>#N/A</v>
      </c>
      <c r="W88" s="203" t="e">
        <f>VLOOKUP($A88,INICIO_BARRA!$A$6:$R$130,8,FALSE)</f>
        <v>#N/A</v>
      </c>
      <c r="X88" s="11"/>
      <c r="Y88" s="204" t="str">
        <f>IFERROR(IFERROR(IF(X88&gt;0,"",X88*VLOOKUP($A88,'VALOR I.'!$B$6:$K$418,10,FALSE)),"")*$C88,"")</f>
        <v/>
      </c>
      <c r="Z88" s="203" t="e">
        <f>VLOOKUP($A88,INICIO_BARRA!$A$6:$R$130,7,FALSE)</f>
        <v>#N/A</v>
      </c>
      <c r="AA88" s="203" t="e">
        <f>VLOOKUP($A88,INICIO_BARRA!$A$6:$R$130,8,FALSE)</f>
        <v>#N/A</v>
      </c>
      <c r="AB88" s="203" t="str">
        <f>IFERROR(VLOOKUP($A88,REPOSICIONES_BARRA!$A$6:$I$130,5,FALSE),"")</f>
        <v/>
      </c>
      <c r="AC88" s="315" t="e">
        <f t="shared" si="72"/>
        <v>#N/A</v>
      </c>
      <c r="AD88" s="316" t="e">
        <f t="shared" si="73"/>
        <v>#N/A</v>
      </c>
      <c r="AE88" s="317" t="str">
        <f>IFERROR(IFERROR(VLOOKUP($A88,VENTAS!$H$2:$O$201,4,FALSE),"")/$C88,"")</f>
        <v/>
      </c>
      <c r="AF88" s="111"/>
      <c r="AG88" s="203" t="e">
        <f>VLOOKUP($A88,INICIO_BARRA!$A$6:$R$130,9,FALSE)</f>
        <v>#N/A</v>
      </c>
      <c r="AH88" s="203" t="e">
        <f>VLOOKUP($A88,INICIO_BARRA!$A$6:$R$130,10,FALSE)</f>
        <v>#N/A</v>
      </c>
      <c r="AI88" s="11"/>
      <c r="AJ88" s="94" t="str">
        <f>IFERROR(IFERROR(IF(AI88&gt;0,"",AI88*VLOOKUP($A88,'VALOR I.'!$B$6:$K$418,10,FALSE)),"")*$C88,"")</f>
        <v/>
      </c>
      <c r="AK88" s="203" t="e">
        <f>VLOOKUP($A88,INICIO_BARRA!$A$6:$R$130,9,FALSE)</f>
        <v>#N/A</v>
      </c>
      <c r="AL88" s="203" t="e">
        <f>VLOOKUP($A88,INICIO_BARRA!$A$6:$R$130,10,FALSE)</f>
        <v>#N/A</v>
      </c>
      <c r="AM88" s="203" t="str">
        <f>IFERROR(VLOOKUP($A88,REPOSICIONES_BARRA!$A$6:$I$130,6,FALSE),"")</f>
        <v/>
      </c>
      <c r="AN88" s="315" t="e">
        <f t="shared" si="74"/>
        <v>#N/A</v>
      </c>
      <c r="AO88" s="316" t="e">
        <f t="shared" si="75"/>
        <v>#N/A</v>
      </c>
      <c r="AP88" s="317" t="str">
        <f>IFERROR(IFERROR(VLOOKUP($A88,VENTAS!$H$2:$O$201,5,FALSE),"")/$C88,"")</f>
        <v/>
      </c>
      <c r="AQ88" s="111"/>
      <c r="AR88" s="203" t="e">
        <f>VLOOKUP($A88,INICIO_BARRA!$A$6:$R$130,11,FALSE)</f>
        <v>#N/A</v>
      </c>
      <c r="AS88" s="203" t="e">
        <f>VLOOKUP($A88,INICIO_BARRA!$A$6:$R$130,12,FALSE)</f>
        <v>#N/A</v>
      </c>
      <c r="AT88" s="11"/>
      <c r="AU88" s="94" t="str">
        <f>IFERROR(IFERROR(IF(AT88&gt;0,"",AT88*VLOOKUP($A88,'VALOR I.'!$B$6:$K$418,10,FALSE)),"")*$C88,"")</f>
        <v/>
      </c>
      <c r="AV88" s="203" t="e">
        <f>VLOOKUP($A88,INICIO_BARRA!$A$6:$R$130,11,FALSE)</f>
        <v>#N/A</v>
      </c>
      <c r="AW88" s="203" t="e">
        <f>VLOOKUP($A88,INICIO_BARRA!$A$6:$R$130,12,FALSE)</f>
        <v>#N/A</v>
      </c>
      <c r="AX88" s="203" t="str">
        <f>IFERROR(VLOOKUP($A88,REPOSICIONES_BARRA!$A$6:$I$130,7,FALSE),"")</f>
        <v/>
      </c>
      <c r="AY88" s="315" t="e">
        <f t="shared" si="76"/>
        <v>#N/A</v>
      </c>
      <c r="AZ88" s="316" t="e">
        <f t="shared" si="77"/>
        <v>#N/A</v>
      </c>
      <c r="BA88" s="317" t="str">
        <f>IFERROR(IFERROR(VLOOKUP($A88,VENTAS!$H$2:$O$201,6,FALSE),"")/$C88,"")</f>
        <v/>
      </c>
      <c r="BB88" s="111"/>
      <c r="BC88" s="203" t="e">
        <f>VLOOKUP($A88,INICIO_BARRA!$A$6:$R$130,13,FALSE)</f>
        <v>#N/A</v>
      </c>
      <c r="BD88" s="203" t="e">
        <f>VLOOKUP($A88,INICIO_BARRA!$A$6:$R$130,14,FALSE)</f>
        <v>#N/A</v>
      </c>
      <c r="BE88" s="11"/>
      <c r="BF88" s="94" t="str">
        <f>IFERROR(IFERROR(IF(BE88&gt;0,"",BE88*VLOOKUP($A88,'VALOR I.'!$B$6:$K$418,10,FALSE)),"")*$C88,"")</f>
        <v/>
      </c>
      <c r="BG88" s="203" t="e">
        <f>VLOOKUP($A88,INICIO_BARRA!$A$6:$R$130,13,FALSE)</f>
        <v>#N/A</v>
      </c>
      <c r="BH88" s="203" t="e">
        <f>VLOOKUP($A88,INICIO_BARRA!$A$6:$R$130,14,FALSE)</f>
        <v>#N/A</v>
      </c>
      <c r="BI88" s="203" t="str">
        <f>IFERROR(VLOOKUP($A88,REPOSICIONES_BARRA!$A$6:$I$130,8,FALSE),"")</f>
        <v/>
      </c>
      <c r="BJ88" s="315" t="e">
        <f t="shared" si="78"/>
        <v>#N/A</v>
      </c>
      <c r="BK88" s="316" t="e">
        <f t="shared" si="79"/>
        <v>#N/A</v>
      </c>
      <c r="BL88" s="317" t="str">
        <f>IFERROR(IFERROR(VLOOKUP($A88,VENTAS!$H$2:$O$201,7,FALSE),"")/$C88,"")</f>
        <v/>
      </c>
      <c r="BM88" s="111"/>
      <c r="BN88" s="203" t="e">
        <f>VLOOKUP($A88,INICIO_BARRA!$A$6:$R$130,15,FALSE)</f>
        <v>#N/A</v>
      </c>
      <c r="BO88" s="203" t="e">
        <f>VLOOKUP($A88,INICIO_BARRA!$A$6:$R$130,16,FALSE)</f>
        <v>#N/A</v>
      </c>
      <c r="BP88" s="11"/>
      <c r="BQ88" s="94" t="str">
        <f>IFERROR(IFERROR(IF(BP88&gt;0,"",BP88*VLOOKUP($A88,'VALOR I.'!$B$6:$K$418,10,FALSE)),"")*$C88,"")</f>
        <v/>
      </c>
      <c r="BR88" s="203" t="e">
        <f>VLOOKUP($A88,INICIO_BARRA!$A$6:$R$130,15,FALSE)</f>
        <v>#N/A</v>
      </c>
      <c r="BS88" s="203" t="e">
        <f>VLOOKUP($A88,INICIO_BARRA!$A$6:$R$130,16,FALSE)</f>
        <v>#N/A</v>
      </c>
      <c r="BT88" s="203" t="str">
        <f>IFERROR(VLOOKUP($A88,REPOSICIONES_BARRA!$A$6:$I$130,9,FALSE),"")</f>
        <v/>
      </c>
      <c r="BU88" s="315" t="e">
        <f t="shared" si="82"/>
        <v>#N/A</v>
      </c>
      <c r="BV88" s="316" t="e">
        <f t="shared" si="83"/>
        <v>#N/A</v>
      </c>
      <c r="BW88" s="317" t="str">
        <f>IFERROR(IFERROR(VLOOKUP($A88,VENTAS!$H$2:$O$201,8,FALSE),"")/$C88,"")</f>
        <v/>
      </c>
      <c r="BX88" s="111"/>
      <c r="BY88" s="203" t="e">
        <f>VLOOKUP($A88,INICIO_BARRA!$A$6:$R$130,17,FALSE)</f>
        <v>#N/A</v>
      </c>
      <c r="BZ88" s="203" t="e">
        <f>VLOOKUP($A88,INICIO_BARRA!$A$6:$R$130,18,FALSE)</f>
        <v>#N/A</v>
      </c>
      <c r="CA88" s="11"/>
      <c r="CB88" s="94" t="str">
        <f>IFERROR(IFERROR(IF(CA88&gt;0,"",CA88*VLOOKUP($A88,'VALOR I.'!$B$6:$K$418,10,FALSE)),"")*$C88,"")</f>
        <v/>
      </c>
    </row>
    <row r="89" spans="1:80" s="7" customFormat="1" ht="30" hidden="1" customHeight="1" x14ac:dyDescent="0.3">
      <c r="A89" s="3"/>
      <c r="B89" s="38"/>
      <c r="C89" s="141"/>
      <c r="D89" s="203" t="e">
        <f>VLOOKUP($A89,INICIO_BARRA!$A$6:$R$130,3,FALSE)</f>
        <v>#N/A</v>
      </c>
      <c r="E89" s="203" t="e">
        <f>VLOOKUP($A89,INICIO_BARRA!$A$6:$R$130,4,FALSE)</f>
        <v>#N/A</v>
      </c>
      <c r="F89" s="203" t="str">
        <f>IFERROR(VLOOKUP($A89,REPOSICIONES_BARRA!$A$6:$I$130,3,FALSE),"")</f>
        <v/>
      </c>
      <c r="G89" s="315" t="e">
        <f t="shared" si="80"/>
        <v>#N/A</v>
      </c>
      <c r="H89" s="316" t="e">
        <f t="shared" si="81"/>
        <v>#N/A</v>
      </c>
      <c r="I89" s="317" t="str">
        <f>IFERROR(IFERROR(VLOOKUP($A89,VENTAS!$H$2:$O$201,2,FALSE),"")/$C89,"")</f>
        <v/>
      </c>
      <c r="J89" s="111"/>
      <c r="K89" s="203" t="e">
        <f>VLOOKUP($A89,INICIO_BARRA!$A$6:$R$130,5,FALSE)</f>
        <v>#N/A</v>
      </c>
      <c r="L89" s="203" t="e">
        <f>VLOOKUP($A89,INICIO_BARRA!$A$6:$R$130,6,FALSE)</f>
        <v>#N/A</v>
      </c>
      <c r="M89" s="11"/>
      <c r="N89" s="204" t="str">
        <f>IFERROR(IFERROR(IF(M89&gt;0,"",M89*VLOOKUP($A89,'VALOR I.'!$B$6:$K$418,10,FALSE)),"")*$C89,"")</f>
        <v/>
      </c>
      <c r="O89" s="203" t="e">
        <f>VLOOKUP($A89,INICIO_BARRA!$A$6:$R$130,5,FALSE)</f>
        <v>#N/A</v>
      </c>
      <c r="P89" s="203" t="e">
        <f>VLOOKUP($A89,INICIO_BARRA!$A$6:$R$130,6,FALSE)</f>
        <v>#N/A</v>
      </c>
      <c r="Q89" s="203" t="str">
        <f>IFERROR(VLOOKUP($A89,REPOSICIONES_BARRA!$A$6:$I$130,4,FALSE),"")</f>
        <v/>
      </c>
      <c r="R89" s="315" t="e">
        <f t="shared" si="70"/>
        <v>#N/A</v>
      </c>
      <c r="S89" s="316" t="e">
        <f t="shared" si="71"/>
        <v>#N/A</v>
      </c>
      <c r="T89" s="317" t="str">
        <f>IFERROR(IFERROR(VLOOKUP($A89,VENTAS!$H$2:$O$201,3,FALSE),"")/$C89,"")</f>
        <v/>
      </c>
      <c r="U89" s="111"/>
      <c r="V89" s="203" t="e">
        <f>VLOOKUP($A89,INICIO_BARRA!$A$6:$R$130,7,FALSE)</f>
        <v>#N/A</v>
      </c>
      <c r="W89" s="203" t="e">
        <f>VLOOKUP($A89,INICIO_BARRA!$A$6:$R$130,8,FALSE)</f>
        <v>#N/A</v>
      </c>
      <c r="X89" s="11"/>
      <c r="Y89" s="204" t="str">
        <f>IFERROR(IFERROR(IF(X89&gt;0,"",X89*VLOOKUP($A89,'VALOR I.'!$B$6:$K$418,10,FALSE)),"")*$C89,"")</f>
        <v/>
      </c>
      <c r="Z89" s="203" t="e">
        <f>VLOOKUP($A89,INICIO_BARRA!$A$6:$R$130,7,FALSE)</f>
        <v>#N/A</v>
      </c>
      <c r="AA89" s="203" t="e">
        <f>VLOOKUP($A89,INICIO_BARRA!$A$6:$R$130,8,FALSE)</f>
        <v>#N/A</v>
      </c>
      <c r="AB89" s="203" t="str">
        <f>IFERROR(VLOOKUP($A89,REPOSICIONES_BARRA!$A$6:$I$130,5,FALSE),"")</f>
        <v/>
      </c>
      <c r="AC89" s="315" t="e">
        <f t="shared" si="72"/>
        <v>#N/A</v>
      </c>
      <c r="AD89" s="316" t="e">
        <f t="shared" si="73"/>
        <v>#N/A</v>
      </c>
      <c r="AE89" s="317" t="str">
        <f>IFERROR(IFERROR(VLOOKUP($A89,VENTAS!$H$2:$O$201,4,FALSE),"")/$C89,"")</f>
        <v/>
      </c>
      <c r="AF89" s="111"/>
      <c r="AG89" s="203" t="e">
        <f>VLOOKUP($A89,INICIO_BARRA!$A$6:$R$130,9,FALSE)</f>
        <v>#N/A</v>
      </c>
      <c r="AH89" s="203" t="e">
        <f>VLOOKUP($A89,INICIO_BARRA!$A$6:$R$130,10,FALSE)</f>
        <v>#N/A</v>
      </c>
      <c r="AI89" s="11"/>
      <c r="AJ89" s="94" t="str">
        <f>IFERROR(IFERROR(IF(AI89&gt;0,"",AI89*VLOOKUP($A89,'VALOR I.'!$B$6:$K$418,10,FALSE)),"")*$C89,"")</f>
        <v/>
      </c>
      <c r="AK89" s="203" t="e">
        <f>VLOOKUP($A89,INICIO_BARRA!$A$6:$R$130,9,FALSE)</f>
        <v>#N/A</v>
      </c>
      <c r="AL89" s="203" t="e">
        <f>VLOOKUP($A89,INICIO_BARRA!$A$6:$R$130,10,FALSE)</f>
        <v>#N/A</v>
      </c>
      <c r="AM89" s="203" t="str">
        <f>IFERROR(VLOOKUP($A89,REPOSICIONES_BARRA!$A$6:$I$130,6,FALSE),"")</f>
        <v/>
      </c>
      <c r="AN89" s="315" t="e">
        <f t="shared" si="74"/>
        <v>#N/A</v>
      </c>
      <c r="AO89" s="316" t="e">
        <f t="shared" si="75"/>
        <v>#N/A</v>
      </c>
      <c r="AP89" s="317" t="str">
        <f>IFERROR(IFERROR(VLOOKUP($A89,VENTAS!$H$2:$O$201,5,FALSE),"")/$C89,"")</f>
        <v/>
      </c>
      <c r="AQ89" s="111"/>
      <c r="AR89" s="203" t="e">
        <f>VLOOKUP($A89,INICIO_BARRA!$A$6:$R$130,11,FALSE)</f>
        <v>#N/A</v>
      </c>
      <c r="AS89" s="203" t="e">
        <f>VLOOKUP($A89,INICIO_BARRA!$A$6:$R$130,12,FALSE)</f>
        <v>#N/A</v>
      </c>
      <c r="AT89" s="11"/>
      <c r="AU89" s="94" t="str">
        <f>IFERROR(IFERROR(IF(AT89&gt;0,"",AT89*VLOOKUP($A89,'VALOR I.'!$B$6:$K$418,10,FALSE)),"")*$C89,"")</f>
        <v/>
      </c>
      <c r="AV89" s="203" t="e">
        <f>VLOOKUP($A89,INICIO_BARRA!$A$6:$R$130,11,FALSE)</f>
        <v>#N/A</v>
      </c>
      <c r="AW89" s="203" t="e">
        <f>VLOOKUP($A89,INICIO_BARRA!$A$6:$R$130,12,FALSE)</f>
        <v>#N/A</v>
      </c>
      <c r="AX89" s="203" t="str">
        <f>IFERROR(VLOOKUP($A89,REPOSICIONES_BARRA!$A$6:$I$130,7,FALSE),"")</f>
        <v/>
      </c>
      <c r="AY89" s="315" t="e">
        <f t="shared" si="76"/>
        <v>#N/A</v>
      </c>
      <c r="AZ89" s="316" t="e">
        <f t="shared" si="77"/>
        <v>#N/A</v>
      </c>
      <c r="BA89" s="317" t="str">
        <f>IFERROR(IFERROR(VLOOKUP($A89,VENTAS!$H$2:$O$201,6,FALSE),"")/$C89,"")</f>
        <v/>
      </c>
      <c r="BB89" s="111"/>
      <c r="BC89" s="203" t="e">
        <f>VLOOKUP($A89,INICIO_BARRA!$A$6:$R$130,13,FALSE)</f>
        <v>#N/A</v>
      </c>
      <c r="BD89" s="203" t="e">
        <f>VLOOKUP($A89,INICIO_BARRA!$A$6:$R$130,14,FALSE)</f>
        <v>#N/A</v>
      </c>
      <c r="BE89" s="11"/>
      <c r="BF89" s="94" t="str">
        <f>IFERROR(IFERROR(IF(BE89&gt;0,"",BE89*VLOOKUP($A89,'VALOR I.'!$B$6:$K$418,10,FALSE)),"")*$C89,"")</f>
        <v/>
      </c>
      <c r="BG89" s="203" t="e">
        <f>VLOOKUP($A89,INICIO_BARRA!$A$6:$R$130,13,FALSE)</f>
        <v>#N/A</v>
      </c>
      <c r="BH89" s="203" t="e">
        <f>VLOOKUP($A89,INICIO_BARRA!$A$6:$R$130,14,FALSE)</f>
        <v>#N/A</v>
      </c>
      <c r="BI89" s="203" t="str">
        <f>IFERROR(VLOOKUP($A89,REPOSICIONES_BARRA!$A$6:$I$130,8,FALSE),"")</f>
        <v/>
      </c>
      <c r="BJ89" s="315" t="e">
        <f t="shared" si="78"/>
        <v>#N/A</v>
      </c>
      <c r="BK89" s="316" t="e">
        <f t="shared" si="79"/>
        <v>#N/A</v>
      </c>
      <c r="BL89" s="317" t="str">
        <f>IFERROR(IFERROR(VLOOKUP($A89,VENTAS!$H$2:$O$201,7,FALSE),"")/$C89,"")</f>
        <v/>
      </c>
      <c r="BM89" s="111"/>
      <c r="BN89" s="203" t="e">
        <f>VLOOKUP($A89,INICIO_BARRA!$A$6:$R$130,15,FALSE)</f>
        <v>#N/A</v>
      </c>
      <c r="BO89" s="203" t="e">
        <f>VLOOKUP($A89,INICIO_BARRA!$A$6:$R$130,16,FALSE)</f>
        <v>#N/A</v>
      </c>
      <c r="BP89" s="11"/>
      <c r="BQ89" s="94" t="str">
        <f>IFERROR(IFERROR(IF(BP89&gt;0,"",BP89*VLOOKUP($A89,'VALOR I.'!$B$6:$K$418,10,FALSE)),"")*$C89,"")</f>
        <v/>
      </c>
      <c r="BR89" s="203" t="e">
        <f>VLOOKUP($A89,INICIO_BARRA!$A$6:$R$130,15,FALSE)</f>
        <v>#N/A</v>
      </c>
      <c r="BS89" s="203" t="e">
        <f>VLOOKUP($A89,INICIO_BARRA!$A$6:$R$130,16,FALSE)</f>
        <v>#N/A</v>
      </c>
      <c r="BT89" s="203" t="str">
        <f>IFERROR(VLOOKUP($A89,REPOSICIONES_BARRA!$A$6:$I$130,9,FALSE),"")</f>
        <v/>
      </c>
      <c r="BU89" s="315" t="e">
        <f t="shared" si="82"/>
        <v>#N/A</v>
      </c>
      <c r="BV89" s="316" t="e">
        <f t="shared" si="83"/>
        <v>#N/A</v>
      </c>
      <c r="BW89" s="317" t="str">
        <f>IFERROR(IFERROR(VLOOKUP($A89,VENTAS!$H$2:$O$201,8,FALSE),"")/$C89,"")</f>
        <v/>
      </c>
      <c r="BX89" s="111"/>
      <c r="BY89" s="203" t="e">
        <f>VLOOKUP($A89,INICIO_BARRA!$A$6:$R$130,17,FALSE)</f>
        <v>#N/A</v>
      </c>
      <c r="BZ89" s="203" t="e">
        <f>VLOOKUP($A89,INICIO_BARRA!$A$6:$R$130,18,FALSE)</f>
        <v>#N/A</v>
      </c>
      <c r="CA89" s="11"/>
      <c r="CB89" s="94" t="str">
        <f>IFERROR(IFERROR(IF(CA89&gt;0,"",CA89*VLOOKUP($A89,'VALOR I.'!$B$6:$K$418,10,FALSE)),"")*$C89,"")</f>
        <v/>
      </c>
    </row>
    <row r="90" spans="1:80" s="7" customFormat="1" ht="30" hidden="1" customHeight="1" x14ac:dyDescent="0.45">
      <c r="A90" s="3"/>
      <c r="B90" s="28"/>
      <c r="C90" s="141"/>
      <c r="D90" s="203" t="e">
        <f>VLOOKUP($A90,INICIO_BARRA!$A$6:$R$130,3,FALSE)</f>
        <v>#N/A</v>
      </c>
      <c r="E90" s="203" t="e">
        <f>VLOOKUP($A90,INICIO_BARRA!$A$6:$R$130,4,FALSE)</f>
        <v>#N/A</v>
      </c>
      <c r="F90" s="203" t="str">
        <f>IFERROR(VLOOKUP($A90,REPOSICIONES_BARRA!$A$6:$I$130,3,FALSE),"")</f>
        <v/>
      </c>
      <c r="G90" s="315" t="e">
        <f t="shared" si="80"/>
        <v>#N/A</v>
      </c>
      <c r="H90" s="316" t="e">
        <f t="shared" si="81"/>
        <v>#N/A</v>
      </c>
      <c r="I90" s="317" t="str">
        <f>IFERROR(IFERROR(VLOOKUP($A90,VENTAS!$H$2:$O$201,2,FALSE),"")/$C90,"")</f>
        <v/>
      </c>
      <c r="J90" s="111"/>
      <c r="K90" s="203" t="e">
        <f>VLOOKUP($A90,INICIO_BARRA!$A$6:$R$130,5,FALSE)</f>
        <v>#N/A</v>
      </c>
      <c r="L90" s="203" t="e">
        <f>VLOOKUP($A90,INICIO_BARRA!$A$6:$R$130,6,FALSE)</f>
        <v>#N/A</v>
      </c>
      <c r="M90" s="11"/>
      <c r="N90" s="204" t="str">
        <f>IFERROR(IFERROR(IF(M90&gt;0,"",M90*VLOOKUP($A90,'VALOR I.'!$B$6:$K$418,10,FALSE)),"")*$C90,"")</f>
        <v/>
      </c>
      <c r="O90" s="203" t="e">
        <f>VLOOKUP($A90,INICIO_BARRA!$A$6:$R$130,5,FALSE)</f>
        <v>#N/A</v>
      </c>
      <c r="P90" s="203" t="e">
        <f>VLOOKUP($A90,INICIO_BARRA!$A$6:$R$130,6,FALSE)</f>
        <v>#N/A</v>
      </c>
      <c r="Q90" s="203" t="str">
        <f>IFERROR(VLOOKUP($A90,REPOSICIONES_BARRA!$A$6:$I$130,4,FALSE),"")</f>
        <v/>
      </c>
      <c r="R90" s="315" t="e">
        <f t="shared" si="70"/>
        <v>#N/A</v>
      </c>
      <c r="S90" s="316" t="e">
        <f t="shared" si="71"/>
        <v>#N/A</v>
      </c>
      <c r="T90" s="317" t="str">
        <f>IFERROR(IFERROR(VLOOKUP($A90,VENTAS!$H$2:$O$201,3,FALSE),"")/$C90,"")</f>
        <v/>
      </c>
      <c r="U90" s="111"/>
      <c r="V90" s="203" t="e">
        <f>VLOOKUP($A90,INICIO_BARRA!$A$6:$R$130,7,FALSE)</f>
        <v>#N/A</v>
      </c>
      <c r="W90" s="203" t="e">
        <f>VLOOKUP($A90,INICIO_BARRA!$A$6:$R$130,8,FALSE)</f>
        <v>#N/A</v>
      </c>
      <c r="X90" s="11"/>
      <c r="Y90" s="204" t="str">
        <f>IFERROR(IFERROR(IF(X90&gt;0,"",X90*VLOOKUP($A90,'VALOR I.'!$B$6:$K$418,10,FALSE)),"")*$C90,"")</f>
        <v/>
      </c>
      <c r="Z90" s="203" t="e">
        <f>VLOOKUP($A90,INICIO_BARRA!$A$6:$R$130,7,FALSE)</f>
        <v>#N/A</v>
      </c>
      <c r="AA90" s="203" t="e">
        <f>VLOOKUP($A90,INICIO_BARRA!$A$6:$R$130,8,FALSE)</f>
        <v>#N/A</v>
      </c>
      <c r="AB90" s="203" t="str">
        <f>IFERROR(VLOOKUP($A90,REPOSICIONES_BARRA!$A$6:$I$130,5,FALSE),"")</f>
        <v/>
      </c>
      <c r="AC90" s="315" t="e">
        <f t="shared" si="72"/>
        <v>#N/A</v>
      </c>
      <c r="AD90" s="316" t="e">
        <f t="shared" si="73"/>
        <v>#N/A</v>
      </c>
      <c r="AE90" s="317" t="str">
        <f>IFERROR(IFERROR(VLOOKUP($A90,VENTAS!$H$2:$O$201,4,FALSE),"")/$C90,"")</f>
        <v/>
      </c>
      <c r="AF90" s="111"/>
      <c r="AG90" s="203" t="e">
        <f>VLOOKUP($A90,INICIO_BARRA!$A$6:$R$130,9,FALSE)</f>
        <v>#N/A</v>
      </c>
      <c r="AH90" s="203" t="e">
        <f>VLOOKUP($A90,INICIO_BARRA!$A$6:$R$130,10,FALSE)</f>
        <v>#N/A</v>
      </c>
      <c r="AI90" s="11"/>
      <c r="AJ90" s="94" t="str">
        <f>IFERROR(IFERROR(IF(AI90&gt;0,"",AI90*VLOOKUP($A90,'VALOR I.'!$B$6:$K$418,10,FALSE)),"")*$C90,"")</f>
        <v/>
      </c>
      <c r="AK90" s="203" t="e">
        <f>VLOOKUP($A90,INICIO_BARRA!$A$6:$R$130,9,FALSE)</f>
        <v>#N/A</v>
      </c>
      <c r="AL90" s="203" t="e">
        <f>VLOOKUP($A90,INICIO_BARRA!$A$6:$R$130,10,FALSE)</f>
        <v>#N/A</v>
      </c>
      <c r="AM90" s="203" t="str">
        <f>IFERROR(VLOOKUP($A90,REPOSICIONES_BARRA!$A$6:$I$130,6,FALSE),"")</f>
        <v/>
      </c>
      <c r="AN90" s="315" t="e">
        <f t="shared" si="74"/>
        <v>#N/A</v>
      </c>
      <c r="AO90" s="316" t="e">
        <f t="shared" si="75"/>
        <v>#N/A</v>
      </c>
      <c r="AP90" s="317" t="str">
        <f>IFERROR(IFERROR(VLOOKUP($A90,VENTAS!$H$2:$O$201,5,FALSE),"")/$C90,"")</f>
        <v/>
      </c>
      <c r="AQ90" s="111"/>
      <c r="AR90" s="203" t="e">
        <f>VLOOKUP($A90,INICIO_BARRA!$A$6:$R$130,11,FALSE)</f>
        <v>#N/A</v>
      </c>
      <c r="AS90" s="203" t="e">
        <f>VLOOKUP($A90,INICIO_BARRA!$A$6:$R$130,12,FALSE)</f>
        <v>#N/A</v>
      </c>
      <c r="AT90" s="11"/>
      <c r="AU90" s="94" t="str">
        <f>IFERROR(IFERROR(IF(AT90&gt;0,"",AT90*VLOOKUP($A90,'VALOR I.'!$B$6:$K$418,10,FALSE)),"")*$C90,"")</f>
        <v/>
      </c>
      <c r="AV90" s="203" t="e">
        <f>VLOOKUP($A90,INICIO_BARRA!$A$6:$R$130,11,FALSE)</f>
        <v>#N/A</v>
      </c>
      <c r="AW90" s="203" t="e">
        <f>VLOOKUP($A90,INICIO_BARRA!$A$6:$R$130,12,FALSE)</f>
        <v>#N/A</v>
      </c>
      <c r="AX90" s="203" t="str">
        <f>IFERROR(VLOOKUP($A90,REPOSICIONES_BARRA!$A$6:$I$130,7,FALSE),"")</f>
        <v/>
      </c>
      <c r="AY90" s="315" t="e">
        <f t="shared" si="76"/>
        <v>#N/A</v>
      </c>
      <c r="AZ90" s="316" t="e">
        <f t="shared" si="77"/>
        <v>#N/A</v>
      </c>
      <c r="BA90" s="317" t="str">
        <f>IFERROR(IFERROR(VLOOKUP($A90,VENTAS!$H$2:$O$201,6,FALSE),"")/$C90,"")</f>
        <v/>
      </c>
      <c r="BB90" s="111"/>
      <c r="BC90" s="203" t="e">
        <f>VLOOKUP($A90,INICIO_BARRA!$A$6:$R$130,13,FALSE)</f>
        <v>#N/A</v>
      </c>
      <c r="BD90" s="203" t="e">
        <f>VLOOKUP($A90,INICIO_BARRA!$A$6:$R$130,14,FALSE)</f>
        <v>#N/A</v>
      </c>
      <c r="BE90" s="11"/>
      <c r="BF90" s="94" t="str">
        <f>IFERROR(IFERROR(IF(BE90&gt;0,"",BE90*VLOOKUP($A90,'VALOR I.'!$B$6:$K$418,10,FALSE)),"")*$C90,"")</f>
        <v/>
      </c>
      <c r="BG90" s="203" t="e">
        <f>VLOOKUP($A90,INICIO_BARRA!$A$6:$R$130,13,FALSE)</f>
        <v>#N/A</v>
      </c>
      <c r="BH90" s="203" t="e">
        <f>VLOOKUP($A90,INICIO_BARRA!$A$6:$R$130,14,FALSE)</f>
        <v>#N/A</v>
      </c>
      <c r="BI90" s="203" t="str">
        <f>IFERROR(VLOOKUP($A90,REPOSICIONES_BARRA!$A$6:$I$130,8,FALSE),"")</f>
        <v/>
      </c>
      <c r="BJ90" s="315" t="e">
        <f t="shared" si="78"/>
        <v>#N/A</v>
      </c>
      <c r="BK90" s="316" t="e">
        <f t="shared" si="79"/>
        <v>#N/A</v>
      </c>
      <c r="BL90" s="317" t="str">
        <f>IFERROR(IFERROR(VLOOKUP($A90,VENTAS!$H$2:$O$201,7,FALSE),"")/$C90,"")</f>
        <v/>
      </c>
      <c r="BM90" s="111"/>
      <c r="BN90" s="203" t="e">
        <f>VLOOKUP($A90,INICIO_BARRA!$A$6:$R$130,15,FALSE)</f>
        <v>#N/A</v>
      </c>
      <c r="BO90" s="203" t="e">
        <f>VLOOKUP($A90,INICIO_BARRA!$A$6:$R$130,16,FALSE)</f>
        <v>#N/A</v>
      </c>
      <c r="BP90" s="11"/>
      <c r="BQ90" s="94" t="str">
        <f>IFERROR(IFERROR(IF(BP90&gt;0,"",BP90*VLOOKUP($A90,'VALOR I.'!$B$6:$K$418,10,FALSE)),"")*$C90,"")</f>
        <v/>
      </c>
      <c r="BR90" s="203" t="e">
        <f>VLOOKUP($A90,INICIO_BARRA!$A$6:$R$130,15,FALSE)</f>
        <v>#N/A</v>
      </c>
      <c r="BS90" s="203" t="e">
        <f>VLOOKUP($A90,INICIO_BARRA!$A$6:$R$130,16,FALSE)</f>
        <v>#N/A</v>
      </c>
      <c r="BT90" s="203" t="str">
        <f>IFERROR(VLOOKUP($A90,REPOSICIONES_BARRA!$A$6:$I$130,9,FALSE),"")</f>
        <v/>
      </c>
      <c r="BU90" s="315" t="e">
        <f t="shared" si="82"/>
        <v>#N/A</v>
      </c>
      <c r="BV90" s="316" t="e">
        <f t="shared" si="83"/>
        <v>#N/A</v>
      </c>
      <c r="BW90" s="317" t="str">
        <f>IFERROR(IFERROR(VLOOKUP($A90,VENTAS!$H$2:$O$201,8,FALSE),"")/$C90,"")</f>
        <v/>
      </c>
      <c r="BX90" s="111"/>
      <c r="BY90" s="203" t="e">
        <f>VLOOKUP($A90,INICIO_BARRA!$A$6:$R$130,17,FALSE)</f>
        <v>#N/A</v>
      </c>
      <c r="BZ90" s="203" t="e">
        <f>VLOOKUP($A90,INICIO_BARRA!$A$6:$R$130,18,FALSE)</f>
        <v>#N/A</v>
      </c>
      <c r="CA90" s="11"/>
      <c r="CB90" s="94" t="str">
        <f>IFERROR(IFERROR(IF(CA90&gt;0,"",CA90*VLOOKUP($A90,'VALOR I.'!$B$6:$K$418,10,FALSE)),"")*$C90,"")</f>
        <v/>
      </c>
    </row>
    <row r="91" spans="1:80" s="7" customFormat="1" ht="30" hidden="1" customHeight="1" x14ac:dyDescent="0.45">
      <c r="A91" s="3"/>
      <c r="B91" s="28"/>
      <c r="C91" s="141"/>
      <c r="D91" s="203" t="e">
        <f>VLOOKUP($A91,INICIO_BARRA!$A$6:$R$130,3,FALSE)</f>
        <v>#N/A</v>
      </c>
      <c r="E91" s="203" t="e">
        <f>VLOOKUP($A91,INICIO_BARRA!$A$6:$R$130,4,FALSE)</f>
        <v>#N/A</v>
      </c>
      <c r="F91" s="203" t="str">
        <f>IFERROR(VLOOKUP($A91,REPOSICIONES_BARRA!$A$6:$I$130,3,FALSE),"")</f>
        <v/>
      </c>
      <c r="G91" s="315" t="e">
        <f t="shared" si="80"/>
        <v>#N/A</v>
      </c>
      <c r="H91" s="316" t="e">
        <f t="shared" si="81"/>
        <v>#N/A</v>
      </c>
      <c r="I91" s="317" t="str">
        <f>IFERROR(IFERROR(VLOOKUP($A91,VENTAS!$H$2:$O$201,2,FALSE),"")/$C91,"")</f>
        <v/>
      </c>
      <c r="J91" s="111"/>
      <c r="K91" s="203" t="e">
        <f>VLOOKUP($A91,INICIO_BARRA!$A$6:$R$130,5,FALSE)</f>
        <v>#N/A</v>
      </c>
      <c r="L91" s="203" t="e">
        <f>VLOOKUP($A91,INICIO_BARRA!$A$6:$R$130,6,FALSE)</f>
        <v>#N/A</v>
      </c>
      <c r="M91" s="11"/>
      <c r="N91" s="204" t="str">
        <f>IFERROR(IFERROR(IF(M91&gt;0,"",M91*VLOOKUP($A91,'VALOR I.'!$B$6:$K$418,10,FALSE)),"")*$C91,"")</f>
        <v/>
      </c>
      <c r="O91" s="203" t="e">
        <f>VLOOKUP($A91,INICIO_BARRA!$A$6:$R$130,5,FALSE)</f>
        <v>#N/A</v>
      </c>
      <c r="P91" s="203" t="e">
        <f>VLOOKUP($A91,INICIO_BARRA!$A$6:$R$130,6,FALSE)</f>
        <v>#N/A</v>
      </c>
      <c r="Q91" s="203" t="str">
        <f>IFERROR(VLOOKUP($A91,REPOSICIONES_BARRA!$A$6:$I$130,4,FALSE),"")</f>
        <v/>
      </c>
      <c r="R91" s="315" t="e">
        <f t="shared" si="70"/>
        <v>#N/A</v>
      </c>
      <c r="S91" s="316" t="e">
        <f t="shared" si="71"/>
        <v>#N/A</v>
      </c>
      <c r="T91" s="317" t="str">
        <f>IFERROR(IFERROR(VLOOKUP($A91,VENTAS!$H$2:$O$201,3,FALSE),"")/$C91,"")</f>
        <v/>
      </c>
      <c r="U91" s="111"/>
      <c r="V91" s="203" t="e">
        <f>VLOOKUP($A91,INICIO_BARRA!$A$6:$R$130,7,FALSE)</f>
        <v>#N/A</v>
      </c>
      <c r="W91" s="203" t="e">
        <f>VLOOKUP($A91,INICIO_BARRA!$A$6:$R$130,8,FALSE)</f>
        <v>#N/A</v>
      </c>
      <c r="X91" s="11"/>
      <c r="Y91" s="204" t="str">
        <f>IFERROR(IFERROR(IF(X91&gt;0,"",X91*VLOOKUP($A91,'VALOR I.'!$B$6:$K$418,10,FALSE)),"")*$C91,"")</f>
        <v/>
      </c>
      <c r="Z91" s="203" t="e">
        <f>VLOOKUP($A91,INICIO_BARRA!$A$6:$R$130,7,FALSE)</f>
        <v>#N/A</v>
      </c>
      <c r="AA91" s="203" t="e">
        <f>VLOOKUP($A91,INICIO_BARRA!$A$6:$R$130,8,FALSE)</f>
        <v>#N/A</v>
      </c>
      <c r="AB91" s="203" t="str">
        <f>IFERROR(VLOOKUP($A91,REPOSICIONES_BARRA!$A$6:$I$130,5,FALSE),"")</f>
        <v/>
      </c>
      <c r="AC91" s="315" t="e">
        <f t="shared" si="72"/>
        <v>#N/A</v>
      </c>
      <c r="AD91" s="316" t="e">
        <f t="shared" si="73"/>
        <v>#N/A</v>
      </c>
      <c r="AE91" s="317" t="str">
        <f>IFERROR(IFERROR(VLOOKUP($A91,VENTAS!$H$2:$O$201,4,FALSE),"")/$C91,"")</f>
        <v/>
      </c>
      <c r="AF91" s="111"/>
      <c r="AG91" s="203" t="e">
        <f>VLOOKUP($A91,INICIO_BARRA!$A$6:$R$130,9,FALSE)</f>
        <v>#N/A</v>
      </c>
      <c r="AH91" s="203" t="e">
        <f>VLOOKUP($A91,INICIO_BARRA!$A$6:$R$130,10,FALSE)</f>
        <v>#N/A</v>
      </c>
      <c r="AI91" s="11"/>
      <c r="AJ91" s="94" t="str">
        <f>IFERROR(IFERROR(IF(AI91&gt;0,"",AI91*VLOOKUP($A91,'VALOR I.'!$B$6:$K$418,10,FALSE)),"")*$C91,"")</f>
        <v/>
      </c>
      <c r="AK91" s="203" t="e">
        <f>VLOOKUP($A91,INICIO_BARRA!$A$6:$R$130,9,FALSE)</f>
        <v>#N/A</v>
      </c>
      <c r="AL91" s="203" t="e">
        <f>VLOOKUP($A91,INICIO_BARRA!$A$6:$R$130,10,FALSE)</f>
        <v>#N/A</v>
      </c>
      <c r="AM91" s="203" t="str">
        <f>IFERROR(VLOOKUP($A91,REPOSICIONES_BARRA!$A$6:$I$130,6,FALSE),"")</f>
        <v/>
      </c>
      <c r="AN91" s="315" t="e">
        <f t="shared" si="74"/>
        <v>#N/A</v>
      </c>
      <c r="AO91" s="316" t="e">
        <f t="shared" si="75"/>
        <v>#N/A</v>
      </c>
      <c r="AP91" s="317" t="str">
        <f>IFERROR(IFERROR(VLOOKUP($A91,VENTAS!$H$2:$O$201,5,FALSE),"")/$C91,"")</f>
        <v/>
      </c>
      <c r="AQ91" s="111"/>
      <c r="AR91" s="203" t="e">
        <f>VLOOKUP($A91,INICIO_BARRA!$A$6:$R$130,11,FALSE)</f>
        <v>#N/A</v>
      </c>
      <c r="AS91" s="203" t="e">
        <f>VLOOKUP($A91,INICIO_BARRA!$A$6:$R$130,12,FALSE)</f>
        <v>#N/A</v>
      </c>
      <c r="AT91" s="11"/>
      <c r="AU91" s="94" t="str">
        <f>IFERROR(IFERROR(IF(AT91&gt;0,"",AT91*VLOOKUP($A91,'VALOR I.'!$B$6:$K$418,10,FALSE)),"")*$C91,"")</f>
        <v/>
      </c>
      <c r="AV91" s="203" t="e">
        <f>VLOOKUP($A91,INICIO_BARRA!$A$6:$R$130,11,FALSE)</f>
        <v>#N/A</v>
      </c>
      <c r="AW91" s="203" t="e">
        <f>VLOOKUP($A91,INICIO_BARRA!$A$6:$R$130,12,FALSE)</f>
        <v>#N/A</v>
      </c>
      <c r="AX91" s="203" t="str">
        <f>IFERROR(VLOOKUP($A91,REPOSICIONES_BARRA!$A$6:$I$130,7,FALSE),"")</f>
        <v/>
      </c>
      <c r="AY91" s="315" t="e">
        <f t="shared" si="76"/>
        <v>#N/A</v>
      </c>
      <c r="AZ91" s="316" t="e">
        <f t="shared" si="77"/>
        <v>#N/A</v>
      </c>
      <c r="BA91" s="317" t="str">
        <f>IFERROR(IFERROR(VLOOKUP($A91,VENTAS!$H$2:$O$201,6,FALSE),"")/$C91,"")</f>
        <v/>
      </c>
      <c r="BB91" s="111"/>
      <c r="BC91" s="203" t="e">
        <f>VLOOKUP($A91,INICIO_BARRA!$A$6:$R$130,13,FALSE)</f>
        <v>#N/A</v>
      </c>
      <c r="BD91" s="203" t="e">
        <f>VLOOKUP($A91,INICIO_BARRA!$A$6:$R$130,14,FALSE)</f>
        <v>#N/A</v>
      </c>
      <c r="BE91" s="11"/>
      <c r="BF91" s="94" t="str">
        <f>IFERROR(IFERROR(IF(BE91&gt;0,"",BE91*VLOOKUP($A91,'VALOR I.'!$B$6:$K$418,10,FALSE)),"")*$C91,"")</f>
        <v/>
      </c>
      <c r="BG91" s="203" t="e">
        <f>VLOOKUP($A91,INICIO_BARRA!$A$6:$R$130,13,FALSE)</f>
        <v>#N/A</v>
      </c>
      <c r="BH91" s="203" t="e">
        <f>VLOOKUP($A91,INICIO_BARRA!$A$6:$R$130,14,FALSE)</f>
        <v>#N/A</v>
      </c>
      <c r="BI91" s="203" t="str">
        <f>IFERROR(VLOOKUP($A91,REPOSICIONES_BARRA!$A$6:$I$130,8,FALSE),"")</f>
        <v/>
      </c>
      <c r="BJ91" s="315" t="e">
        <f t="shared" si="78"/>
        <v>#N/A</v>
      </c>
      <c r="BK91" s="316" t="e">
        <f t="shared" si="79"/>
        <v>#N/A</v>
      </c>
      <c r="BL91" s="317" t="str">
        <f>IFERROR(IFERROR(VLOOKUP($A91,VENTAS!$H$2:$O$201,7,FALSE),"")/$C91,"")</f>
        <v/>
      </c>
      <c r="BM91" s="111"/>
      <c r="BN91" s="203" t="e">
        <f>VLOOKUP($A91,INICIO_BARRA!$A$6:$R$130,15,FALSE)</f>
        <v>#N/A</v>
      </c>
      <c r="BO91" s="203" t="e">
        <f>VLOOKUP($A91,INICIO_BARRA!$A$6:$R$130,16,FALSE)</f>
        <v>#N/A</v>
      </c>
      <c r="BP91" s="11"/>
      <c r="BQ91" s="94" t="str">
        <f>IFERROR(IFERROR(IF(BP91&gt;0,"",BP91*VLOOKUP($A91,'VALOR I.'!$B$6:$K$418,10,FALSE)),"")*$C91,"")</f>
        <v/>
      </c>
      <c r="BR91" s="203" t="e">
        <f>VLOOKUP($A91,INICIO_BARRA!$A$6:$R$130,15,FALSE)</f>
        <v>#N/A</v>
      </c>
      <c r="BS91" s="203" t="e">
        <f>VLOOKUP($A91,INICIO_BARRA!$A$6:$R$130,16,FALSE)</f>
        <v>#N/A</v>
      </c>
      <c r="BT91" s="203" t="str">
        <f>IFERROR(VLOOKUP($A91,REPOSICIONES_BARRA!$A$6:$I$130,9,FALSE),"")</f>
        <v/>
      </c>
      <c r="BU91" s="315" t="e">
        <f t="shared" si="82"/>
        <v>#N/A</v>
      </c>
      <c r="BV91" s="316" t="e">
        <f t="shared" si="83"/>
        <v>#N/A</v>
      </c>
      <c r="BW91" s="317" t="str">
        <f>IFERROR(IFERROR(VLOOKUP($A91,VENTAS!$H$2:$O$201,8,FALSE),"")/$C91,"")</f>
        <v/>
      </c>
      <c r="BX91" s="111"/>
      <c r="BY91" s="203" t="e">
        <f>VLOOKUP($A91,INICIO_BARRA!$A$6:$R$130,17,FALSE)</f>
        <v>#N/A</v>
      </c>
      <c r="BZ91" s="203" t="e">
        <f>VLOOKUP($A91,INICIO_BARRA!$A$6:$R$130,18,FALSE)</f>
        <v>#N/A</v>
      </c>
      <c r="CA91" s="11"/>
      <c r="CB91" s="94" t="str">
        <f>IFERROR(IFERROR(IF(CA91&gt;0,"",CA91*VLOOKUP($A91,'VALOR I.'!$B$6:$K$418,10,FALSE)),"")*$C91,"")</f>
        <v/>
      </c>
    </row>
    <row r="92" spans="1:80" s="7" customFormat="1" ht="30" hidden="1" customHeight="1" x14ac:dyDescent="0.45">
      <c r="A92" s="3"/>
      <c r="B92" s="28"/>
      <c r="C92" s="141"/>
      <c r="D92" s="203" t="e">
        <f>VLOOKUP($A92,INICIO_BARRA!$A$6:$R$130,3,FALSE)</f>
        <v>#N/A</v>
      </c>
      <c r="E92" s="203" t="e">
        <f>VLOOKUP($A92,INICIO_BARRA!$A$6:$R$130,4,FALSE)</f>
        <v>#N/A</v>
      </c>
      <c r="F92" s="203" t="str">
        <f>IFERROR(VLOOKUP($A92,REPOSICIONES_BARRA!$A$6:$I$130,3,FALSE),"")</f>
        <v/>
      </c>
      <c r="G92" s="315" t="e">
        <f t="shared" si="80"/>
        <v>#N/A</v>
      </c>
      <c r="H92" s="316" t="e">
        <f t="shared" si="81"/>
        <v>#N/A</v>
      </c>
      <c r="I92" s="317" t="str">
        <f>IFERROR(IFERROR(VLOOKUP($A92,VENTAS!$H$2:$O$201,2,FALSE),"")/$C92,"")</f>
        <v/>
      </c>
      <c r="J92" s="111"/>
      <c r="K92" s="203" t="e">
        <f>VLOOKUP($A92,INICIO_BARRA!$A$6:$R$130,5,FALSE)</f>
        <v>#N/A</v>
      </c>
      <c r="L92" s="203" t="e">
        <f>VLOOKUP($A92,INICIO_BARRA!$A$6:$R$130,6,FALSE)</f>
        <v>#N/A</v>
      </c>
      <c r="M92" s="11"/>
      <c r="N92" s="204" t="str">
        <f>IFERROR(IFERROR(IF(M92&gt;0,"",M92*VLOOKUP($A92,'VALOR I.'!$B$6:$K$418,10,FALSE)),"")*$C92,"")</f>
        <v/>
      </c>
      <c r="O92" s="203" t="e">
        <f>VLOOKUP($A92,INICIO_BARRA!$A$6:$R$130,5,FALSE)</f>
        <v>#N/A</v>
      </c>
      <c r="P92" s="203" t="e">
        <f>VLOOKUP($A92,INICIO_BARRA!$A$6:$R$130,6,FALSE)</f>
        <v>#N/A</v>
      </c>
      <c r="Q92" s="203" t="str">
        <f>IFERROR(VLOOKUP($A92,REPOSICIONES_BARRA!$A$6:$I$130,4,FALSE),"")</f>
        <v/>
      </c>
      <c r="R92" s="315" t="e">
        <f t="shared" si="70"/>
        <v>#N/A</v>
      </c>
      <c r="S92" s="316" t="e">
        <f t="shared" si="71"/>
        <v>#N/A</v>
      </c>
      <c r="T92" s="317" t="str">
        <f>IFERROR(IFERROR(VLOOKUP($A92,VENTAS!$H$2:$O$201,3,FALSE),"")/$C92,"")</f>
        <v/>
      </c>
      <c r="U92" s="111"/>
      <c r="V92" s="203" t="e">
        <f>VLOOKUP($A92,INICIO_BARRA!$A$6:$R$130,7,FALSE)</f>
        <v>#N/A</v>
      </c>
      <c r="W92" s="203" t="e">
        <f>VLOOKUP($A92,INICIO_BARRA!$A$6:$R$130,8,FALSE)</f>
        <v>#N/A</v>
      </c>
      <c r="X92" s="11"/>
      <c r="Y92" s="204" t="str">
        <f>IFERROR(IFERROR(IF(X92&gt;0,"",X92*VLOOKUP($A92,'VALOR I.'!$B$6:$K$418,10,FALSE)),"")*$C92,"")</f>
        <v/>
      </c>
      <c r="Z92" s="203" t="e">
        <f>VLOOKUP($A92,INICIO_BARRA!$A$6:$R$130,7,FALSE)</f>
        <v>#N/A</v>
      </c>
      <c r="AA92" s="203" t="e">
        <f>VLOOKUP($A92,INICIO_BARRA!$A$6:$R$130,8,FALSE)</f>
        <v>#N/A</v>
      </c>
      <c r="AB92" s="203" t="str">
        <f>IFERROR(VLOOKUP($A92,REPOSICIONES_BARRA!$A$6:$I$130,5,FALSE),"")</f>
        <v/>
      </c>
      <c r="AC92" s="315" t="e">
        <f t="shared" si="72"/>
        <v>#N/A</v>
      </c>
      <c r="AD92" s="316" t="e">
        <f t="shared" si="73"/>
        <v>#N/A</v>
      </c>
      <c r="AE92" s="317" t="str">
        <f>IFERROR(IFERROR(VLOOKUP($A92,VENTAS!$H$2:$O$201,4,FALSE),"")/$C92,"")</f>
        <v/>
      </c>
      <c r="AF92" s="111"/>
      <c r="AG92" s="203" t="e">
        <f>VLOOKUP($A92,INICIO_BARRA!$A$6:$R$130,9,FALSE)</f>
        <v>#N/A</v>
      </c>
      <c r="AH92" s="203" t="e">
        <f>VLOOKUP($A92,INICIO_BARRA!$A$6:$R$130,10,FALSE)</f>
        <v>#N/A</v>
      </c>
      <c r="AI92" s="11"/>
      <c r="AJ92" s="94" t="str">
        <f>IFERROR(IFERROR(IF(AI92&gt;0,"",AI92*VLOOKUP($A92,'VALOR I.'!$B$6:$K$418,10,FALSE)),"")*$C92,"")</f>
        <v/>
      </c>
      <c r="AK92" s="203" t="e">
        <f>VLOOKUP($A92,INICIO_BARRA!$A$6:$R$130,9,FALSE)</f>
        <v>#N/A</v>
      </c>
      <c r="AL92" s="203" t="e">
        <f>VLOOKUP($A92,INICIO_BARRA!$A$6:$R$130,10,FALSE)</f>
        <v>#N/A</v>
      </c>
      <c r="AM92" s="203" t="str">
        <f>IFERROR(VLOOKUP($A92,REPOSICIONES_BARRA!$A$6:$I$130,6,FALSE),"")</f>
        <v/>
      </c>
      <c r="AN92" s="315" t="e">
        <f t="shared" si="74"/>
        <v>#N/A</v>
      </c>
      <c r="AO92" s="316" t="e">
        <f t="shared" si="75"/>
        <v>#N/A</v>
      </c>
      <c r="AP92" s="317" t="str">
        <f>IFERROR(IFERROR(VLOOKUP($A92,VENTAS!$H$2:$O$201,5,FALSE),"")/$C92,"")</f>
        <v/>
      </c>
      <c r="AQ92" s="111"/>
      <c r="AR92" s="203" t="e">
        <f>VLOOKUP($A92,INICIO_BARRA!$A$6:$R$130,11,FALSE)</f>
        <v>#N/A</v>
      </c>
      <c r="AS92" s="203" t="e">
        <f>VLOOKUP($A92,INICIO_BARRA!$A$6:$R$130,12,FALSE)</f>
        <v>#N/A</v>
      </c>
      <c r="AT92" s="11"/>
      <c r="AU92" s="94" t="str">
        <f>IFERROR(IFERROR(IF(AT92&gt;0,"",AT92*VLOOKUP($A92,'VALOR I.'!$B$6:$K$418,10,FALSE)),"")*$C92,"")</f>
        <v/>
      </c>
      <c r="AV92" s="203" t="e">
        <f>VLOOKUP($A92,INICIO_BARRA!$A$6:$R$130,11,FALSE)</f>
        <v>#N/A</v>
      </c>
      <c r="AW92" s="203" t="e">
        <f>VLOOKUP($A92,INICIO_BARRA!$A$6:$R$130,12,FALSE)</f>
        <v>#N/A</v>
      </c>
      <c r="AX92" s="203" t="str">
        <f>IFERROR(VLOOKUP($A92,REPOSICIONES_BARRA!$A$6:$I$130,7,FALSE),"")</f>
        <v/>
      </c>
      <c r="AY92" s="315" t="e">
        <f t="shared" si="76"/>
        <v>#N/A</v>
      </c>
      <c r="AZ92" s="316" t="e">
        <f t="shared" si="77"/>
        <v>#N/A</v>
      </c>
      <c r="BA92" s="317" t="str">
        <f>IFERROR(IFERROR(VLOOKUP($A92,VENTAS!$H$2:$O$201,6,FALSE),"")/$C92,"")</f>
        <v/>
      </c>
      <c r="BB92" s="111"/>
      <c r="BC92" s="203" t="e">
        <f>VLOOKUP($A92,INICIO_BARRA!$A$6:$R$130,13,FALSE)</f>
        <v>#N/A</v>
      </c>
      <c r="BD92" s="203" t="e">
        <f>VLOOKUP($A92,INICIO_BARRA!$A$6:$R$130,14,FALSE)</f>
        <v>#N/A</v>
      </c>
      <c r="BE92" s="11"/>
      <c r="BF92" s="94" t="str">
        <f>IFERROR(IFERROR(IF(BE92&gt;0,"",BE92*VLOOKUP($A92,'VALOR I.'!$B$6:$K$418,10,FALSE)),"")*$C92,"")</f>
        <v/>
      </c>
      <c r="BG92" s="203" t="e">
        <f>VLOOKUP($A92,INICIO_BARRA!$A$6:$R$130,13,FALSE)</f>
        <v>#N/A</v>
      </c>
      <c r="BH92" s="203" t="e">
        <f>VLOOKUP($A92,INICIO_BARRA!$A$6:$R$130,14,FALSE)</f>
        <v>#N/A</v>
      </c>
      <c r="BI92" s="203" t="str">
        <f>IFERROR(VLOOKUP($A92,REPOSICIONES_BARRA!$A$6:$I$130,8,FALSE),"")</f>
        <v/>
      </c>
      <c r="BJ92" s="315" t="e">
        <f t="shared" si="78"/>
        <v>#N/A</v>
      </c>
      <c r="BK92" s="316" t="e">
        <f t="shared" si="79"/>
        <v>#N/A</v>
      </c>
      <c r="BL92" s="317" t="str">
        <f>IFERROR(IFERROR(VLOOKUP($A92,VENTAS!$H$2:$O$201,7,FALSE),"")/$C92,"")</f>
        <v/>
      </c>
      <c r="BM92" s="111"/>
      <c r="BN92" s="203" t="e">
        <f>VLOOKUP($A92,INICIO_BARRA!$A$6:$R$130,15,FALSE)</f>
        <v>#N/A</v>
      </c>
      <c r="BO92" s="203" t="e">
        <f>VLOOKUP($A92,INICIO_BARRA!$A$6:$R$130,16,FALSE)</f>
        <v>#N/A</v>
      </c>
      <c r="BP92" s="11"/>
      <c r="BQ92" s="94" t="str">
        <f>IFERROR(IFERROR(IF(BP92&gt;0,"",BP92*VLOOKUP($A92,'VALOR I.'!$B$6:$K$418,10,FALSE)),"")*$C92,"")</f>
        <v/>
      </c>
      <c r="BR92" s="203" t="e">
        <f>VLOOKUP($A92,INICIO_BARRA!$A$6:$R$130,15,FALSE)</f>
        <v>#N/A</v>
      </c>
      <c r="BS92" s="203" t="e">
        <f>VLOOKUP($A92,INICIO_BARRA!$A$6:$R$130,16,FALSE)</f>
        <v>#N/A</v>
      </c>
      <c r="BT92" s="203" t="str">
        <f>IFERROR(VLOOKUP($A92,REPOSICIONES_BARRA!$A$6:$I$130,9,FALSE),"")</f>
        <v/>
      </c>
      <c r="BU92" s="315" t="e">
        <f t="shared" si="82"/>
        <v>#N/A</v>
      </c>
      <c r="BV92" s="316" t="e">
        <f t="shared" si="83"/>
        <v>#N/A</v>
      </c>
      <c r="BW92" s="317" t="str">
        <f>IFERROR(IFERROR(VLOOKUP($A92,VENTAS!$H$2:$O$201,8,FALSE),"")/$C92,"")</f>
        <v/>
      </c>
      <c r="BX92" s="111"/>
      <c r="BY92" s="203" t="e">
        <f>VLOOKUP($A92,INICIO_BARRA!$A$6:$R$130,17,FALSE)</f>
        <v>#N/A</v>
      </c>
      <c r="BZ92" s="203" t="e">
        <f>VLOOKUP($A92,INICIO_BARRA!$A$6:$R$130,18,FALSE)</f>
        <v>#N/A</v>
      </c>
      <c r="CA92" s="11"/>
      <c r="CB92" s="94" t="str">
        <f>IFERROR(IFERROR(IF(CA92&gt;0,"",CA92*VLOOKUP($A92,'VALOR I.'!$B$6:$K$418,10,FALSE)),"")*$C92,"")</f>
        <v/>
      </c>
    </row>
    <row r="93" spans="1:80" s="7" customFormat="1" ht="30" hidden="1" customHeight="1" x14ac:dyDescent="0.45">
      <c r="A93" s="3"/>
      <c r="B93" s="24"/>
      <c r="C93" s="141"/>
      <c r="D93" s="203" t="e">
        <f>VLOOKUP($A93,INICIO_BARRA!$A$6:$R$130,3,FALSE)</f>
        <v>#N/A</v>
      </c>
      <c r="E93" s="203" t="e">
        <f>VLOOKUP($A93,INICIO_BARRA!$A$6:$R$130,4,FALSE)</f>
        <v>#N/A</v>
      </c>
      <c r="F93" s="203" t="str">
        <f>IFERROR(VLOOKUP($A93,REPOSICIONES_BARRA!$A$6:$I$130,3,FALSE),"")</f>
        <v/>
      </c>
      <c r="G93" s="315" t="e">
        <f t="shared" si="80"/>
        <v>#N/A</v>
      </c>
      <c r="H93" s="316" t="e">
        <f t="shared" si="81"/>
        <v>#N/A</v>
      </c>
      <c r="I93" s="317" t="str">
        <f>IFERROR(IFERROR(VLOOKUP($A93,VENTAS!$H$2:$O$201,2,FALSE),"")/$C93,"")</f>
        <v/>
      </c>
      <c r="J93" s="111"/>
      <c r="K93" s="203" t="e">
        <f>VLOOKUP($A93,INICIO_BARRA!$A$6:$R$130,5,FALSE)</f>
        <v>#N/A</v>
      </c>
      <c r="L93" s="203" t="e">
        <f>VLOOKUP($A93,INICIO_BARRA!$A$6:$R$130,6,FALSE)</f>
        <v>#N/A</v>
      </c>
      <c r="M93" s="11"/>
      <c r="N93" s="204" t="str">
        <f>IFERROR(IFERROR(IF(M93&gt;0,"",M93*VLOOKUP($A93,'VALOR I.'!$B$6:$K$418,10,FALSE)),"")*$C93,"")</f>
        <v/>
      </c>
      <c r="O93" s="203" t="e">
        <f>VLOOKUP($A93,INICIO_BARRA!$A$6:$R$130,5,FALSE)</f>
        <v>#N/A</v>
      </c>
      <c r="P93" s="203" t="e">
        <f>VLOOKUP($A93,INICIO_BARRA!$A$6:$R$130,6,FALSE)</f>
        <v>#N/A</v>
      </c>
      <c r="Q93" s="203" t="str">
        <f>IFERROR(VLOOKUP($A93,REPOSICIONES_BARRA!$A$6:$I$130,4,FALSE),"")</f>
        <v/>
      </c>
      <c r="R93" s="315" t="e">
        <f t="shared" si="70"/>
        <v>#N/A</v>
      </c>
      <c r="S93" s="316" t="e">
        <f t="shared" si="71"/>
        <v>#N/A</v>
      </c>
      <c r="T93" s="317" t="str">
        <f>IFERROR(IFERROR(VLOOKUP($A93,VENTAS!$H$2:$O$201,3,FALSE),"")/$C93,"")</f>
        <v/>
      </c>
      <c r="U93" s="111"/>
      <c r="V93" s="203" t="e">
        <f>VLOOKUP($A93,INICIO_BARRA!$A$6:$R$130,7,FALSE)</f>
        <v>#N/A</v>
      </c>
      <c r="W93" s="203" t="e">
        <f>VLOOKUP($A93,INICIO_BARRA!$A$6:$R$130,8,FALSE)</f>
        <v>#N/A</v>
      </c>
      <c r="X93" s="11"/>
      <c r="Y93" s="204" t="str">
        <f>IFERROR(IFERROR(IF(X93&gt;0,"",X93*VLOOKUP($A93,'VALOR I.'!$B$6:$K$418,10,FALSE)),"")*$C93,"")</f>
        <v/>
      </c>
      <c r="Z93" s="203" t="e">
        <f>VLOOKUP($A93,INICIO_BARRA!$A$6:$R$130,7,FALSE)</f>
        <v>#N/A</v>
      </c>
      <c r="AA93" s="203" t="e">
        <f>VLOOKUP($A93,INICIO_BARRA!$A$6:$R$130,8,FALSE)</f>
        <v>#N/A</v>
      </c>
      <c r="AB93" s="203" t="str">
        <f>IFERROR(VLOOKUP($A93,REPOSICIONES_BARRA!$A$6:$I$130,5,FALSE),"")</f>
        <v/>
      </c>
      <c r="AC93" s="315" t="e">
        <f t="shared" si="72"/>
        <v>#N/A</v>
      </c>
      <c r="AD93" s="316" t="e">
        <f t="shared" si="73"/>
        <v>#N/A</v>
      </c>
      <c r="AE93" s="317" t="str">
        <f>IFERROR(IFERROR(VLOOKUP($A93,VENTAS!$H$2:$O$201,4,FALSE),"")/$C93,"")</f>
        <v/>
      </c>
      <c r="AF93" s="111"/>
      <c r="AG93" s="203" t="e">
        <f>VLOOKUP($A93,INICIO_BARRA!$A$6:$R$130,9,FALSE)</f>
        <v>#N/A</v>
      </c>
      <c r="AH93" s="203" t="e">
        <f>VLOOKUP($A93,INICIO_BARRA!$A$6:$R$130,10,FALSE)</f>
        <v>#N/A</v>
      </c>
      <c r="AI93" s="11"/>
      <c r="AJ93" s="94" t="str">
        <f>IFERROR(IFERROR(IF(AI93&gt;0,"",AI93*VLOOKUP($A93,'VALOR I.'!$B$6:$K$418,10,FALSE)),"")*$C93,"")</f>
        <v/>
      </c>
      <c r="AK93" s="203" t="e">
        <f>VLOOKUP($A93,INICIO_BARRA!$A$6:$R$130,9,FALSE)</f>
        <v>#N/A</v>
      </c>
      <c r="AL93" s="203" t="e">
        <f>VLOOKUP($A93,INICIO_BARRA!$A$6:$R$130,10,FALSE)</f>
        <v>#N/A</v>
      </c>
      <c r="AM93" s="203" t="str">
        <f>IFERROR(VLOOKUP($A93,REPOSICIONES_BARRA!$A$6:$I$130,6,FALSE),"")</f>
        <v/>
      </c>
      <c r="AN93" s="315" t="e">
        <f t="shared" si="74"/>
        <v>#N/A</v>
      </c>
      <c r="AO93" s="316" t="e">
        <f t="shared" si="75"/>
        <v>#N/A</v>
      </c>
      <c r="AP93" s="317" t="str">
        <f>IFERROR(IFERROR(VLOOKUP($A93,VENTAS!$H$2:$O$201,5,FALSE),"")/$C93,"")</f>
        <v/>
      </c>
      <c r="AQ93" s="111"/>
      <c r="AR93" s="203" t="e">
        <f>VLOOKUP($A93,INICIO_BARRA!$A$6:$R$130,11,FALSE)</f>
        <v>#N/A</v>
      </c>
      <c r="AS93" s="203" t="e">
        <f>VLOOKUP($A93,INICIO_BARRA!$A$6:$R$130,12,FALSE)</f>
        <v>#N/A</v>
      </c>
      <c r="AT93" s="11"/>
      <c r="AU93" s="94" t="str">
        <f>IFERROR(IFERROR(IF(AT93&gt;0,"",AT93*VLOOKUP($A93,'VALOR I.'!$B$6:$K$418,10,FALSE)),"")*$C93,"")</f>
        <v/>
      </c>
      <c r="AV93" s="203" t="e">
        <f>VLOOKUP($A93,INICIO_BARRA!$A$6:$R$130,11,FALSE)</f>
        <v>#N/A</v>
      </c>
      <c r="AW93" s="203" t="e">
        <f>VLOOKUP($A93,INICIO_BARRA!$A$6:$R$130,12,FALSE)</f>
        <v>#N/A</v>
      </c>
      <c r="AX93" s="203" t="str">
        <f>IFERROR(VLOOKUP($A93,REPOSICIONES_BARRA!$A$6:$I$130,7,FALSE),"")</f>
        <v/>
      </c>
      <c r="AY93" s="315" t="e">
        <f t="shared" si="76"/>
        <v>#N/A</v>
      </c>
      <c r="AZ93" s="316" t="e">
        <f t="shared" si="77"/>
        <v>#N/A</v>
      </c>
      <c r="BA93" s="317" t="str">
        <f>IFERROR(IFERROR(VLOOKUP($A93,VENTAS!$H$2:$O$201,6,FALSE),"")/$C93,"")</f>
        <v/>
      </c>
      <c r="BB93" s="111"/>
      <c r="BC93" s="203" t="e">
        <f>VLOOKUP($A93,INICIO_BARRA!$A$6:$R$130,13,FALSE)</f>
        <v>#N/A</v>
      </c>
      <c r="BD93" s="203" t="e">
        <f>VLOOKUP($A93,INICIO_BARRA!$A$6:$R$130,14,FALSE)</f>
        <v>#N/A</v>
      </c>
      <c r="BE93" s="11"/>
      <c r="BF93" s="94" t="str">
        <f>IFERROR(IFERROR(IF(BE93&gt;0,"",BE93*VLOOKUP($A93,'VALOR I.'!$B$6:$K$418,10,FALSE)),"")*$C93,"")</f>
        <v/>
      </c>
      <c r="BG93" s="203" t="e">
        <f>VLOOKUP($A93,INICIO_BARRA!$A$6:$R$130,13,FALSE)</f>
        <v>#N/A</v>
      </c>
      <c r="BH93" s="203" t="e">
        <f>VLOOKUP($A93,INICIO_BARRA!$A$6:$R$130,14,FALSE)</f>
        <v>#N/A</v>
      </c>
      <c r="BI93" s="203" t="str">
        <f>IFERROR(VLOOKUP($A93,REPOSICIONES_BARRA!$A$6:$I$130,8,FALSE),"")</f>
        <v/>
      </c>
      <c r="BJ93" s="315" t="e">
        <f t="shared" si="78"/>
        <v>#N/A</v>
      </c>
      <c r="BK93" s="316" t="e">
        <f t="shared" si="79"/>
        <v>#N/A</v>
      </c>
      <c r="BL93" s="317" t="str">
        <f>IFERROR(IFERROR(VLOOKUP($A93,VENTAS!$H$2:$O$201,7,FALSE),"")/$C93,"")</f>
        <v/>
      </c>
      <c r="BM93" s="111"/>
      <c r="BN93" s="203" t="e">
        <f>VLOOKUP($A93,INICIO_BARRA!$A$6:$R$130,15,FALSE)</f>
        <v>#N/A</v>
      </c>
      <c r="BO93" s="203" t="e">
        <f>VLOOKUP($A93,INICIO_BARRA!$A$6:$R$130,16,FALSE)</f>
        <v>#N/A</v>
      </c>
      <c r="BP93" s="11"/>
      <c r="BQ93" s="94" t="str">
        <f>IFERROR(IFERROR(IF(BP93&gt;0,"",BP93*VLOOKUP($A93,'VALOR I.'!$B$6:$K$418,10,FALSE)),"")*$C93,"")</f>
        <v/>
      </c>
      <c r="BR93" s="203" t="e">
        <f>VLOOKUP($A93,INICIO_BARRA!$A$6:$R$130,15,FALSE)</f>
        <v>#N/A</v>
      </c>
      <c r="BS93" s="203" t="e">
        <f>VLOOKUP($A93,INICIO_BARRA!$A$6:$R$130,16,FALSE)</f>
        <v>#N/A</v>
      </c>
      <c r="BT93" s="203" t="str">
        <f>IFERROR(VLOOKUP($A93,REPOSICIONES_BARRA!$A$6:$I$130,9,FALSE),"")</f>
        <v/>
      </c>
      <c r="BU93" s="315" t="e">
        <f t="shared" si="82"/>
        <v>#N/A</v>
      </c>
      <c r="BV93" s="316" t="e">
        <f t="shared" si="83"/>
        <v>#N/A</v>
      </c>
      <c r="BW93" s="317" t="str">
        <f>IFERROR(IFERROR(VLOOKUP($A93,VENTAS!$H$2:$O$201,8,FALSE),"")/$C93,"")</f>
        <v/>
      </c>
      <c r="BX93" s="111"/>
      <c r="BY93" s="203" t="e">
        <f>VLOOKUP($A93,INICIO_BARRA!$A$6:$R$130,17,FALSE)</f>
        <v>#N/A</v>
      </c>
      <c r="BZ93" s="203" t="e">
        <f>VLOOKUP($A93,INICIO_BARRA!$A$6:$R$130,18,FALSE)</f>
        <v>#N/A</v>
      </c>
      <c r="CA93" s="11"/>
      <c r="CB93" s="94" t="str">
        <f>IFERROR(IFERROR(IF(CA93&gt;0,"",CA93*VLOOKUP($A93,'VALOR I.'!$B$6:$K$418,10,FALSE)),"")*$C93,"")</f>
        <v/>
      </c>
    </row>
    <row r="94" spans="1:80" s="7" customFormat="1" ht="30" hidden="1" customHeight="1" x14ac:dyDescent="0.45">
      <c r="A94" s="3"/>
      <c r="B94" s="35"/>
      <c r="C94" s="141"/>
      <c r="D94" s="203" t="e">
        <f>VLOOKUP($A94,INICIO_BARRA!$A$6:$R$130,3,FALSE)</f>
        <v>#N/A</v>
      </c>
      <c r="E94" s="203" t="e">
        <f>VLOOKUP($A94,INICIO_BARRA!$A$6:$R$130,4,FALSE)</f>
        <v>#N/A</v>
      </c>
      <c r="F94" s="203" t="str">
        <f>IFERROR(VLOOKUP($A94,REPOSICIONES_BARRA!$A$6:$I$130,3,FALSE),"")</f>
        <v/>
      </c>
      <c r="G94" s="315" t="e">
        <f t="shared" si="80"/>
        <v>#N/A</v>
      </c>
      <c r="H94" s="316" t="e">
        <f t="shared" si="81"/>
        <v>#N/A</v>
      </c>
      <c r="I94" s="317" t="str">
        <f>IFERROR(IFERROR(VLOOKUP($A94,VENTAS!$H$2:$O$201,2,FALSE),"")/$C94,"")</f>
        <v/>
      </c>
      <c r="J94" s="111"/>
      <c r="K94" s="203" t="e">
        <f>VLOOKUP($A94,INICIO_BARRA!$A$6:$R$130,5,FALSE)</f>
        <v>#N/A</v>
      </c>
      <c r="L94" s="203" t="e">
        <f>VLOOKUP($A94,INICIO_BARRA!$A$6:$R$130,6,FALSE)</f>
        <v>#N/A</v>
      </c>
      <c r="M94" s="11"/>
      <c r="N94" s="204" t="str">
        <f>IFERROR(IFERROR(IF(M94&gt;0,"",M94*VLOOKUP($A94,'VALOR I.'!$B$6:$K$418,10,FALSE)),"")*$C94,"")</f>
        <v/>
      </c>
      <c r="O94" s="203" t="e">
        <f>VLOOKUP($A94,INICIO_BARRA!$A$6:$R$130,5,FALSE)</f>
        <v>#N/A</v>
      </c>
      <c r="P94" s="203" t="e">
        <f>VLOOKUP($A94,INICIO_BARRA!$A$6:$R$130,6,FALSE)</f>
        <v>#N/A</v>
      </c>
      <c r="Q94" s="203" t="str">
        <f>IFERROR(VLOOKUP($A94,REPOSICIONES_BARRA!$A$6:$I$130,4,FALSE),"")</f>
        <v/>
      </c>
      <c r="R94" s="315" t="e">
        <f t="shared" si="70"/>
        <v>#N/A</v>
      </c>
      <c r="S94" s="316" t="e">
        <f t="shared" si="71"/>
        <v>#N/A</v>
      </c>
      <c r="T94" s="317" t="str">
        <f>IFERROR(IFERROR(VLOOKUP($A94,VENTAS!$H$2:$O$201,3,FALSE),"")/$C94,"")</f>
        <v/>
      </c>
      <c r="U94" s="111"/>
      <c r="V94" s="203" t="e">
        <f>VLOOKUP($A94,INICIO_BARRA!$A$6:$R$130,7,FALSE)</f>
        <v>#N/A</v>
      </c>
      <c r="W94" s="203" t="e">
        <f>VLOOKUP($A94,INICIO_BARRA!$A$6:$R$130,8,FALSE)</f>
        <v>#N/A</v>
      </c>
      <c r="X94" s="11"/>
      <c r="Y94" s="204" t="str">
        <f>IFERROR(IFERROR(IF(X94&gt;0,"",X94*VLOOKUP($A94,'VALOR I.'!$B$6:$K$418,10,FALSE)),"")*$C94,"")</f>
        <v/>
      </c>
      <c r="Z94" s="203" t="e">
        <f>VLOOKUP($A94,INICIO_BARRA!$A$6:$R$130,7,FALSE)</f>
        <v>#N/A</v>
      </c>
      <c r="AA94" s="203" t="e">
        <f>VLOOKUP($A94,INICIO_BARRA!$A$6:$R$130,8,FALSE)</f>
        <v>#N/A</v>
      </c>
      <c r="AB94" s="203" t="str">
        <f>IFERROR(VLOOKUP($A94,REPOSICIONES_BARRA!$A$6:$I$130,5,FALSE),"")</f>
        <v/>
      </c>
      <c r="AC94" s="315" t="e">
        <f t="shared" si="72"/>
        <v>#N/A</v>
      </c>
      <c r="AD94" s="316" t="e">
        <f t="shared" si="73"/>
        <v>#N/A</v>
      </c>
      <c r="AE94" s="317" t="str">
        <f>IFERROR(IFERROR(VLOOKUP($A94,VENTAS!$H$2:$O$201,4,FALSE),"")/$C94,"")</f>
        <v/>
      </c>
      <c r="AF94" s="111"/>
      <c r="AG94" s="203" t="e">
        <f>VLOOKUP($A94,INICIO_BARRA!$A$6:$R$130,9,FALSE)</f>
        <v>#N/A</v>
      </c>
      <c r="AH94" s="203" t="e">
        <f>VLOOKUP($A94,INICIO_BARRA!$A$6:$R$130,10,FALSE)</f>
        <v>#N/A</v>
      </c>
      <c r="AI94" s="11"/>
      <c r="AJ94" s="94" t="str">
        <f>IFERROR(IFERROR(IF(AI94&gt;0,"",AI94*VLOOKUP($A94,'VALOR I.'!$B$6:$K$418,10,FALSE)),"")*$C94,"")</f>
        <v/>
      </c>
      <c r="AK94" s="203" t="e">
        <f>VLOOKUP($A94,INICIO_BARRA!$A$6:$R$130,9,FALSE)</f>
        <v>#N/A</v>
      </c>
      <c r="AL94" s="203" t="e">
        <f>VLOOKUP($A94,INICIO_BARRA!$A$6:$R$130,10,FALSE)</f>
        <v>#N/A</v>
      </c>
      <c r="AM94" s="203" t="str">
        <f>IFERROR(VLOOKUP($A94,REPOSICIONES_BARRA!$A$6:$I$130,6,FALSE),"")</f>
        <v/>
      </c>
      <c r="AN94" s="315" t="e">
        <f t="shared" si="74"/>
        <v>#N/A</v>
      </c>
      <c r="AO94" s="316" t="e">
        <f t="shared" si="75"/>
        <v>#N/A</v>
      </c>
      <c r="AP94" s="317" t="str">
        <f>IFERROR(IFERROR(VLOOKUP($A94,VENTAS!$H$2:$O$201,5,FALSE),"")/$C94,"")</f>
        <v/>
      </c>
      <c r="AQ94" s="111"/>
      <c r="AR94" s="203" t="e">
        <f>VLOOKUP($A94,INICIO_BARRA!$A$6:$R$130,11,FALSE)</f>
        <v>#N/A</v>
      </c>
      <c r="AS94" s="203" t="e">
        <f>VLOOKUP($A94,INICIO_BARRA!$A$6:$R$130,12,FALSE)</f>
        <v>#N/A</v>
      </c>
      <c r="AT94" s="11"/>
      <c r="AU94" s="94" t="str">
        <f>IFERROR(IFERROR(IF(AT94&gt;0,"",AT94*VLOOKUP($A94,'VALOR I.'!$B$6:$K$418,10,FALSE)),"")*$C94,"")</f>
        <v/>
      </c>
      <c r="AV94" s="203" t="e">
        <f>VLOOKUP($A94,INICIO_BARRA!$A$6:$R$130,11,FALSE)</f>
        <v>#N/A</v>
      </c>
      <c r="AW94" s="203" t="e">
        <f>VLOOKUP($A94,INICIO_BARRA!$A$6:$R$130,12,FALSE)</f>
        <v>#N/A</v>
      </c>
      <c r="AX94" s="203" t="str">
        <f>IFERROR(VLOOKUP($A94,REPOSICIONES_BARRA!$A$6:$I$130,7,FALSE),"")</f>
        <v/>
      </c>
      <c r="AY94" s="315" t="e">
        <f t="shared" si="76"/>
        <v>#N/A</v>
      </c>
      <c r="AZ94" s="316" t="e">
        <f t="shared" si="77"/>
        <v>#N/A</v>
      </c>
      <c r="BA94" s="317" t="str">
        <f>IFERROR(IFERROR(VLOOKUP($A94,VENTAS!$H$2:$O$201,6,FALSE),"")/$C94,"")</f>
        <v/>
      </c>
      <c r="BB94" s="111"/>
      <c r="BC94" s="203" t="e">
        <f>VLOOKUP($A94,INICIO_BARRA!$A$6:$R$130,13,FALSE)</f>
        <v>#N/A</v>
      </c>
      <c r="BD94" s="203" t="e">
        <f>VLOOKUP($A94,INICIO_BARRA!$A$6:$R$130,14,FALSE)</f>
        <v>#N/A</v>
      </c>
      <c r="BE94" s="11"/>
      <c r="BF94" s="94" t="str">
        <f>IFERROR(IFERROR(IF(BE94&gt;0,"",BE94*VLOOKUP($A94,'VALOR I.'!$B$6:$K$418,10,FALSE)),"")*$C94,"")</f>
        <v/>
      </c>
      <c r="BG94" s="203" t="e">
        <f>VLOOKUP($A94,INICIO_BARRA!$A$6:$R$130,13,FALSE)</f>
        <v>#N/A</v>
      </c>
      <c r="BH94" s="203" t="e">
        <f>VLOOKUP($A94,INICIO_BARRA!$A$6:$R$130,14,FALSE)</f>
        <v>#N/A</v>
      </c>
      <c r="BI94" s="203" t="str">
        <f>IFERROR(VLOOKUP($A94,REPOSICIONES_BARRA!$A$6:$I$130,8,FALSE),"")</f>
        <v/>
      </c>
      <c r="BJ94" s="315" t="e">
        <f t="shared" si="78"/>
        <v>#N/A</v>
      </c>
      <c r="BK94" s="316" t="e">
        <f t="shared" si="79"/>
        <v>#N/A</v>
      </c>
      <c r="BL94" s="317" t="str">
        <f>IFERROR(IFERROR(VLOOKUP($A94,VENTAS!$H$2:$O$201,7,FALSE),"")/$C94,"")</f>
        <v/>
      </c>
      <c r="BM94" s="111"/>
      <c r="BN94" s="203" t="e">
        <f>VLOOKUP($A94,INICIO_BARRA!$A$6:$R$130,15,FALSE)</f>
        <v>#N/A</v>
      </c>
      <c r="BO94" s="203" t="e">
        <f>VLOOKUP($A94,INICIO_BARRA!$A$6:$R$130,16,FALSE)</f>
        <v>#N/A</v>
      </c>
      <c r="BP94" s="11"/>
      <c r="BQ94" s="94" t="str">
        <f>IFERROR(IFERROR(IF(BP94&gt;0,"",BP94*VLOOKUP($A94,'VALOR I.'!$B$6:$K$418,10,FALSE)),"")*$C94,"")</f>
        <v/>
      </c>
      <c r="BR94" s="203" t="e">
        <f>VLOOKUP($A94,INICIO_BARRA!$A$6:$R$130,15,FALSE)</f>
        <v>#N/A</v>
      </c>
      <c r="BS94" s="203" t="e">
        <f>VLOOKUP($A94,INICIO_BARRA!$A$6:$R$130,16,FALSE)</f>
        <v>#N/A</v>
      </c>
      <c r="BT94" s="203" t="str">
        <f>IFERROR(VLOOKUP($A94,REPOSICIONES_BARRA!$A$6:$I$130,9,FALSE),"")</f>
        <v/>
      </c>
      <c r="BU94" s="315" t="e">
        <f t="shared" si="82"/>
        <v>#N/A</v>
      </c>
      <c r="BV94" s="316" t="e">
        <f t="shared" si="83"/>
        <v>#N/A</v>
      </c>
      <c r="BW94" s="317" t="str">
        <f>IFERROR(IFERROR(VLOOKUP($A94,VENTAS!$H$2:$O$201,8,FALSE),"")/$C94,"")</f>
        <v/>
      </c>
      <c r="BX94" s="111"/>
      <c r="BY94" s="203" t="e">
        <f>VLOOKUP($A94,INICIO_BARRA!$A$6:$R$130,17,FALSE)</f>
        <v>#N/A</v>
      </c>
      <c r="BZ94" s="203" t="e">
        <f>VLOOKUP($A94,INICIO_BARRA!$A$6:$R$130,18,FALSE)</f>
        <v>#N/A</v>
      </c>
      <c r="CA94" s="11"/>
      <c r="CB94" s="94" t="str">
        <f>IFERROR(IFERROR(IF(CA94&gt;0,"",CA94*VLOOKUP($A94,'VALOR I.'!$B$6:$K$418,10,FALSE)),"")*$C94,"")</f>
        <v/>
      </c>
    </row>
    <row r="95" spans="1:80" s="7" customFormat="1" ht="30" customHeight="1" x14ac:dyDescent="0.3">
      <c r="A95" s="3"/>
      <c r="B95" s="309" t="s">
        <v>34</v>
      </c>
      <c r="C95" s="143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</row>
    <row r="96" spans="1:80" s="7" customFormat="1" ht="30" customHeight="1" x14ac:dyDescent="0.3">
      <c r="A96" s="3" t="s">
        <v>234</v>
      </c>
      <c r="B96" s="310" t="s">
        <v>19</v>
      </c>
      <c r="C96" s="132">
        <v>75</v>
      </c>
      <c r="D96" s="203">
        <f>VLOOKUP($A96,INICIO_BARRA!$A$6:$R$130,3,FALSE)</f>
        <v>0</v>
      </c>
      <c r="E96" s="203">
        <f>VLOOKUP($A96,INICIO_BARRA!$A$6:$R$130,4,FALSE)</f>
        <v>0</v>
      </c>
      <c r="F96" s="203">
        <f>IFERROR(VLOOKUP($A96,REPOSICIONES_BARRA!$A$6:$I$130,3,FALSE),"")</f>
        <v>0</v>
      </c>
      <c r="G96" s="315">
        <f t="shared" si="80"/>
        <v>0</v>
      </c>
      <c r="H96" s="316">
        <f t="shared" si="81"/>
        <v>0</v>
      </c>
      <c r="I96" s="317">
        <f>IFERROR(IFERROR(VLOOKUP($A96,VENTAS!$H$2:$O$201,2,FALSE),"")/$C96,"")</f>
        <v>0</v>
      </c>
      <c r="J96" s="318">
        <f t="shared" ref="J96:J134" si="84">IFERROR(((G96*5)+H96)-I96,"")</f>
        <v>0</v>
      </c>
      <c r="K96" s="203">
        <f>VLOOKUP($A96,INICIO_BARRA!$A$6:$R$130,5,FALSE)</f>
        <v>1</v>
      </c>
      <c r="L96" s="203">
        <f>VLOOKUP($A96,INICIO_BARRA!$A$6:$R$130,6,FALSE)</f>
        <v>12</v>
      </c>
      <c r="M96" s="203">
        <f t="shared" ref="M96:M133" si="85">IFERROR(((K96*5)+L96)-J96,"")</f>
        <v>17</v>
      </c>
      <c r="N96" s="204" t="str">
        <f>IFERROR(IFERROR(IF(M96&gt;0,"",M96*VLOOKUP($A96,'VALOR I.'!$B$6:$K$418,10,FALSE)),"")*$C96,"")</f>
        <v/>
      </c>
      <c r="O96" s="203">
        <f>VLOOKUP($A96,INICIO_BARRA!$A$6:$R$130,5,FALSE)</f>
        <v>1</v>
      </c>
      <c r="P96" s="203">
        <f>VLOOKUP($A96,INICIO_BARRA!$A$6:$R$130,6,FALSE)</f>
        <v>12</v>
      </c>
      <c r="Q96" s="203">
        <f>IFERROR(VLOOKUP($A96,REPOSICIONES_BARRA!$A$6:$I$130,4,FALSE),"")</f>
        <v>0</v>
      </c>
      <c r="R96" s="315">
        <f t="shared" si="70"/>
        <v>1</v>
      </c>
      <c r="S96" s="316">
        <f t="shared" si="71"/>
        <v>12</v>
      </c>
      <c r="T96" s="317">
        <f>IFERROR(IFERROR(VLOOKUP($A96,VENTAS!$H$2:$O$201,3,FALSE),"")/$C96,"")</f>
        <v>0</v>
      </c>
      <c r="U96" s="318">
        <f t="shared" ref="U96:U102" si="86">IFERROR(((R96*5)+S96)-T96,"")</f>
        <v>17</v>
      </c>
      <c r="V96" s="203">
        <f>VLOOKUP($A96,INICIO_BARRA!$A$6:$R$130,7,FALSE)</f>
        <v>1</v>
      </c>
      <c r="W96" s="203">
        <f>VLOOKUP($A96,INICIO_BARRA!$A$6:$R$130,8,FALSE)</f>
        <v>12</v>
      </c>
      <c r="X96" s="203">
        <f t="shared" ref="X96:X102" si="87">IFERROR(((V96*5)+W96)-U96,"")</f>
        <v>0</v>
      </c>
      <c r="Y96" s="204">
        <f>IFERROR(IFERROR(IF(X96&gt;0,"",X96*VLOOKUP($A96,'VALOR I.'!$B$6:$K$418,10,FALSE)),"")*$C96,"")</f>
        <v>0</v>
      </c>
      <c r="Z96" s="203">
        <f>VLOOKUP($A96,INICIO_BARRA!$A$6:$R$130,7,FALSE)</f>
        <v>1</v>
      </c>
      <c r="AA96" s="203">
        <f>VLOOKUP($A96,INICIO_BARRA!$A$6:$R$130,8,FALSE)</f>
        <v>12</v>
      </c>
      <c r="AB96" s="203">
        <f>IFERROR(VLOOKUP($A96,REPOSICIONES_BARRA!$A$6:$I$130,5,FALSE),"")</f>
        <v>0</v>
      </c>
      <c r="AC96" s="315">
        <f t="shared" si="72"/>
        <v>1</v>
      </c>
      <c r="AD96" s="316">
        <f t="shared" si="73"/>
        <v>12</v>
      </c>
      <c r="AE96" s="317">
        <f>IFERROR(IFERROR(VLOOKUP($A96,VENTAS!$H$2:$O$201,4,FALSE),"")/$C96,"")</f>
        <v>0</v>
      </c>
      <c r="AF96" s="318">
        <f t="shared" ref="AF96:AF102" si="88">IFERROR(((AC96*5)+AD96)-AE96,"")</f>
        <v>17</v>
      </c>
      <c r="AG96" s="203">
        <f>VLOOKUP($A96,INICIO_BARRA!$A$6:$R$130,9,FALSE)</f>
        <v>1</v>
      </c>
      <c r="AH96" s="203">
        <f>VLOOKUP($A96,INICIO_BARRA!$A$6:$R$130,10,FALSE)</f>
        <v>12</v>
      </c>
      <c r="AI96" s="203">
        <f t="shared" ref="AI96:AI102" si="89">IFERROR(((AG96*5)+AH96)-AF96,"")</f>
        <v>0</v>
      </c>
      <c r="AJ96" s="204">
        <f>IFERROR(IFERROR(IF(AI96&gt;0,"",AI96*VLOOKUP($A96,'VALOR I.'!$B$6:$K$418,10,FALSE)),"")*$C96,"")</f>
        <v>0</v>
      </c>
      <c r="AK96" s="203">
        <f>VLOOKUP($A96,INICIO_BARRA!$A$6:$R$130,9,FALSE)</f>
        <v>1</v>
      </c>
      <c r="AL96" s="203">
        <f>VLOOKUP($A96,INICIO_BARRA!$A$6:$R$130,10,FALSE)</f>
        <v>12</v>
      </c>
      <c r="AM96" s="203">
        <f>IFERROR(VLOOKUP($A96,REPOSICIONES_BARRA!$A$6:$I$130,6,FALSE),"")</f>
        <v>0</v>
      </c>
      <c r="AN96" s="315">
        <f t="shared" si="74"/>
        <v>1</v>
      </c>
      <c r="AO96" s="316">
        <f t="shared" si="75"/>
        <v>12</v>
      </c>
      <c r="AP96" s="317">
        <f>IFERROR(IFERROR(VLOOKUP($A96,VENTAS!$H$2:$O$201,5,FALSE),"")/$C96,"")</f>
        <v>0</v>
      </c>
      <c r="AQ96" s="318">
        <f t="shared" ref="AQ96:AQ102" si="90">IFERROR(((AN96*5)+AO96)-AP96,"")</f>
        <v>17</v>
      </c>
      <c r="AR96" s="203">
        <f>VLOOKUP($A96,INICIO_BARRA!$A$6:$R$130,11,FALSE)</f>
        <v>1</v>
      </c>
      <c r="AS96" s="203">
        <f>VLOOKUP($A96,INICIO_BARRA!$A$6:$R$130,12,FALSE)</f>
        <v>12</v>
      </c>
      <c r="AT96" s="203">
        <f t="shared" ref="AT96:AT102" si="91">IFERROR(((AR96*5)+AS96)-AQ96,"")</f>
        <v>0</v>
      </c>
      <c r="AU96" s="204">
        <f>IFERROR(IFERROR(IF(AT96&gt;0,"",AT96*VLOOKUP($A96,'VALOR I.'!$B$6:$K$418,10,FALSE)),"")*$C96,"")</f>
        <v>0</v>
      </c>
      <c r="AV96" s="203">
        <f>VLOOKUP($A96,INICIO_BARRA!$A$6:$R$130,11,FALSE)</f>
        <v>1</v>
      </c>
      <c r="AW96" s="203">
        <f>VLOOKUP($A96,INICIO_BARRA!$A$6:$R$130,12,FALSE)</f>
        <v>12</v>
      </c>
      <c r="AX96" s="203">
        <f>IFERROR(VLOOKUP($A96,REPOSICIONES_BARRA!$A$6:$I$130,7,FALSE),"")</f>
        <v>0</v>
      </c>
      <c r="AY96" s="315">
        <f t="shared" si="76"/>
        <v>1</v>
      </c>
      <c r="AZ96" s="316">
        <f t="shared" si="77"/>
        <v>12</v>
      </c>
      <c r="BA96" s="317">
        <f>IFERROR(IFERROR(VLOOKUP($A96,VENTAS!$H$2:$O$201,6,FALSE),"")/$C96,"")</f>
        <v>1</v>
      </c>
      <c r="BB96" s="318">
        <f t="shared" ref="BB96:BB102" si="92">IFERROR(((AY96*5)+AZ96)-BA96,"")</f>
        <v>16</v>
      </c>
      <c r="BC96" s="203">
        <f>VLOOKUP($A96,INICIO_BARRA!$A$6:$R$130,13,FALSE)</f>
        <v>1</v>
      </c>
      <c r="BD96" s="203">
        <f>VLOOKUP($A96,INICIO_BARRA!$A$6:$R$130,14,FALSE)</f>
        <v>12</v>
      </c>
      <c r="BE96" s="203">
        <f t="shared" ref="BE96:BE102" si="93">IFERROR(((BC96*5)+BD96)-BB96,"")</f>
        <v>1</v>
      </c>
      <c r="BF96" s="204" t="str">
        <f>IFERROR(IFERROR(IF(BE96&gt;0,"",BE96*VLOOKUP($A96,'VALOR I.'!$B$6:$K$418,10,FALSE)),"")*$C96,"")</f>
        <v/>
      </c>
      <c r="BG96" s="203">
        <f>VLOOKUP($A96,INICIO_BARRA!$A$6:$R$130,13,FALSE)</f>
        <v>1</v>
      </c>
      <c r="BH96" s="203">
        <f>VLOOKUP($A96,INICIO_BARRA!$A$6:$R$130,14,FALSE)</f>
        <v>12</v>
      </c>
      <c r="BI96" s="203">
        <f>IFERROR(VLOOKUP($A96,REPOSICIONES_BARRA!$A$6:$I$130,8,FALSE),"")</f>
        <v>0</v>
      </c>
      <c r="BJ96" s="315">
        <f t="shared" si="78"/>
        <v>1</v>
      </c>
      <c r="BK96" s="316">
        <f t="shared" si="79"/>
        <v>12</v>
      </c>
      <c r="BL96" s="317">
        <f>IFERROR(IFERROR(VLOOKUP($A96,VENTAS!$H$2:$O$201,7,FALSE),"")/$C96,"")</f>
        <v>0</v>
      </c>
      <c r="BM96" s="318">
        <f t="shared" ref="BM96:BM102" si="94">IFERROR(((BJ96*5)+BK96)-BL96,"")</f>
        <v>17</v>
      </c>
      <c r="BN96" s="203">
        <f>VLOOKUP($A96,INICIO_BARRA!$A$6:$R$130,15,FALSE)</f>
        <v>1</v>
      </c>
      <c r="BO96" s="203">
        <f>VLOOKUP($A96,INICIO_BARRA!$A$6:$R$130,16,FALSE)</f>
        <v>12</v>
      </c>
      <c r="BP96" s="203">
        <f t="shared" ref="BP96:BP102" si="95">IFERROR(((BN96*5)+BO96)-BM96,"")</f>
        <v>0</v>
      </c>
      <c r="BQ96" s="204">
        <f>IFERROR(IFERROR(IF(BP96&gt;0,"",BP96*VLOOKUP($A96,'VALOR I.'!$B$6:$K$418,10,FALSE)),"")*$C96,"")</f>
        <v>0</v>
      </c>
      <c r="BR96" s="203"/>
      <c r="BS96" s="203"/>
      <c r="BT96" s="203"/>
      <c r="BU96" s="315"/>
      <c r="BV96" s="316"/>
      <c r="BW96" s="317"/>
      <c r="BX96" s="318"/>
      <c r="BY96" s="203"/>
      <c r="BZ96" s="203"/>
      <c r="CA96" s="203"/>
      <c r="CB96" s="204"/>
    </row>
    <row r="97" spans="1:80" s="7" customFormat="1" ht="30" customHeight="1" x14ac:dyDescent="0.3">
      <c r="A97" s="3" t="s">
        <v>235</v>
      </c>
      <c r="B97" s="310" t="s">
        <v>66</v>
      </c>
      <c r="C97" s="132">
        <v>75</v>
      </c>
      <c r="D97" s="203">
        <f>VLOOKUP($A97,INICIO_BARRA!$A$6:$R$130,3,FALSE)</f>
        <v>0</v>
      </c>
      <c r="E97" s="203">
        <f>VLOOKUP($A97,INICIO_BARRA!$A$6:$R$130,4,FALSE)</f>
        <v>0</v>
      </c>
      <c r="F97" s="203">
        <f>IFERROR(VLOOKUP($A97,REPOSICIONES_BARRA!$A$6:$I$130,3,FALSE),"")</f>
        <v>0</v>
      </c>
      <c r="G97" s="315">
        <f t="shared" si="80"/>
        <v>0</v>
      </c>
      <c r="H97" s="316">
        <f t="shared" si="81"/>
        <v>0</v>
      </c>
      <c r="I97" s="317">
        <f>IFERROR(IFERROR(VLOOKUP($A97,VENTAS!$H$2:$O$201,2,FALSE),"")/$C97,"")</f>
        <v>0</v>
      </c>
      <c r="J97" s="318">
        <f t="shared" si="84"/>
        <v>0</v>
      </c>
      <c r="K97" s="203">
        <f>VLOOKUP($A97,INICIO_BARRA!$A$6:$R$130,5,FALSE)</f>
        <v>1</v>
      </c>
      <c r="L97" s="203">
        <f>VLOOKUP($A97,INICIO_BARRA!$A$6:$R$130,6,FALSE)</f>
        <v>2</v>
      </c>
      <c r="M97" s="203">
        <f t="shared" si="85"/>
        <v>7</v>
      </c>
      <c r="N97" s="204" t="str">
        <f>IFERROR(IFERROR(IF(M97&gt;0,"",M97*VLOOKUP($A97,'VALOR I.'!$B$6:$K$418,10,FALSE)),"")*$C97,"")</f>
        <v/>
      </c>
      <c r="O97" s="203">
        <f>VLOOKUP($A97,INICIO_BARRA!$A$6:$R$130,5,FALSE)</f>
        <v>1</v>
      </c>
      <c r="P97" s="203">
        <f>VLOOKUP($A97,INICIO_BARRA!$A$6:$R$130,6,FALSE)</f>
        <v>2</v>
      </c>
      <c r="Q97" s="203">
        <f>IFERROR(VLOOKUP($A97,REPOSICIONES_BARRA!$A$6:$I$130,4,FALSE),"")</f>
        <v>0</v>
      </c>
      <c r="R97" s="315">
        <f t="shared" si="70"/>
        <v>1</v>
      </c>
      <c r="S97" s="316">
        <f t="shared" si="71"/>
        <v>2</v>
      </c>
      <c r="T97" s="317">
        <f>IFERROR(IFERROR(VLOOKUP($A97,VENTAS!$H$2:$O$201,3,FALSE),"")/$C97,"")</f>
        <v>0</v>
      </c>
      <c r="U97" s="318">
        <f t="shared" si="86"/>
        <v>7</v>
      </c>
      <c r="V97" s="203">
        <f>VLOOKUP($A97,INICIO_BARRA!$A$6:$R$130,7,FALSE)</f>
        <v>1</v>
      </c>
      <c r="W97" s="203">
        <f>VLOOKUP($A97,INICIO_BARRA!$A$6:$R$130,8,FALSE)</f>
        <v>2</v>
      </c>
      <c r="X97" s="203">
        <f t="shared" si="87"/>
        <v>0</v>
      </c>
      <c r="Y97" s="204">
        <f>IFERROR(IFERROR(IF(X97&gt;0,"",X97*VLOOKUP($A97,'VALOR I.'!$B$6:$K$418,10,FALSE)),"")*$C97,"")</f>
        <v>0</v>
      </c>
      <c r="Z97" s="203">
        <f>VLOOKUP($A97,INICIO_BARRA!$A$6:$R$130,7,FALSE)</f>
        <v>1</v>
      </c>
      <c r="AA97" s="203">
        <f>VLOOKUP($A97,INICIO_BARRA!$A$6:$R$130,8,FALSE)</f>
        <v>2</v>
      </c>
      <c r="AB97" s="203">
        <f>IFERROR(VLOOKUP($A97,REPOSICIONES_BARRA!$A$6:$I$130,5,FALSE),"")</f>
        <v>0</v>
      </c>
      <c r="AC97" s="315">
        <f t="shared" si="72"/>
        <v>1</v>
      </c>
      <c r="AD97" s="316">
        <f t="shared" si="73"/>
        <v>2</v>
      </c>
      <c r="AE97" s="317">
        <f>IFERROR(IFERROR(VLOOKUP($A97,VENTAS!$H$2:$O$201,4,FALSE),"")/$C97,"")</f>
        <v>0</v>
      </c>
      <c r="AF97" s="318">
        <f>IFERROR(((AC97*5)+AD97)-AE97,"")</f>
        <v>7</v>
      </c>
      <c r="AG97" s="203">
        <f>VLOOKUP($A97,INICIO_BARRA!$A$6:$R$130,9,FALSE)</f>
        <v>1</v>
      </c>
      <c r="AH97" s="203">
        <f>VLOOKUP($A97,INICIO_BARRA!$A$6:$R$130,10,FALSE)</f>
        <v>2</v>
      </c>
      <c r="AI97" s="203">
        <f>IFERROR(((AG97*5)+AH97)-AF97,"")</f>
        <v>0</v>
      </c>
      <c r="AJ97" s="204">
        <f>IFERROR(IFERROR(IF(AI97&gt;0,"",AI97*VLOOKUP($A97,'VALOR I.'!$B$6:$K$418,10,FALSE)),"")*$C97,"")</f>
        <v>0</v>
      </c>
      <c r="AK97" s="203">
        <f>VLOOKUP($A97,INICIO_BARRA!$A$6:$R$130,9,FALSE)</f>
        <v>1</v>
      </c>
      <c r="AL97" s="203">
        <f>VLOOKUP($A97,INICIO_BARRA!$A$6:$R$130,10,FALSE)</f>
        <v>2</v>
      </c>
      <c r="AM97" s="203">
        <f>IFERROR(VLOOKUP($A97,REPOSICIONES_BARRA!$A$6:$I$130,6,FALSE),"")</f>
        <v>0</v>
      </c>
      <c r="AN97" s="315">
        <f t="shared" si="74"/>
        <v>1</v>
      </c>
      <c r="AO97" s="316">
        <f t="shared" si="75"/>
        <v>2</v>
      </c>
      <c r="AP97" s="317">
        <f>IFERROR(IFERROR(VLOOKUP($A97,VENTAS!$H$2:$O$201,5,FALSE),"")/$C97,"")</f>
        <v>0</v>
      </c>
      <c r="AQ97" s="318">
        <f t="shared" si="90"/>
        <v>7</v>
      </c>
      <c r="AR97" s="203">
        <f>VLOOKUP($A97,INICIO_BARRA!$A$6:$R$130,11,FALSE)</f>
        <v>1</v>
      </c>
      <c r="AS97" s="203">
        <f>VLOOKUP($A97,INICIO_BARRA!$A$6:$R$130,12,FALSE)</f>
        <v>2</v>
      </c>
      <c r="AT97" s="203">
        <f t="shared" si="91"/>
        <v>0</v>
      </c>
      <c r="AU97" s="204">
        <f>IFERROR(IFERROR(IF(AT97&gt;0,"",AT97*VLOOKUP($A97,'VALOR I.'!$B$6:$K$418,10,FALSE)),"")*$C97,"")</f>
        <v>0</v>
      </c>
      <c r="AV97" s="203">
        <f>VLOOKUP($A97,INICIO_BARRA!$A$6:$R$130,11,FALSE)</f>
        <v>1</v>
      </c>
      <c r="AW97" s="203">
        <f>VLOOKUP($A97,INICIO_BARRA!$A$6:$R$130,12,FALSE)</f>
        <v>2</v>
      </c>
      <c r="AX97" s="203">
        <f>IFERROR(VLOOKUP($A97,REPOSICIONES_BARRA!$A$6:$I$130,7,FALSE),"")</f>
        <v>0</v>
      </c>
      <c r="AY97" s="315">
        <f t="shared" si="76"/>
        <v>1</v>
      </c>
      <c r="AZ97" s="316">
        <f t="shared" si="77"/>
        <v>2</v>
      </c>
      <c r="BA97" s="317">
        <f>IFERROR(IFERROR(VLOOKUP($A97,VENTAS!$H$2:$O$201,6,FALSE),"")/$C97,"")</f>
        <v>1</v>
      </c>
      <c r="BB97" s="318">
        <f t="shared" si="92"/>
        <v>6</v>
      </c>
      <c r="BC97" s="203">
        <f>VLOOKUP($A97,INICIO_BARRA!$A$6:$R$130,13,FALSE)</f>
        <v>1</v>
      </c>
      <c r="BD97" s="203">
        <f>VLOOKUP($A97,INICIO_BARRA!$A$6:$R$130,14,FALSE)</f>
        <v>1</v>
      </c>
      <c r="BE97" s="203">
        <f t="shared" si="93"/>
        <v>0</v>
      </c>
      <c r="BF97" s="204">
        <f>IFERROR(IFERROR(IF(BE97&gt;0,"",BE97*VLOOKUP($A97,'VALOR I.'!$B$6:$K$418,10,FALSE)),"")*$C97,"")</f>
        <v>0</v>
      </c>
      <c r="BG97" s="203">
        <f>VLOOKUP($A97,INICIO_BARRA!$A$6:$R$130,13,FALSE)</f>
        <v>1</v>
      </c>
      <c r="BH97" s="203">
        <f>VLOOKUP($A97,INICIO_BARRA!$A$6:$R$130,14,FALSE)</f>
        <v>1</v>
      </c>
      <c r="BI97" s="203">
        <f>IFERROR(VLOOKUP($A97,REPOSICIONES_BARRA!$A$6:$I$130,8,FALSE),"")</f>
        <v>0</v>
      </c>
      <c r="BJ97" s="315">
        <f t="shared" si="78"/>
        <v>1</v>
      </c>
      <c r="BK97" s="316">
        <f t="shared" si="79"/>
        <v>1</v>
      </c>
      <c r="BL97" s="317">
        <f>IFERROR(IFERROR(VLOOKUP($A97,VENTAS!$H$2:$O$201,7,FALSE),"")/$C97,"")</f>
        <v>0</v>
      </c>
      <c r="BM97" s="318">
        <f t="shared" si="94"/>
        <v>6</v>
      </c>
      <c r="BN97" s="203">
        <f>VLOOKUP($A97,INICIO_BARRA!$A$6:$R$130,15,FALSE)</f>
        <v>1</v>
      </c>
      <c r="BO97" s="203">
        <f>VLOOKUP($A97,INICIO_BARRA!$A$6:$R$130,16,FALSE)</f>
        <v>1</v>
      </c>
      <c r="BP97" s="203">
        <f t="shared" si="95"/>
        <v>0</v>
      </c>
      <c r="BQ97" s="204">
        <f>IFERROR(IFERROR(IF(BP97&gt;0,"",BP97*VLOOKUP($A97,'VALOR I.'!$B$6:$K$418,10,FALSE)),"")*$C97,"")</f>
        <v>0</v>
      </c>
      <c r="BR97" s="203"/>
      <c r="BS97" s="203"/>
      <c r="BT97" s="203"/>
      <c r="BU97" s="315"/>
      <c r="BV97" s="316"/>
      <c r="BW97" s="317"/>
      <c r="BX97" s="318"/>
      <c r="BY97" s="203"/>
      <c r="BZ97" s="203"/>
      <c r="CA97" s="203"/>
      <c r="CB97" s="204"/>
    </row>
    <row r="98" spans="1:80" s="7" customFormat="1" ht="30" customHeight="1" x14ac:dyDescent="0.3">
      <c r="A98" s="3"/>
      <c r="B98" s="310" t="s">
        <v>67</v>
      </c>
      <c r="C98" s="132">
        <v>75</v>
      </c>
      <c r="D98" s="203"/>
      <c r="E98" s="203"/>
      <c r="F98" s="203"/>
      <c r="G98" s="315"/>
      <c r="H98" s="316"/>
      <c r="I98" s="317"/>
      <c r="J98" s="318"/>
      <c r="K98" s="203"/>
      <c r="L98" s="203"/>
      <c r="M98" s="203"/>
      <c r="N98" s="204"/>
      <c r="O98" s="203"/>
      <c r="P98" s="203"/>
      <c r="Q98" s="203"/>
      <c r="R98" s="315"/>
      <c r="S98" s="316"/>
      <c r="T98" s="317"/>
      <c r="U98" s="318"/>
      <c r="V98" s="203"/>
      <c r="W98" s="203"/>
      <c r="X98" s="203"/>
      <c r="Y98" s="204"/>
      <c r="Z98" s="203"/>
      <c r="AA98" s="203"/>
      <c r="AB98" s="203"/>
      <c r="AC98" s="315"/>
      <c r="AD98" s="316"/>
      <c r="AE98" s="317"/>
      <c r="AF98" s="318"/>
      <c r="AG98" s="203"/>
      <c r="AH98" s="203"/>
      <c r="AI98" s="203"/>
      <c r="AJ98" s="204"/>
      <c r="AK98" s="203"/>
      <c r="AL98" s="203"/>
      <c r="AM98" s="203"/>
      <c r="AN98" s="315"/>
      <c r="AO98" s="316"/>
      <c r="AP98" s="317"/>
      <c r="AQ98" s="318"/>
      <c r="AR98" s="203"/>
      <c r="AS98" s="203"/>
      <c r="AT98" s="203"/>
      <c r="AU98" s="204"/>
      <c r="AV98" s="203"/>
      <c r="AW98" s="203"/>
      <c r="AX98" s="203"/>
      <c r="AY98" s="315"/>
      <c r="AZ98" s="316"/>
      <c r="BA98" s="317"/>
      <c r="BB98" s="318"/>
      <c r="BC98" s="203"/>
      <c r="BD98" s="203"/>
      <c r="BE98" s="203"/>
      <c r="BF98" s="204"/>
      <c r="BG98" s="203"/>
      <c r="BH98" s="203"/>
      <c r="BI98" s="203"/>
      <c r="BJ98" s="315"/>
      <c r="BK98" s="316"/>
      <c r="BL98" s="317"/>
      <c r="BM98" s="318"/>
      <c r="BN98" s="203"/>
      <c r="BO98" s="203"/>
      <c r="BP98" s="203"/>
      <c r="BQ98" s="204"/>
      <c r="BR98" s="203"/>
      <c r="BS98" s="203"/>
      <c r="BT98" s="203"/>
      <c r="BU98" s="315"/>
      <c r="BV98" s="316"/>
      <c r="BW98" s="317"/>
      <c r="BX98" s="318"/>
      <c r="BY98" s="203"/>
      <c r="BZ98" s="203"/>
      <c r="CA98" s="203"/>
      <c r="CB98" s="204"/>
    </row>
    <row r="99" spans="1:80" s="7" customFormat="1" ht="30" customHeight="1" x14ac:dyDescent="0.3">
      <c r="A99" s="3" t="s">
        <v>236</v>
      </c>
      <c r="B99" s="310" t="s">
        <v>20</v>
      </c>
      <c r="C99" s="132">
        <v>75</v>
      </c>
      <c r="D99" s="203">
        <f>VLOOKUP($A99,INICIO_BARRA!$A$6:$R$130,3,FALSE)</f>
        <v>0</v>
      </c>
      <c r="E99" s="203">
        <f>VLOOKUP($A99,INICIO_BARRA!$A$6:$R$130,4,FALSE)</f>
        <v>0</v>
      </c>
      <c r="F99" s="203">
        <f>IFERROR(VLOOKUP($A99,REPOSICIONES_BARRA!$A$6:$I$130,3,FALSE),"")</f>
        <v>0</v>
      </c>
      <c r="G99" s="315">
        <f t="shared" si="80"/>
        <v>0</v>
      </c>
      <c r="H99" s="316">
        <f t="shared" si="81"/>
        <v>0</v>
      </c>
      <c r="I99" s="317">
        <f>IFERROR(IFERROR(VLOOKUP($A99,VENTAS!$H$2:$O$201,2,FALSE),"")/$C99,"")</f>
        <v>0</v>
      </c>
      <c r="J99" s="318">
        <f t="shared" si="84"/>
        <v>0</v>
      </c>
      <c r="K99" s="203">
        <f>VLOOKUP($A99,INICIO_BARRA!$A$6:$R$130,5,FALSE)</f>
        <v>1</v>
      </c>
      <c r="L99" s="203">
        <f>VLOOKUP($A99,INICIO_BARRA!$A$6:$R$130,6,FALSE)</f>
        <v>0</v>
      </c>
      <c r="M99" s="203">
        <f t="shared" si="85"/>
        <v>5</v>
      </c>
      <c r="N99" s="204" t="str">
        <f>IFERROR(IFERROR(IF(M99&gt;0,"",M99*VLOOKUP($A99,'VALOR I.'!$B$6:$K$418,10,FALSE)),"")*$C99,"")</f>
        <v/>
      </c>
      <c r="O99" s="203">
        <f>VLOOKUP($A99,INICIO_BARRA!$A$6:$R$130,5,FALSE)</f>
        <v>1</v>
      </c>
      <c r="P99" s="203">
        <f>VLOOKUP($A99,INICIO_BARRA!$A$6:$R$130,6,FALSE)</f>
        <v>0</v>
      </c>
      <c r="Q99" s="203">
        <f>IFERROR(VLOOKUP($A99,REPOSICIONES_BARRA!$A$6:$I$130,4,FALSE),"")</f>
        <v>0</v>
      </c>
      <c r="R99" s="315">
        <f t="shared" si="70"/>
        <v>1</v>
      </c>
      <c r="S99" s="316">
        <f t="shared" si="71"/>
        <v>0</v>
      </c>
      <c r="T99" s="317">
        <f>IFERROR(IFERROR(VLOOKUP($A99,VENTAS!$H$2:$O$201,3,FALSE),"")/$C99,"")</f>
        <v>0</v>
      </c>
      <c r="U99" s="318">
        <f t="shared" si="86"/>
        <v>5</v>
      </c>
      <c r="V99" s="203">
        <f>VLOOKUP($A99,INICIO_BARRA!$A$6:$R$130,7,FALSE)</f>
        <v>1</v>
      </c>
      <c r="W99" s="203">
        <f>VLOOKUP($A99,INICIO_BARRA!$A$6:$R$130,8,FALSE)</f>
        <v>0</v>
      </c>
      <c r="X99" s="203">
        <f t="shared" si="87"/>
        <v>0</v>
      </c>
      <c r="Y99" s="204">
        <f>IFERROR(IFERROR(IF(X99&gt;0,"",X99*VLOOKUP($A99,'VALOR I.'!$B$6:$K$418,10,FALSE)),"")*$C99,"")</f>
        <v>0</v>
      </c>
      <c r="Z99" s="203">
        <f>VLOOKUP($A99,INICIO_BARRA!$A$6:$R$130,7,FALSE)</f>
        <v>1</v>
      </c>
      <c r="AA99" s="203">
        <f>VLOOKUP($A99,INICIO_BARRA!$A$6:$R$130,8,FALSE)</f>
        <v>0</v>
      </c>
      <c r="AB99" s="203">
        <f>IFERROR(VLOOKUP($A99,REPOSICIONES_BARRA!$A$6:$I$130,5,FALSE),"")</f>
        <v>0</v>
      </c>
      <c r="AC99" s="315">
        <f t="shared" si="72"/>
        <v>1</v>
      </c>
      <c r="AD99" s="316">
        <f t="shared" si="73"/>
        <v>0</v>
      </c>
      <c r="AE99" s="317">
        <f>IFERROR(IFERROR(VLOOKUP($A99,VENTAS!$H$2:$O$201,4,FALSE),"")/$C99,"")</f>
        <v>0</v>
      </c>
      <c r="AF99" s="318">
        <f t="shared" si="88"/>
        <v>5</v>
      </c>
      <c r="AG99" s="203">
        <f>VLOOKUP($A99,INICIO_BARRA!$A$6:$R$130,9,FALSE)</f>
        <v>1</v>
      </c>
      <c r="AH99" s="203">
        <f>VLOOKUP($A99,INICIO_BARRA!$A$6:$R$130,10,FALSE)</f>
        <v>0</v>
      </c>
      <c r="AI99" s="203">
        <f t="shared" si="89"/>
        <v>0</v>
      </c>
      <c r="AJ99" s="204">
        <f>IFERROR(IFERROR(IF(AI99&gt;0,"",AI99*VLOOKUP($A99,'VALOR I.'!$B$6:$K$418,10,FALSE)),"")*$C99,"")</f>
        <v>0</v>
      </c>
      <c r="AK99" s="203">
        <f>VLOOKUP($A99,INICIO_BARRA!$A$6:$R$130,9,FALSE)</f>
        <v>1</v>
      </c>
      <c r="AL99" s="203">
        <f>VLOOKUP($A99,INICIO_BARRA!$A$6:$R$130,10,FALSE)</f>
        <v>0</v>
      </c>
      <c r="AM99" s="203">
        <f>IFERROR(VLOOKUP($A99,REPOSICIONES_BARRA!$A$6:$I$130,6,FALSE),"")</f>
        <v>0</v>
      </c>
      <c r="AN99" s="315">
        <f t="shared" si="74"/>
        <v>1</v>
      </c>
      <c r="AO99" s="316">
        <f t="shared" si="75"/>
        <v>0</v>
      </c>
      <c r="AP99" s="317">
        <f>IFERROR(IFERROR(VLOOKUP($A99,VENTAS!$H$2:$O$201,5,FALSE),"")/$C99,"")</f>
        <v>0</v>
      </c>
      <c r="AQ99" s="318">
        <f t="shared" si="90"/>
        <v>5</v>
      </c>
      <c r="AR99" s="203">
        <f>VLOOKUP($A99,INICIO_BARRA!$A$6:$R$130,11,FALSE)</f>
        <v>1</v>
      </c>
      <c r="AS99" s="203">
        <f>VLOOKUP($A99,INICIO_BARRA!$A$6:$R$130,12,FALSE)</f>
        <v>0</v>
      </c>
      <c r="AT99" s="203">
        <f t="shared" si="91"/>
        <v>0</v>
      </c>
      <c r="AU99" s="204">
        <f>IFERROR(IFERROR(IF(AT99&gt;0,"",AT99*VLOOKUP($A99,'VALOR I.'!$B$6:$K$418,10,FALSE)),"")*$C99,"")</f>
        <v>0</v>
      </c>
      <c r="AV99" s="203">
        <f>VLOOKUP($A99,INICIO_BARRA!$A$6:$R$130,11,FALSE)</f>
        <v>1</v>
      </c>
      <c r="AW99" s="203">
        <f>VLOOKUP($A99,INICIO_BARRA!$A$6:$R$130,12,FALSE)</f>
        <v>0</v>
      </c>
      <c r="AX99" s="203">
        <f>IFERROR(VLOOKUP($A99,REPOSICIONES_BARRA!$A$6:$I$130,7,FALSE),"")</f>
        <v>0</v>
      </c>
      <c r="AY99" s="315">
        <f t="shared" si="76"/>
        <v>1</v>
      </c>
      <c r="AZ99" s="316">
        <f t="shared" si="77"/>
        <v>0</v>
      </c>
      <c r="BA99" s="317">
        <f>IFERROR(IFERROR(VLOOKUP($A99,VENTAS!$H$2:$O$201,6,FALSE),"")/$C99,"")</f>
        <v>4</v>
      </c>
      <c r="BB99" s="318">
        <f t="shared" si="92"/>
        <v>1</v>
      </c>
      <c r="BC99" s="203">
        <f>VLOOKUP($A99,INICIO_BARRA!$A$6:$R$130,13,FALSE)</f>
        <v>0</v>
      </c>
      <c r="BD99" s="203">
        <f>VLOOKUP($A99,INICIO_BARRA!$A$6:$R$130,14,FALSE)</f>
        <v>11</v>
      </c>
      <c r="BE99" s="203">
        <f t="shared" si="93"/>
        <v>10</v>
      </c>
      <c r="BF99" s="204" t="str">
        <f>IFERROR(IFERROR(IF(BE99&gt;0,"",BE99*VLOOKUP($A99,'VALOR I.'!$B$6:$K$418,10,FALSE)),"")*$C99,"")</f>
        <v/>
      </c>
      <c r="BG99" s="203">
        <f>VLOOKUP($A99,INICIO_BARRA!$A$6:$R$130,13,FALSE)</f>
        <v>0</v>
      </c>
      <c r="BH99" s="203">
        <f>VLOOKUP($A99,INICIO_BARRA!$A$6:$R$130,14,FALSE)</f>
        <v>11</v>
      </c>
      <c r="BI99" s="203">
        <f>IFERROR(VLOOKUP($A99,REPOSICIONES_BARRA!$A$6:$I$130,8,FALSE),"")</f>
        <v>0</v>
      </c>
      <c r="BJ99" s="315">
        <f t="shared" si="78"/>
        <v>0</v>
      </c>
      <c r="BK99" s="316">
        <f t="shared" si="79"/>
        <v>11</v>
      </c>
      <c r="BL99" s="317">
        <f>IFERROR(IFERROR(VLOOKUP($A99,VENTAS!$H$2:$O$201,7,FALSE),"")/$C99,"")</f>
        <v>0</v>
      </c>
      <c r="BM99" s="318">
        <f t="shared" si="94"/>
        <v>11</v>
      </c>
      <c r="BN99" s="203">
        <f>VLOOKUP($A99,INICIO_BARRA!$A$6:$R$130,15,FALSE)</f>
        <v>0</v>
      </c>
      <c r="BO99" s="203">
        <f>VLOOKUP($A99,INICIO_BARRA!$A$6:$R$130,16,FALSE)</f>
        <v>11</v>
      </c>
      <c r="BP99" s="203">
        <f t="shared" si="95"/>
        <v>0</v>
      </c>
      <c r="BQ99" s="204">
        <f>IFERROR(IFERROR(IF(BP99&gt;0,"",BP99*VLOOKUP($A99,'VALOR I.'!$B$6:$K$418,10,FALSE)),"")*$C99,"")</f>
        <v>0</v>
      </c>
      <c r="BR99" s="203"/>
      <c r="BS99" s="203"/>
      <c r="BT99" s="203"/>
      <c r="BU99" s="315"/>
      <c r="BV99" s="316"/>
      <c r="BW99" s="317"/>
      <c r="BX99" s="318"/>
      <c r="BY99" s="203"/>
      <c r="BZ99" s="203"/>
      <c r="CA99" s="203"/>
      <c r="CB99" s="204"/>
    </row>
    <row r="100" spans="1:80" s="7" customFormat="1" ht="30" customHeight="1" x14ac:dyDescent="0.3">
      <c r="A100" s="3" t="s">
        <v>239</v>
      </c>
      <c r="B100" s="311" t="s">
        <v>23</v>
      </c>
      <c r="C100" s="132">
        <v>75</v>
      </c>
      <c r="D100" s="203">
        <f>VLOOKUP($A100,INICIO_BARRA!$A$6:$R$130,3,FALSE)</f>
        <v>0</v>
      </c>
      <c r="E100" s="203">
        <f>VLOOKUP($A100,INICIO_BARRA!$A$6:$R$130,4,FALSE)</f>
        <v>0</v>
      </c>
      <c r="F100" s="203">
        <f>IFERROR(VLOOKUP($A100,REPOSICIONES_BARRA!$A$6:$I$130,3,FALSE),"")</f>
        <v>0</v>
      </c>
      <c r="G100" s="315">
        <f t="shared" si="80"/>
        <v>0</v>
      </c>
      <c r="H100" s="316">
        <f t="shared" si="81"/>
        <v>0</v>
      </c>
      <c r="I100" s="317">
        <f>IFERROR(IFERROR(VLOOKUP($A100,VENTAS!$H$2:$O$201,2,FALSE),"")/$C100,"")</f>
        <v>0</v>
      </c>
      <c r="J100" s="318">
        <f t="shared" si="84"/>
        <v>0</v>
      </c>
      <c r="K100" s="203">
        <f>VLOOKUP($A100,INICIO_BARRA!$A$6:$R$130,5,FALSE)</f>
        <v>1</v>
      </c>
      <c r="L100" s="203">
        <f>VLOOKUP($A100,INICIO_BARRA!$A$6:$R$130,6,FALSE)</f>
        <v>7</v>
      </c>
      <c r="M100" s="203">
        <f t="shared" si="85"/>
        <v>12</v>
      </c>
      <c r="N100" s="204" t="str">
        <f>IFERROR(IFERROR(IF(M100&gt;0,"",M100*VLOOKUP($A100,'VALOR I.'!$B$6:$K$418,10,FALSE)),"")*$C100,"")</f>
        <v/>
      </c>
      <c r="O100" s="203">
        <f>VLOOKUP($A100,INICIO_BARRA!$A$6:$R$130,5,FALSE)</f>
        <v>1</v>
      </c>
      <c r="P100" s="203">
        <f>VLOOKUP($A100,INICIO_BARRA!$A$6:$R$130,6,FALSE)</f>
        <v>7</v>
      </c>
      <c r="Q100" s="203">
        <f>IFERROR(VLOOKUP($A100,REPOSICIONES_BARRA!$A$6:$I$130,4,FALSE),"")</f>
        <v>0</v>
      </c>
      <c r="R100" s="315">
        <f t="shared" si="70"/>
        <v>1</v>
      </c>
      <c r="S100" s="316">
        <f t="shared" si="71"/>
        <v>7</v>
      </c>
      <c r="T100" s="317">
        <f>IFERROR(IFERROR(VLOOKUP($A100,VENTAS!$H$2:$O$201,3,FALSE),"")/$C100,"")</f>
        <v>4</v>
      </c>
      <c r="U100" s="318">
        <f t="shared" si="86"/>
        <v>8</v>
      </c>
      <c r="V100" s="203">
        <f>VLOOKUP($A100,INICIO_BARRA!$A$6:$R$130,7,FALSE)</f>
        <v>1</v>
      </c>
      <c r="W100" s="203">
        <f>VLOOKUP($A100,INICIO_BARRA!$A$6:$R$130,8,FALSE)</f>
        <v>2</v>
      </c>
      <c r="X100" s="203">
        <f t="shared" si="87"/>
        <v>-1</v>
      </c>
      <c r="Y100" s="204">
        <f>IFERROR(IFERROR(IF(X100&gt;0,"",X100*VLOOKUP($A100,'VALOR I.'!$B$6:$K$418,10,FALSE)),"")*$C100,"")</f>
        <v>-2649.7030000000004</v>
      </c>
      <c r="Z100" s="203">
        <f>VLOOKUP($A100,INICIO_BARRA!$A$6:$R$130,7,FALSE)</f>
        <v>1</v>
      </c>
      <c r="AA100" s="203">
        <f>VLOOKUP($A100,INICIO_BARRA!$A$6:$R$130,8,FALSE)</f>
        <v>2</v>
      </c>
      <c r="AB100" s="203">
        <f>IFERROR(VLOOKUP($A100,REPOSICIONES_BARRA!$A$6:$I$130,5,FALSE),"")</f>
        <v>0</v>
      </c>
      <c r="AC100" s="315">
        <f t="shared" si="72"/>
        <v>1</v>
      </c>
      <c r="AD100" s="316">
        <f t="shared" si="73"/>
        <v>2</v>
      </c>
      <c r="AE100" s="317">
        <f>IFERROR(IFERROR(VLOOKUP($A100,VENTAS!$H$2:$O$201,4,FALSE),"")/$C100,"")</f>
        <v>0</v>
      </c>
      <c r="AF100" s="318">
        <f t="shared" si="88"/>
        <v>7</v>
      </c>
      <c r="AG100" s="203">
        <f>VLOOKUP($A100,INICIO_BARRA!$A$6:$R$130,9,FALSE)</f>
        <v>1</v>
      </c>
      <c r="AH100" s="203">
        <f>VLOOKUP($A100,INICIO_BARRA!$A$6:$R$130,10,FALSE)</f>
        <v>2</v>
      </c>
      <c r="AI100" s="203">
        <f t="shared" si="89"/>
        <v>0</v>
      </c>
      <c r="AJ100" s="204">
        <f>IFERROR(IFERROR(IF(AI100&gt;0,"",AI100*VLOOKUP($A100,'VALOR I.'!$B$6:$K$418,10,FALSE)),"")*$C100,"")</f>
        <v>0</v>
      </c>
      <c r="AK100" s="203">
        <f>VLOOKUP($A100,INICIO_BARRA!$A$6:$R$130,9,FALSE)</f>
        <v>1</v>
      </c>
      <c r="AL100" s="203">
        <f>VLOOKUP($A100,INICIO_BARRA!$A$6:$R$130,10,FALSE)</f>
        <v>2</v>
      </c>
      <c r="AM100" s="203">
        <f>IFERROR(VLOOKUP($A100,REPOSICIONES_BARRA!$A$6:$I$130,6,FALSE),"")</f>
        <v>0</v>
      </c>
      <c r="AN100" s="315">
        <f t="shared" si="74"/>
        <v>1</v>
      </c>
      <c r="AO100" s="316">
        <f t="shared" si="75"/>
        <v>2</v>
      </c>
      <c r="AP100" s="317">
        <f>IFERROR(IFERROR(VLOOKUP($A100,VENTAS!$H$2:$O$201,5,FALSE),"")/$C100,"")</f>
        <v>0</v>
      </c>
      <c r="AQ100" s="318">
        <f t="shared" si="90"/>
        <v>7</v>
      </c>
      <c r="AR100" s="203">
        <f>VLOOKUP($A100,INICIO_BARRA!$A$6:$R$130,11,FALSE)</f>
        <v>1</v>
      </c>
      <c r="AS100" s="203">
        <f>VLOOKUP($A100,INICIO_BARRA!$A$6:$R$130,12,FALSE)</f>
        <v>2</v>
      </c>
      <c r="AT100" s="203">
        <f t="shared" si="91"/>
        <v>0</v>
      </c>
      <c r="AU100" s="204">
        <f>IFERROR(IFERROR(IF(AT100&gt;0,"",AT100*VLOOKUP($A100,'VALOR I.'!$B$6:$K$418,10,FALSE)),"")*$C100,"")</f>
        <v>0</v>
      </c>
      <c r="AV100" s="203">
        <f>VLOOKUP($A100,INICIO_BARRA!$A$6:$R$130,11,FALSE)</f>
        <v>1</v>
      </c>
      <c r="AW100" s="203">
        <f>VLOOKUP($A100,INICIO_BARRA!$A$6:$R$130,12,FALSE)</f>
        <v>2</v>
      </c>
      <c r="AX100" s="203">
        <f>IFERROR(VLOOKUP($A100,REPOSICIONES_BARRA!$A$6:$I$130,7,FALSE),"")</f>
        <v>0</v>
      </c>
      <c r="AY100" s="315">
        <f t="shared" si="76"/>
        <v>1</v>
      </c>
      <c r="AZ100" s="316">
        <f t="shared" si="77"/>
        <v>2</v>
      </c>
      <c r="BA100" s="317">
        <f>IFERROR(IFERROR(VLOOKUP($A100,VENTAS!$H$2:$O$201,6,FALSE),"")/$C100,"")</f>
        <v>2</v>
      </c>
      <c r="BB100" s="318">
        <f t="shared" si="92"/>
        <v>5</v>
      </c>
      <c r="BC100" s="203">
        <f>VLOOKUP($A100,INICIO_BARRA!$A$6:$R$130,13,FALSE)</f>
        <v>0</v>
      </c>
      <c r="BD100" s="203">
        <f>VLOOKUP($A100,INICIO_BARRA!$A$6:$R$130,14,FALSE)</f>
        <v>9</v>
      </c>
      <c r="BE100" s="203">
        <f t="shared" si="93"/>
        <v>4</v>
      </c>
      <c r="BF100" s="204" t="str">
        <f>IFERROR(IFERROR(IF(BE100&gt;0,"",BE100*VLOOKUP($A100,'VALOR I.'!$B$6:$K$418,10,FALSE)),"")*$C100,"")</f>
        <v/>
      </c>
      <c r="BG100" s="203">
        <f>VLOOKUP($A100,INICIO_BARRA!$A$6:$R$130,13,FALSE)</f>
        <v>0</v>
      </c>
      <c r="BH100" s="203">
        <f>VLOOKUP($A100,INICIO_BARRA!$A$6:$R$130,14,FALSE)</f>
        <v>9</v>
      </c>
      <c r="BI100" s="203">
        <f>IFERROR(VLOOKUP($A100,REPOSICIONES_BARRA!$A$6:$I$130,8,FALSE),"")</f>
        <v>1</v>
      </c>
      <c r="BJ100" s="315">
        <f t="shared" si="78"/>
        <v>1</v>
      </c>
      <c r="BK100" s="316">
        <f t="shared" si="79"/>
        <v>9</v>
      </c>
      <c r="BL100" s="317">
        <f>IFERROR(IFERROR(VLOOKUP($A100,VENTAS!$H$2:$O$201,7,FALSE),"")/$C100,"")</f>
        <v>3</v>
      </c>
      <c r="BM100" s="318">
        <f t="shared" si="94"/>
        <v>11</v>
      </c>
      <c r="BN100" s="203">
        <f>VLOOKUP($A100,INICIO_BARRA!$A$6:$R$130,15,FALSE)</f>
        <v>1</v>
      </c>
      <c r="BO100" s="203">
        <f>VLOOKUP($A100,INICIO_BARRA!$A$6:$R$130,16,FALSE)</f>
        <v>7</v>
      </c>
      <c r="BP100" s="203">
        <f t="shared" si="95"/>
        <v>1</v>
      </c>
      <c r="BQ100" s="204" t="str">
        <f>IFERROR(IFERROR(IF(BP100&gt;0,"",BP100*VLOOKUP($A100,'VALOR I.'!$B$6:$K$418,10,FALSE)),"")*$C100,"")</f>
        <v/>
      </c>
      <c r="BR100" s="203"/>
      <c r="BS100" s="203"/>
      <c r="BT100" s="203"/>
      <c r="BU100" s="315"/>
      <c r="BV100" s="316"/>
      <c r="BW100" s="317"/>
      <c r="BX100" s="318"/>
      <c r="BY100" s="203"/>
      <c r="BZ100" s="203"/>
      <c r="CA100" s="203"/>
      <c r="CB100" s="204"/>
    </row>
    <row r="101" spans="1:80" s="7" customFormat="1" ht="30" customHeight="1" x14ac:dyDescent="0.3">
      <c r="A101" s="3" t="s">
        <v>240</v>
      </c>
      <c r="B101" s="311" t="s">
        <v>24</v>
      </c>
      <c r="C101" s="132">
        <v>75</v>
      </c>
      <c r="D101" s="203">
        <f>VLOOKUP($A101,INICIO_BARRA!$A$6:$R$130,3,FALSE)</f>
        <v>0</v>
      </c>
      <c r="E101" s="203">
        <f>VLOOKUP($A101,INICIO_BARRA!$A$6:$R$130,4,FALSE)</f>
        <v>0</v>
      </c>
      <c r="F101" s="203">
        <f>IFERROR(VLOOKUP($A101,REPOSICIONES_BARRA!$A$6:$I$130,3,FALSE),"")</f>
        <v>0</v>
      </c>
      <c r="G101" s="315">
        <f t="shared" si="80"/>
        <v>0</v>
      </c>
      <c r="H101" s="316">
        <f t="shared" si="81"/>
        <v>0</v>
      </c>
      <c r="I101" s="317">
        <f>IFERROR(IFERROR(VLOOKUP($A101,VENTAS!$H$2:$O$201,2,FALSE),"")/$C101,"")</f>
        <v>0</v>
      </c>
      <c r="J101" s="318">
        <f t="shared" si="84"/>
        <v>0</v>
      </c>
      <c r="K101" s="203">
        <f>VLOOKUP($A101,INICIO_BARRA!$A$6:$R$130,5,FALSE)</f>
        <v>2</v>
      </c>
      <c r="L101" s="203">
        <f>VLOOKUP($A101,INICIO_BARRA!$A$6:$R$130,6,FALSE)</f>
        <v>11</v>
      </c>
      <c r="M101" s="203">
        <f t="shared" si="85"/>
        <v>21</v>
      </c>
      <c r="N101" s="204" t="str">
        <f>IFERROR(IFERROR(IF(M101&gt;0,"",M101*VLOOKUP($A101,'VALOR I.'!$B$6:$K$418,10,FALSE)),"")*$C101,"")</f>
        <v/>
      </c>
      <c r="O101" s="203">
        <f>VLOOKUP($A101,INICIO_BARRA!$A$6:$R$130,5,FALSE)</f>
        <v>2</v>
      </c>
      <c r="P101" s="203">
        <f>VLOOKUP($A101,INICIO_BARRA!$A$6:$R$130,6,FALSE)</f>
        <v>11</v>
      </c>
      <c r="Q101" s="203">
        <f>IFERROR(VLOOKUP($A101,REPOSICIONES_BARRA!$A$6:$I$130,4,FALSE),"")</f>
        <v>0</v>
      </c>
      <c r="R101" s="315">
        <f t="shared" si="70"/>
        <v>2</v>
      </c>
      <c r="S101" s="316">
        <f t="shared" si="71"/>
        <v>11</v>
      </c>
      <c r="T101" s="317">
        <f>IFERROR(IFERROR(VLOOKUP($A101,VENTAS!$H$2:$O$201,3,FALSE),"")/$C101,"")</f>
        <v>0</v>
      </c>
      <c r="U101" s="318">
        <f t="shared" si="86"/>
        <v>21</v>
      </c>
      <c r="V101" s="203">
        <f>VLOOKUP($A101,INICIO_BARRA!$A$6:$R$130,7,FALSE)</f>
        <v>2</v>
      </c>
      <c r="W101" s="203">
        <f>VLOOKUP($A101,INICIO_BARRA!$A$6:$R$130,8,FALSE)</f>
        <v>11</v>
      </c>
      <c r="X101" s="203">
        <f t="shared" si="87"/>
        <v>0</v>
      </c>
      <c r="Y101" s="204">
        <f>IFERROR(IFERROR(IF(X101&gt;0,"",X101*VLOOKUP($A101,'VALOR I.'!$B$6:$K$418,10,FALSE)),"")*$C101,"")</f>
        <v>0</v>
      </c>
      <c r="Z101" s="203">
        <f>VLOOKUP($A101,INICIO_BARRA!$A$6:$R$130,7,FALSE)</f>
        <v>2</v>
      </c>
      <c r="AA101" s="203">
        <f>VLOOKUP($A101,INICIO_BARRA!$A$6:$R$130,8,FALSE)</f>
        <v>11</v>
      </c>
      <c r="AB101" s="203">
        <f>IFERROR(VLOOKUP($A101,REPOSICIONES_BARRA!$A$6:$I$130,5,FALSE),"")</f>
        <v>0</v>
      </c>
      <c r="AC101" s="315">
        <f t="shared" si="72"/>
        <v>2</v>
      </c>
      <c r="AD101" s="316">
        <f t="shared" si="73"/>
        <v>11</v>
      </c>
      <c r="AE101" s="317">
        <f>IFERROR(IFERROR(VLOOKUP($A101,VENTAS!$H$2:$O$201,4,FALSE),"")/$C101,"")</f>
        <v>0</v>
      </c>
      <c r="AF101" s="318">
        <f t="shared" si="88"/>
        <v>21</v>
      </c>
      <c r="AG101" s="203">
        <f>VLOOKUP($A101,INICIO_BARRA!$A$6:$R$130,9,FALSE)</f>
        <v>2</v>
      </c>
      <c r="AH101" s="203">
        <f>VLOOKUP($A101,INICIO_BARRA!$A$6:$R$130,10,FALSE)</f>
        <v>11</v>
      </c>
      <c r="AI101" s="203">
        <f t="shared" si="89"/>
        <v>0</v>
      </c>
      <c r="AJ101" s="204">
        <f>IFERROR(IFERROR(IF(AI101&gt;0,"",AI101*VLOOKUP($A101,'VALOR I.'!$B$6:$K$418,10,FALSE)),"")*$C101,"")</f>
        <v>0</v>
      </c>
      <c r="AK101" s="203">
        <f>VLOOKUP($A101,INICIO_BARRA!$A$6:$R$130,9,FALSE)</f>
        <v>2</v>
      </c>
      <c r="AL101" s="203">
        <f>VLOOKUP($A101,INICIO_BARRA!$A$6:$R$130,10,FALSE)</f>
        <v>11</v>
      </c>
      <c r="AM101" s="203">
        <f>IFERROR(VLOOKUP($A101,REPOSICIONES_BARRA!$A$6:$I$130,6,FALSE),"")</f>
        <v>0</v>
      </c>
      <c r="AN101" s="315">
        <f t="shared" si="74"/>
        <v>2</v>
      </c>
      <c r="AO101" s="316">
        <f t="shared" si="75"/>
        <v>11</v>
      </c>
      <c r="AP101" s="317">
        <f>IFERROR(IFERROR(VLOOKUP($A101,VENTAS!$H$2:$O$201,5,FALSE),"")/$C101,"")</f>
        <v>6</v>
      </c>
      <c r="AQ101" s="318">
        <f t="shared" si="90"/>
        <v>15</v>
      </c>
      <c r="AR101" s="203">
        <f>VLOOKUP($A101,INICIO_BARRA!$A$6:$R$130,11,FALSE)</f>
        <v>2</v>
      </c>
      <c r="AS101" s="203">
        <f>VLOOKUP($A101,INICIO_BARRA!$A$6:$R$130,12,FALSE)</f>
        <v>3</v>
      </c>
      <c r="AT101" s="203">
        <f t="shared" si="91"/>
        <v>-2</v>
      </c>
      <c r="AU101" s="204">
        <f>IFERROR(IFERROR(IF(AT101&gt;0,"",AT101*VLOOKUP($A101,'VALOR I.'!$B$6:$K$418,10,FALSE)),"")*$C101,"")</f>
        <v>-1956.1237499999997</v>
      </c>
      <c r="AV101" s="203">
        <f>VLOOKUP($A101,INICIO_BARRA!$A$6:$R$130,11,FALSE)</f>
        <v>2</v>
      </c>
      <c r="AW101" s="203">
        <f>VLOOKUP($A101,INICIO_BARRA!$A$6:$R$130,12,FALSE)</f>
        <v>3</v>
      </c>
      <c r="AX101" s="203">
        <f>IFERROR(VLOOKUP($A101,REPOSICIONES_BARRA!$A$6:$I$130,7,FALSE),"")</f>
        <v>0</v>
      </c>
      <c r="AY101" s="315">
        <f t="shared" si="76"/>
        <v>2</v>
      </c>
      <c r="AZ101" s="316">
        <f t="shared" si="77"/>
        <v>3</v>
      </c>
      <c r="BA101" s="317">
        <f>IFERROR(IFERROR(VLOOKUP($A101,VENTAS!$H$2:$O$201,6,FALSE),"")/$C101,"")</f>
        <v>4</v>
      </c>
      <c r="BB101" s="318">
        <f t="shared" si="92"/>
        <v>9</v>
      </c>
      <c r="BC101" s="203">
        <f>VLOOKUP($A101,INICIO_BARRA!$A$6:$R$130,13,FALSE)</f>
        <v>1</v>
      </c>
      <c r="BD101" s="203">
        <f>VLOOKUP($A101,INICIO_BARRA!$A$6:$R$130,14,FALSE)</f>
        <v>9</v>
      </c>
      <c r="BE101" s="203">
        <f t="shared" si="93"/>
        <v>5</v>
      </c>
      <c r="BF101" s="204" t="str">
        <f>IFERROR(IFERROR(IF(BE101&gt;0,"",BE101*VLOOKUP($A101,'VALOR I.'!$B$6:$K$418,10,FALSE)),"")*$C101,"")</f>
        <v/>
      </c>
      <c r="BG101" s="203">
        <f>VLOOKUP($A101,INICIO_BARRA!$A$6:$R$130,13,FALSE)</f>
        <v>1</v>
      </c>
      <c r="BH101" s="203">
        <f>VLOOKUP($A101,INICIO_BARRA!$A$6:$R$130,14,FALSE)</f>
        <v>9</v>
      </c>
      <c r="BI101" s="203">
        <f>IFERROR(VLOOKUP($A101,REPOSICIONES_BARRA!$A$6:$I$130,8,FALSE),"")</f>
        <v>0</v>
      </c>
      <c r="BJ101" s="315">
        <f t="shared" si="78"/>
        <v>1</v>
      </c>
      <c r="BK101" s="316">
        <f t="shared" si="79"/>
        <v>9</v>
      </c>
      <c r="BL101" s="317">
        <f>IFERROR(IFERROR(VLOOKUP($A101,VENTAS!$H$2:$O$201,7,FALSE),"")/$C101,"")</f>
        <v>1</v>
      </c>
      <c r="BM101" s="318">
        <f t="shared" si="94"/>
        <v>13</v>
      </c>
      <c r="BN101" s="203">
        <f>VLOOKUP($A101,INICIO_BARRA!$A$6:$R$130,15,FALSE)</f>
        <v>1</v>
      </c>
      <c r="BO101" s="203">
        <f>VLOOKUP($A101,INICIO_BARRA!$A$6:$R$130,16,FALSE)</f>
        <v>9</v>
      </c>
      <c r="BP101" s="203">
        <f t="shared" si="95"/>
        <v>1</v>
      </c>
      <c r="BQ101" s="204" t="str">
        <f>IFERROR(IFERROR(IF(BP101&gt;0,"",BP101*VLOOKUP($A101,'VALOR I.'!$B$6:$K$418,10,FALSE)),"")*$C101,"")</f>
        <v/>
      </c>
      <c r="BR101" s="203"/>
      <c r="BS101" s="203"/>
      <c r="BT101" s="203"/>
      <c r="BU101" s="315"/>
      <c r="BV101" s="316"/>
      <c r="BW101" s="317"/>
      <c r="BX101" s="318"/>
      <c r="BY101" s="203"/>
      <c r="BZ101" s="203"/>
      <c r="CA101" s="203"/>
      <c r="CB101" s="204"/>
    </row>
    <row r="102" spans="1:80" s="7" customFormat="1" ht="30" customHeight="1" x14ac:dyDescent="0.3">
      <c r="A102" s="3" t="s">
        <v>344</v>
      </c>
      <c r="B102" s="311" t="s">
        <v>55</v>
      </c>
      <c r="C102" s="132">
        <v>75</v>
      </c>
      <c r="D102" s="203">
        <f>VLOOKUP($A102,INICIO_BARRA!$A$6:$R$130,3,FALSE)</f>
        <v>0</v>
      </c>
      <c r="E102" s="203">
        <f>VLOOKUP($A102,INICIO_BARRA!$A$6:$R$130,4,FALSE)</f>
        <v>0</v>
      </c>
      <c r="F102" s="203">
        <f>IFERROR(VLOOKUP($A102,REPOSICIONES_BARRA!$A$6:$I$130,3,FALSE),"")</f>
        <v>0</v>
      </c>
      <c r="G102" s="315">
        <f t="shared" si="80"/>
        <v>0</v>
      </c>
      <c r="H102" s="316">
        <f t="shared" si="81"/>
        <v>0</v>
      </c>
      <c r="I102" s="317">
        <f>IFERROR(IFERROR(VLOOKUP($A102,VENTAS!$H$2:$O$201,2,FALSE),"")/$C102,"")</f>
        <v>0</v>
      </c>
      <c r="J102" s="318">
        <f t="shared" si="84"/>
        <v>0</v>
      </c>
      <c r="K102" s="203">
        <f>VLOOKUP($A102,INICIO_BARRA!$A$6:$R$130,5,FALSE)</f>
        <v>1</v>
      </c>
      <c r="L102" s="203">
        <f>VLOOKUP($A102,INICIO_BARRA!$A$6:$R$130,6,FALSE)</f>
        <v>4</v>
      </c>
      <c r="M102" s="203">
        <f t="shared" si="85"/>
        <v>9</v>
      </c>
      <c r="N102" s="204" t="str">
        <f>IFERROR(IFERROR(IF(M102&gt;0,"",M102*VLOOKUP($A102,'VALOR I.'!$B$6:$K$418,10,FALSE)),"")*$C102,"")</f>
        <v/>
      </c>
      <c r="O102" s="203">
        <f>VLOOKUP($A102,INICIO_BARRA!$A$6:$R$130,5,FALSE)</f>
        <v>1</v>
      </c>
      <c r="P102" s="203">
        <f>VLOOKUP($A102,INICIO_BARRA!$A$6:$R$130,6,FALSE)</f>
        <v>4</v>
      </c>
      <c r="Q102" s="203">
        <f>IFERROR(VLOOKUP($A102,REPOSICIONES_BARRA!$A$6:$I$130,4,FALSE),"")</f>
        <v>0</v>
      </c>
      <c r="R102" s="315">
        <f t="shared" si="70"/>
        <v>1</v>
      </c>
      <c r="S102" s="316">
        <f t="shared" si="71"/>
        <v>4</v>
      </c>
      <c r="T102" s="317">
        <f>IFERROR(IFERROR(VLOOKUP($A102,VENTAS!$H$2:$O$201,3,FALSE),"")/$C102,"")</f>
        <v>0</v>
      </c>
      <c r="U102" s="318">
        <f t="shared" si="86"/>
        <v>9</v>
      </c>
      <c r="V102" s="203">
        <f>VLOOKUP($A102,INICIO_BARRA!$A$6:$R$130,7,FALSE)</f>
        <v>1</v>
      </c>
      <c r="W102" s="203">
        <f>VLOOKUP($A102,INICIO_BARRA!$A$6:$R$130,8,FALSE)</f>
        <v>4</v>
      </c>
      <c r="X102" s="203">
        <f t="shared" si="87"/>
        <v>0</v>
      </c>
      <c r="Y102" s="204">
        <f>IFERROR(IFERROR(IF(X102&gt;0,"",X102*VLOOKUP($A102,'VALOR I.'!$B$6:$K$418,10,FALSE)),"")*$C102,"")</f>
        <v>0</v>
      </c>
      <c r="Z102" s="203">
        <f>VLOOKUP($A102,INICIO_BARRA!$A$6:$R$130,7,FALSE)</f>
        <v>1</v>
      </c>
      <c r="AA102" s="203">
        <f>VLOOKUP($A102,INICIO_BARRA!$A$6:$R$130,8,FALSE)</f>
        <v>4</v>
      </c>
      <c r="AB102" s="203">
        <f>IFERROR(VLOOKUP($A102,REPOSICIONES_BARRA!$A$6:$I$130,5,FALSE),"")</f>
        <v>0</v>
      </c>
      <c r="AC102" s="315">
        <f t="shared" si="72"/>
        <v>1</v>
      </c>
      <c r="AD102" s="316">
        <f t="shared" si="73"/>
        <v>4</v>
      </c>
      <c r="AE102" s="317">
        <f>IFERROR(IFERROR(VLOOKUP($A102,VENTAS!$H$2:$O$201,4,FALSE),"")/$C102,"")</f>
        <v>0</v>
      </c>
      <c r="AF102" s="318">
        <f t="shared" si="88"/>
        <v>9</v>
      </c>
      <c r="AG102" s="203">
        <f>VLOOKUP($A102,INICIO_BARRA!$A$6:$R$130,9,FALSE)</f>
        <v>1</v>
      </c>
      <c r="AH102" s="203">
        <f>VLOOKUP($A102,INICIO_BARRA!$A$6:$R$130,10,FALSE)</f>
        <v>4</v>
      </c>
      <c r="AI102" s="203">
        <f t="shared" si="89"/>
        <v>0</v>
      </c>
      <c r="AJ102" s="204">
        <f>IFERROR(IFERROR(IF(AI102&gt;0,"",AI102*VLOOKUP($A102,'VALOR I.'!$B$6:$K$418,10,FALSE)),"")*$C102,"")</f>
        <v>0</v>
      </c>
      <c r="AK102" s="203">
        <f>VLOOKUP($A102,INICIO_BARRA!$A$6:$R$130,9,FALSE)</f>
        <v>1</v>
      </c>
      <c r="AL102" s="203">
        <f>VLOOKUP($A102,INICIO_BARRA!$A$6:$R$130,10,FALSE)</f>
        <v>4</v>
      </c>
      <c r="AM102" s="203">
        <f>IFERROR(VLOOKUP($A102,REPOSICIONES_BARRA!$A$6:$I$130,6,FALSE),"")</f>
        <v>0</v>
      </c>
      <c r="AN102" s="315">
        <f t="shared" si="74"/>
        <v>1</v>
      </c>
      <c r="AO102" s="316">
        <f t="shared" si="75"/>
        <v>4</v>
      </c>
      <c r="AP102" s="317">
        <f>IFERROR(IFERROR(VLOOKUP($A102,VENTAS!$H$2:$O$201,5,FALSE),"")/$C102,"")</f>
        <v>0</v>
      </c>
      <c r="AQ102" s="318">
        <f t="shared" si="90"/>
        <v>9</v>
      </c>
      <c r="AR102" s="203">
        <f>VLOOKUP($A102,INICIO_BARRA!$A$6:$R$130,11,FALSE)</f>
        <v>1</v>
      </c>
      <c r="AS102" s="203">
        <f>VLOOKUP($A102,INICIO_BARRA!$A$6:$R$130,12,FALSE)</f>
        <v>4</v>
      </c>
      <c r="AT102" s="203">
        <f t="shared" si="91"/>
        <v>0</v>
      </c>
      <c r="AU102" s="204">
        <f>IFERROR(IFERROR(IF(AT102&gt;0,"",AT102*VLOOKUP($A102,'VALOR I.'!$B$6:$K$418,10,FALSE)),"")*$C102,"")</f>
        <v>0</v>
      </c>
      <c r="AV102" s="203">
        <f>VLOOKUP($A102,INICIO_BARRA!$A$6:$R$130,11,FALSE)</f>
        <v>1</v>
      </c>
      <c r="AW102" s="203">
        <f>VLOOKUP($A102,INICIO_BARRA!$A$6:$R$130,12,FALSE)</f>
        <v>4</v>
      </c>
      <c r="AX102" s="203">
        <f>IFERROR(VLOOKUP($A102,REPOSICIONES_BARRA!$A$6:$I$130,7,FALSE),"")</f>
        <v>0</v>
      </c>
      <c r="AY102" s="315">
        <f t="shared" si="76"/>
        <v>1</v>
      </c>
      <c r="AZ102" s="316">
        <f t="shared" si="77"/>
        <v>4</v>
      </c>
      <c r="BA102" s="317">
        <f>IFERROR(IFERROR(VLOOKUP($A102,VENTAS!$H$2:$O$201,6,FALSE),"")/$C102,"")</f>
        <v>10</v>
      </c>
      <c r="BB102" s="318">
        <f t="shared" si="92"/>
        <v>-1</v>
      </c>
      <c r="BC102" s="203">
        <f>VLOOKUP($A102,INICIO_BARRA!$A$6:$R$130,13,FALSE)</f>
        <v>0</v>
      </c>
      <c r="BD102" s="203">
        <f>VLOOKUP($A102,INICIO_BARRA!$A$6:$R$130,14,FALSE)</f>
        <v>8</v>
      </c>
      <c r="BE102" s="203">
        <f t="shared" si="93"/>
        <v>9</v>
      </c>
      <c r="BF102" s="204" t="str">
        <f>IFERROR(IFERROR(IF(BE102&gt;0,"",BE102*VLOOKUP($A102,'VALOR I.'!$B$6:$K$418,10,FALSE)),"")*$C102,"")</f>
        <v/>
      </c>
      <c r="BG102" s="203">
        <f>VLOOKUP($A102,INICIO_BARRA!$A$6:$R$130,13,FALSE)</f>
        <v>0</v>
      </c>
      <c r="BH102" s="203">
        <f>VLOOKUP($A102,INICIO_BARRA!$A$6:$R$130,14,FALSE)</f>
        <v>8</v>
      </c>
      <c r="BI102" s="203">
        <f>IFERROR(VLOOKUP($A102,REPOSICIONES_BARRA!$A$6:$I$130,8,FALSE),"")</f>
        <v>0</v>
      </c>
      <c r="BJ102" s="315">
        <f t="shared" si="78"/>
        <v>0</v>
      </c>
      <c r="BK102" s="316">
        <f t="shared" si="79"/>
        <v>8</v>
      </c>
      <c r="BL102" s="317">
        <f>IFERROR(IFERROR(VLOOKUP($A102,VENTAS!$H$2:$O$201,7,FALSE),"")/$C102,"")</f>
        <v>0</v>
      </c>
      <c r="BM102" s="318">
        <f t="shared" si="94"/>
        <v>8</v>
      </c>
      <c r="BN102" s="203">
        <f>VLOOKUP($A102,INICIO_BARRA!$A$6:$R$130,15,FALSE)</f>
        <v>0</v>
      </c>
      <c r="BO102" s="203">
        <f>VLOOKUP($A102,INICIO_BARRA!$A$6:$R$130,16,FALSE)</f>
        <v>8</v>
      </c>
      <c r="BP102" s="203">
        <f t="shared" si="95"/>
        <v>0</v>
      </c>
      <c r="BQ102" s="204">
        <f>IFERROR(IFERROR(IF(BP102&gt;0,"",BP102*VLOOKUP($A102,'VALOR I.'!$B$6:$K$418,10,FALSE)),"")*$C102,"")</f>
        <v>0</v>
      </c>
      <c r="BR102" s="203"/>
      <c r="BS102" s="203"/>
      <c r="BT102" s="203"/>
      <c r="BU102" s="315"/>
      <c r="BV102" s="316"/>
      <c r="BW102" s="317"/>
      <c r="BX102" s="318"/>
      <c r="BY102" s="203"/>
      <c r="BZ102" s="203"/>
      <c r="CA102" s="203"/>
      <c r="CB102" s="204"/>
    </row>
    <row r="103" spans="1:80" s="7" customFormat="1" ht="30" hidden="1" customHeight="1" x14ac:dyDescent="0.45">
      <c r="A103" s="3"/>
      <c r="B103" s="24"/>
      <c r="C103" s="132"/>
      <c r="D103" s="203" t="e">
        <f>VLOOKUP($A103,INICIO_BARRA!$A$6:$R$130,3,FALSE)</f>
        <v>#N/A</v>
      </c>
      <c r="E103" s="203" t="e">
        <f>VLOOKUP($A103,INICIO_BARRA!$A$6:$R$130,4,FALSE)</f>
        <v>#N/A</v>
      </c>
      <c r="F103" s="203" t="str">
        <f>IFERROR(VLOOKUP($A103,REPOSICIONES_BARRA!$A$6:$I$130,3,FALSE),"")</f>
        <v/>
      </c>
      <c r="G103" s="315" t="e">
        <f t="shared" si="80"/>
        <v>#N/A</v>
      </c>
      <c r="H103" s="316" t="e">
        <f t="shared" si="81"/>
        <v>#N/A</v>
      </c>
      <c r="I103" s="317" t="str">
        <f>IFERROR(IFERROR(VLOOKUP($A103,VENTAS!$H$2:$O$201,2,FALSE),"")/$C103,"")</f>
        <v/>
      </c>
      <c r="J103" s="111"/>
      <c r="K103" s="203" t="e">
        <f>VLOOKUP($A103,INICIO_BARRA!$A$6:$R$130,5,FALSE)</f>
        <v>#N/A</v>
      </c>
      <c r="L103" s="203" t="e">
        <f>VLOOKUP($A103,INICIO_BARRA!$A$6:$R$130,6,FALSE)</f>
        <v>#N/A</v>
      </c>
      <c r="M103" s="11"/>
      <c r="N103" s="204" t="str">
        <f>IFERROR(IFERROR(IF(M103&gt;0,"",M103*VLOOKUP($A103,'VALOR I.'!$B$6:$K$418,10,FALSE)),"")*$C103,"")</f>
        <v/>
      </c>
      <c r="O103" s="203" t="e">
        <f>VLOOKUP($A103,INICIO_BARRA!$A$6:$R$130,5,FALSE)</f>
        <v>#N/A</v>
      </c>
      <c r="P103" s="203" t="e">
        <f>VLOOKUP($A103,INICIO_BARRA!$A$6:$R$130,6,FALSE)</f>
        <v>#N/A</v>
      </c>
      <c r="Q103" s="203" t="str">
        <f>IFERROR(VLOOKUP($A103,REPOSICIONES_BARRA!$A$6:$I$130,4,FALSE),"")</f>
        <v/>
      </c>
      <c r="R103" s="315" t="e">
        <f t="shared" si="70"/>
        <v>#N/A</v>
      </c>
      <c r="S103" s="316" t="e">
        <f t="shared" si="71"/>
        <v>#N/A</v>
      </c>
      <c r="T103" s="317" t="str">
        <f>IFERROR(IFERROR(VLOOKUP($A103,VENTAS!$H$2:$O$201,3,FALSE),"")/$C103,"")</f>
        <v/>
      </c>
      <c r="U103" s="111"/>
      <c r="V103" s="203" t="e">
        <f>VLOOKUP($A103,INICIO_BARRA!$A$6:$R$130,7,FALSE)</f>
        <v>#N/A</v>
      </c>
      <c r="W103" s="203" t="e">
        <f>VLOOKUP($A103,INICIO_BARRA!$A$6:$R$130,8,FALSE)</f>
        <v>#N/A</v>
      </c>
      <c r="X103" s="11"/>
      <c r="Y103" s="204" t="str">
        <f>IFERROR(IFERROR(IF(X103&gt;0,"",X103*VLOOKUP($A103,'VALOR I.'!$B$6:$K$418,10,FALSE)),"")*$C103,"")</f>
        <v/>
      </c>
      <c r="Z103" s="203" t="e">
        <f>VLOOKUP($A103,INICIO_BARRA!$A$6:$R$130,7,FALSE)</f>
        <v>#N/A</v>
      </c>
      <c r="AA103" s="203" t="e">
        <f>VLOOKUP($A103,INICIO_BARRA!$A$6:$R$130,8,FALSE)</f>
        <v>#N/A</v>
      </c>
      <c r="AB103" s="203" t="str">
        <f>IFERROR(VLOOKUP($A103,REPOSICIONES_BARRA!$A$6:$I$130,5,FALSE),"")</f>
        <v/>
      </c>
      <c r="AC103" s="315" t="e">
        <f t="shared" si="72"/>
        <v>#N/A</v>
      </c>
      <c r="AD103" s="316" t="e">
        <f t="shared" si="73"/>
        <v>#N/A</v>
      </c>
      <c r="AE103" s="317" t="str">
        <f>IFERROR(IFERROR(VLOOKUP($A103,VENTAS!$H$2:$O$201,4,FALSE),"")/$C103,"")</f>
        <v/>
      </c>
      <c r="AF103" s="111"/>
      <c r="AG103" s="203" t="e">
        <f>VLOOKUP($A103,INICIO_BARRA!$A$6:$R$130,9,FALSE)</f>
        <v>#N/A</v>
      </c>
      <c r="AH103" s="203" t="e">
        <f>VLOOKUP($A103,INICIO_BARRA!$A$6:$R$130,10,FALSE)</f>
        <v>#N/A</v>
      </c>
      <c r="AI103" s="11"/>
      <c r="AJ103" s="94" t="str">
        <f>IFERROR(IFERROR(IF(AI103&gt;0,"",AI103*VLOOKUP($A103,'VALOR I.'!$B$6:$K$418,10,FALSE)),"")*$C103,"")</f>
        <v/>
      </c>
      <c r="AK103" s="203" t="e">
        <f>VLOOKUP($A103,INICIO_BARRA!$A$6:$R$130,9,FALSE)</f>
        <v>#N/A</v>
      </c>
      <c r="AL103" s="203" t="e">
        <f>VLOOKUP($A103,INICIO_BARRA!$A$6:$R$130,10,FALSE)</f>
        <v>#N/A</v>
      </c>
      <c r="AM103" s="203" t="str">
        <f>IFERROR(VLOOKUP($A103,REPOSICIONES_BARRA!$A$6:$I$130,6,FALSE),"")</f>
        <v/>
      </c>
      <c r="AN103" s="315" t="e">
        <f t="shared" si="74"/>
        <v>#N/A</v>
      </c>
      <c r="AO103" s="316" t="e">
        <f t="shared" si="75"/>
        <v>#N/A</v>
      </c>
      <c r="AP103" s="317" t="str">
        <f>IFERROR(IFERROR(VLOOKUP($A103,VENTAS!$H$2:$O$201,5,FALSE),"")/$C103,"")</f>
        <v/>
      </c>
      <c r="AQ103" s="111"/>
      <c r="AR103" s="203" t="e">
        <f>VLOOKUP($A103,INICIO_BARRA!$A$6:$R$130,11,FALSE)</f>
        <v>#N/A</v>
      </c>
      <c r="AS103" s="203" t="e">
        <f>VLOOKUP($A103,INICIO_BARRA!$A$6:$R$130,12,FALSE)</f>
        <v>#N/A</v>
      </c>
      <c r="AT103" s="11"/>
      <c r="AU103" s="94" t="str">
        <f>IFERROR(IFERROR(IF(AT103&gt;0,"",AT103*VLOOKUP($A103,'VALOR I.'!$B$6:$K$418,10,FALSE)),"")*$C103,"")</f>
        <v/>
      </c>
      <c r="AV103" s="203" t="e">
        <f>VLOOKUP($A103,INICIO_BARRA!$A$6:$R$130,11,FALSE)</f>
        <v>#N/A</v>
      </c>
      <c r="AW103" s="203" t="e">
        <f>VLOOKUP($A103,INICIO_BARRA!$A$6:$R$130,12,FALSE)</f>
        <v>#N/A</v>
      </c>
      <c r="AX103" s="203" t="str">
        <f>IFERROR(VLOOKUP($A103,REPOSICIONES_BARRA!$A$6:$I$130,7,FALSE),"")</f>
        <v/>
      </c>
      <c r="AY103" s="315" t="e">
        <f t="shared" si="76"/>
        <v>#N/A</v>
      </c>
      <c r="AZ103" s="316" t="e">
        <f t="shared" si="77"/>
        <v>#N/A</v>
      </c>
      <c r="BA103" s="317" t="str">
        <f>IFERROR(IFERROR(VLOOKUP($A103,VENTAS!$H$2:$O$201,6,FALSE),"")/$C103,"")</f>
        <v/>
      </c>
      <c r="BB103" s="111"/>
      <c r="BC103" s="203" t="e">
        <f>VLOOKUP($A103,INICIO_BARRA!$A$6:$R$130,13,FALSE)</f>
        <v>#N/A</v>
      </c>
      <c r="BD103" s="203" t="e">
        <f>VLOOKUP($A103,INICIO_BARRA!$A$6:$R$130,14,FALSE)</f>
        <v>#N/A</v>
      </c>
      <c r="BE103" s="11"/>
      <c r="BF103" s="94" t="str">
        <f>IFERROR(IFERROR(IF(BE103&gt;0,"",BE103*VLOOKUP($A103,'VALOR I.'!$B$6:$K$418,10,FALSE)),"")*$C103,"")</f>
        <v/>
      </c>
      <c r="BG103" s="203" t="e">
        <f>VLOOKUP($A103,INICIO_BARRA!$A$6:$R$130,13,FALSE)</f>
        <v>#N/A</v>
      </c>
      <c r="BH103" s="203" t="e">
        <f>VLOOKUP($A103,INICIO_BARRA!$A$6:$R$130,14,FALSE)</f>
        <v>#N/A</v>
      </c>
      <c r="BI103" s="203" t="str">
        <f>IFERROR(VLOOKUP($A103,REPOSICIONES_BARRA!$A$6:$I$130,8,FALSE),"")</f>
        <v/>
      </c>
      <c r="BJ103" s="315" t="e">
        <f t="shared" si="78"/>
        <v>#N/A</v>
      </c>
      <c r="BK103" s="316" t="e">
        <f t="shared" si="79"/>
        <v>#N/A</v>
      </c>
      <c r="BL103" s="317" t="str">
        <f>IFERROR(IFERROR(VLOOKUP($A103,VENTAS!$H$2:$O$201,7,FALSE),"")/$C103,"")</f>
        <v/>
      </c>
      <c r="BM103" s="111"/>
      <c r="BN103" s="203" t="e">
        <f>VLOOKUP($A103,INICIO_BARRA!$A$6:$R$130,15,FALSE)</f>
        <v>#N/A</v>
      </c>
      <c r="BO103" s="203" t="e">
        <f>VLOOKUP($A103,INICIO_BARRA!$A$6:$R$130,16,FALSE)</f>
        <v>#N/A</v>
      </c>
      <c r="BP103" s="11"/>
      <c r="BQ103" s="94" t="str">
        <f>IFERROR(IFERROR(IF(BP103&gt;0,"",BP103*VLOOKUP($A103,'VALOR I.'!$B$6:$K$418,10,FALSE)),"")*$C103,"")</f>
        <v/>
      </c>
      <c r="BR103" s="203" t="e">
        <f>VLOOKUP($A103,INICIO_BARRA!$A$6:$R$130,15,FALSE)</f>
        <v>#N/A</v>
      </c>
      <c r="BS103" s="203" t="e">
        <f>VLOOKUP($A103,INICIO_BARRA!$A$6:$R$130,16,FALSE)</f>
        <v>#N/A</v>
      </c>
      <c r="BT103" s="203" t="str">
        <f>IFERROR(VLOOKUP($A103,REPOSICIONES_BARRA!$A$6:$I$130,9,FALSE),"")</f>
        <v/>
      </c>
      <c r="BU103" s="315" t="e">
        <f t="shared" si="82"/>
        <v>#N/A</v>
      </c>
      <c r="BV103" s="316" t="e">
        <f t="shared" si="83"/>
        <v>#N/A</v>
      </c>
      <c r="BW103" s="317" t="str">
        <f>IFERROR(IFERROR(VLOOKUP($A103,VENTAS!$H$2:$O$201,8,FALSE),"")/$C103,"")</f>
        <v/>
      </c>
      <c r="BX103" s="111"/>
      <c r="BY103" s="203" t="e">
        <f>VLOOKUP($A103,INICIO_BARRA!$A$6:$R$130,17,FALSE)</f>
        <v>#N/A</v>
      </c>
      <c r="BZ103" s="203" t="e">
        <f>VLOOKUP($A103,INICIO_BARRA!$A$6:$R$130,18,FALSE)</f>
        <v>#N/A</v>
      </c>
      <c r="CA103" s="11"/>
      <c r="CB103" s="94" t="str">
        <f>IFERROR(IFERROR(IF(CA103&gt;0,"",CA103*VLOOKUP($A103,'VALOR I.'!$B$6:$K$418,10,FALSE)),"")*$C103,"")</f>
        <v/>
      </c>
    </row>
    <row r="104" spans="1:80" s="7" customFormat="1" ht="30" hidden="1" customHeight="1" x14ac:dyDescent="0.45">
      <c r="A104" s="3"/>
      <c r="B104" s="24"/>
      <c r="C104" s="132"/>
      <c r="D104" s="203" t="e">
        <f>VLOOKUP($A104,INICIO_BARRA!$A$6:$R$130,3,FALSE)</f>
        <v>#N/A</v>
      </c>
      <c r="E104" s="203" t="e">
        <f>VLOOKUP($A104,INICIO_BARRA!$A$6:$R$130,4,FALSE)</f>
        <v>#N/A</v>
      </c>
      <c r="F104" s="203" t="str">
        <f>IFERROR(VLOOKUP($A104,REPOSICIONES_BARRA!$A$6:$I$130,3,FALSE),"")</f>
        <v/>
      </c>
      <c r="G104" s="315" t="e">
        <f t="shared" si="80"/>
        <v>#N/A</v>
      </c>
      <c r="H104" s="316" t="e">
        <f t="shared" si="81"/>
        <v>#N/A</v>
      </c>
      <c r="I104" s="317" t="str">
        <f>IFERROR(IFERROR(VLOOKUP($A104,VENTAS!$H$2:$O$201,2,FALSE),"")/$C104,"")</f>
        <v/>
      </c>
      <c r="J104" s="111"/>
      <c r="K104" s="203" t="e">
        <f>VLOOKUP($A104,INICIO_BARRA!$A$6:$R$130,5,FALSE)</f>
        <v>#N/A</v>
      </c>
      <c r="L104" s="203" t="e">
        <f>VLOOKUP($A104,INICIO_BARRA!$A$6:$R$130,6,FALSE)</f>
        <v>#N/A</v>
      </c>
      <c r="M104" s="11"/>
      <c r="N104" s="204" t="str">
        <f>IFERROR(IFERROR(IF(M104&gt;0,"",M104*VLOOKUP($A104,'VALOR I.'!$B$6:$K$418,10,FALSE)),"")*$C104,"")</f>
        <v/>
      </c>
      <c r="O104" s="203" t="e">
        <f>VLOOKUP($A104,INICIO_BARRA!$A$6:$R$130,5,FALSE)</f>
        <v>#N/A</v>
      </c>
      <c r="P104" s="203" t="e">
        <f>VLOOKUP($A104,INICIO_BARRA!$A$6:$R$130,6,FALSE)</f>
        <v>#N/A</v>
      </c>
      <c r="Q104" s="203" t="str">
        <f>IFERROR(VLOOKUP($A104,REPOSICIONES_BARRA!$A$6:$I$130,4,FALSE),"")</f>
        <v/>
      </c>
      <c r="R104" s="315" t="e">
        <f t="shared" si="70"/>
        <v>#N/A</v>
      </c>
      <c r="S104" s="316" t="e">
        <f t="shared" si="71"/>
        <v>#N/A</v>
      </c>
      <c r="T104" s="317" t="str">
        <f>IFERROR(IFERROR(VLOOKUP($A104,VENTAS!$H$2:$O$201,3,FALSE),"")/$C104,"")</f>
        <v/>
      </c>
      <c r="U104" s="111"/>
      <c r="V104" s="203" t="e">
        <f>VLOOKUP($A104,INICIO_BARRA!$A$6:$R$130,7,FALSE)</f>
        <v>#N/A</v>
      </c>
      <c r="W104" s="203" t="e">
        <f>VLOOKUP($A104,INICIO_BARRA!$A$6:$R$130,8,FALSE)</f>
        <v>#N/A</v>
      </c>
      <c r="X104" s="11"/>
      <c r="Y104" s="204" t="str">
        <f>IFERROR(IFERROR(IF(X104&gt;0,"",X104*VLOOKUP($A104,'VALOR I.'!$B$6:$K$418,10,FALSE)),"")*$C104,"")</f>
        <v/>
      </c>
      <c r="Z104" s="203" t="e">
        <f>VLOOKUP($A104,INICIO_BARRA!$A$6:$R$130,7,FALSE)</f>
        <v>#N/A</v>
      </c>
      <c r="AA104" s="203" t="e">
        <f>VLOOKUP($A104,INICIO_BARRA!$A$6:$R$130,8,FALSE)</f>
        <v>#N/A</v>
      </c>
      <c r="AB104" s="203" t="str">
        <f>IFERROR(VLOOKUP($A104,REPOSICIONES_BARRA!$A$6:$I$130,5,FALSE),"")</f>
        <v/>
      </c>
      <c r="AC104" s="315" t="e">
        <f t="shared" si="72"/>
        <v>#N/A</v>
      </c>
      <c r="AD104" s="316" t="e">
        <f t="shared" si="73"/>
        <v>#N/A</v>
      </c>
      <c r="AE104" s="317" t="str">
        <f>IFERROR(IFERROR(VLOOKUP($A104,VENTAS!$H$2:$O$201,4,FALSE),"")/$C104,"")</f>
        <v/>
      </c>
      <c r="AF104" s="111"/>
      <c r="AG104" s="203" t="e">
        <f>VLOOKUP($A104,INICIO_BARRA!$A$6:$R$130,9,FALSE)</f>
        <v>#N/A</v>
      </c>
      <c r="AH104" s="203" t="e">
        <f>VLOOKUP($A104,INICIO_BARRA!$A$6:$R$130,10,FALSE)</f>
        <v>#N/A</v>
      </c>
      <c r="AI104" s="11"/>
      <c r="AJ104" s="94" t="str">
        <f>IFERROR(IFERROR(IF(AI104&gt;0,"",AI104*VLOOKUP($A104,'VALOR I.'!$B$6:$K$418,10,FALSE)),"")*$C104,"")</f>
        <v/>
      </c>
      <c r="AK104" s="203" t="e">
        <f>VLOOKUP($A104,INICIO_BARRA!$A$6:$R$130,9,FALSE)</f>
        <v>#N/A</v>
      </c>
      <c r="AL104" s="203" t="e">
        <f>VLOOKUP($A104,INICIO_BARRA!$A$6:$R$130,10,FALSE)</f>
        <v>#N/A</v>
      </c>
      <c r="AM104" s="203" t="str">
        <f>IFERROR(VLOOKUP($A104,REPOSICIONES_BARRA!$A$6:$I$130,6,FALSE),"")</f>
        <v/>
      </c>
      <c r="AN104" s="315" t="e">
        <f t="shared" si="74"/>
        <v>#N/A</v>
      </c>
      <c r="AO104" s="316" t="e">
        <f t="shared" si="75"/>
        <v>#N/A</v>
      </c>
      <c r="AP104" s="317" t="str">
        <f>IFERROR(IFERROR(VLOOKUP($A104,VENTAS!$H$2:$O$201,5,FALSE),"")/$C104,"")</f>
        <v/>
      </c>
      <c r="AQ104" s="111"/>
      <c r="AR104" s="203" t="e">
        <f>VLOOKUP($A104,INICIO_BARRA!$A$6:$R$130,11,FALSE)</f>
        <v>#N/A</v>
      </c>
      <c r="AS104" s="203" t="e">
        <f>VLOOKUP($A104,INICIO_BARRA!$A$6:$R$130,12,FALSE)</f>
        <v>#N/A</v>
      </c>
      <c r="AT104" s="11"/>
      <c r="AU104" s="94" t="str">
        <f>IFERROR(IFERROR(IF(AT104&gt;0,"",AT104*VLOOKUP($A104,'VALOR I.'!$B$6:$K$418,10,FALSE)),"")*$C104,"")</f>
        <v/>
      </c>
      <c r="AV104" s="203" t="e">
        <f>VLOOKUP($A104,INICIO_BARRA!$A$6:$R$130,11,FALSE)</f>
        <v>#N/A</v>
      </c>
      <c r="AW104" s="203" t="e">
        <f>VLOOKUP($A104,INICIO_BARRA!$A$6:$R$130,12,FALSE)</f>
        <v>#N/A</v>
      </c>
      <c r="AX104" s="203" t="str">
        <f>IFERROR(VLOOKUP($A104,REPOSICIONES_BARRA!$A$6:$I$130,7,FALSE),"")</f>
        <v/>
      </c>
      <c r="AY104" s="315" t="e">
        <f t="shared" si="76"/>
        <v>#N/A</v>
      </c>
      <c r="AZ104" s="316" t="e">
        <f t="shared" si="77"/>
        <v>#N/A</v>
      </c>
      <c r="BA104" s="317" t="str">
        <f>IFERROR(IFERROR(VLOOKUP($A104,VENTAS!$H$2:$O$201,6,FALSE),"")/$C104,"")</f>
        <v/>
      </c>
      <c r="BB104" s="111"/>
      <c r="BC104" s="203" t="e">
        <f>VLOOKUP($A104,INICIO_BARRA!$A$6:$R$130,13,FALSE)</f>
        <v>#N/A</v>
      </c>
      <c r="BD104" s="203" t="e">
        <f>VLOOKUP($A104,INICIO_BARRA!$A$6:$R$130,14,FALSE)</f>
        <v>#N/A</v>
      </c>
      <c r="BE104" s="11"/>
      <c r="BF104" s="94" t="str">
        <f>IFERROR(IFERROR(IF(BE104&gt;0,"",BE104*VLOOKUP($A104,'VALOR I.'!$B$6:$K$418,10,FALSE)),"")*$C104,"")</f>
        <v/>
      </c>
      <c r="BG104" s="203" t="e">
        <f>VLOOKUP($A104,INICIO_BARRA!$A$6:$R$130,13,FALSE)</f>
        <v>#N/A</v>
      </c>
      <c r="BH104" s="203" t="e">
        <f>VLOOKUP($A104,INICIO_BARRA!$A$6:$R$130,14,FALSE)</f>
        <v>#N/A</v>
      </c>
      <c r="BI104" s="203" t="str">
        <f>IFERROR(VLOOKUP($A104,REPOSICIONES_BARRA!$A$6:$I$130,8,FALSE),"")</f>
        <v/>
      </c>
      <c r="BJ104" s="315" t="e">
        <f t="shared" si="78"/>
        <v>#N/A</v>
      </c>
      <c r="BK104" s="316" t="e">
        <f t="shared" si="79"/>
        <v>#N/A</v>
      </c>
      <c r="BL104" s="317" t="str">
        <f>IFERROR(IFERROR(VLOOKUP($A104,VENTAS!$H$2:$O$201,7,FALSE),"")/$C104,"")</f>
        <v/>
      </c>
      <c r="BM104" s="111"/>
      <c r="BN104" s="203" t="e">
        <f>VLOOKUP($A104,INICIO_BARRA!$A$6:$R$130,15,FALSE)</f>
        <v>#N/A</v>
      </c>
      <c r="BO104" s="203" t="e">
        <f>VLOOKUP($A104,INICIO_BARRA!$A$6:$R$130,16,FALSE)</f>
        <v>#N/A</v>
      </c>
      <c r="BP104" s="11"/>
      <c r="BQ104" s="94" t="str">
        <f>IFERROR(IFERROR(IF(BP104&gt;0,"",BP104*VLOOKUP($A104,'VALOR I.'!$B$6:$K$418,10,FALSE)),"")*$C104,"")</f>
        <v/>
      </c>
      <c r="BR104" s="203" t="e">
        <f>VLOOKUP($A104,INICIO_BARRA!$A$6:$R$130,15,FALSE)</f>
        <v>#N/A</v>
      </c>
      <c r="BS104" s="203" t="e">
        <f>VLOOKUP($A104,INICIO_BARRA!$A$6:$R$130,16,FALSE)</f>
        <v>#N/A</v>
      </c>
      <c r="BT104" s="203" t="str">
        <f>IFERROR(VLOOKUP($A104,REPOSICIONES_BARRA!$A$6:$I$130,9,FALSE),"")</f>
        <v/>
      </c>
      <c r="BU104" s="315" t="e">
        <f t="shared" si="82"/>
        <v>#N/A</v>
      </c>
      <c r="BV104" s="316" t="e">
        <f t="shared" si="83"/>
        <v>#N/A</v>
      </c>
      <c r="BW104" s="317" t="str">
        <f>IFERROR(IFERROR(VLOOKUP($A104,VENTAS!$H$2:$O$201,8,FALSE),"")/$C104,"")</f>
        <v/>
      </c>
      <c r="BX104" s="111"/>
      <c r="BY104" s="203" t="e">
        <f>VLOOKUP($A104,INICIO_BARRA!$A$6:$R$130,17,FALSE)</f>
        <v>#N/A</v>
      </c>
      <c r="BZ104" s="203" t="e">
        <f>VLOOKUP($A104,INICIO_BARRA!$A$6:$R$130,18,FALSE)</f>
        <v>#N/A</v>
      </c>
      <c r="CA104" s="11"/>
      <c r="CB104" s="94" t="str">
        <f>IFERROR(IFERROR(IF(CA104&gt;0,"",CA104*VLOOKUP($A104,'VALOR I.'!$B$6:$K$418,10,FALSE)),"")*$C104,"")</f>
        <v/>
      </c>
    </row>
    <row r="105" spans="1:80" s="7" customFormat="1" ht="30" customHeight="1" x14ac:dyDescent="0.3">
      <c r="A105" s="3" t="s">
        <v>343</v>
      </c>
      <c r="B105" s="310" t="s">
        <v>56</v>
      </c>
      <c r="C105" s="132">
        <v>75</v>
      </c>
      <c r="D105" s="203">
        <f>VLOOKUP($A105,INICIO_BARRA!$A$6:$R$130,3,FALSE)</f>
        <v>0</v>
      </c>
      <c r="E105" s="203">
        <f>VLOOKUP($A105,INICIO_BARRA!$A$6:$R$130,4,FALSE)</f>
        <v>0</v>
      </c>
      <c r="F105" s="203">
        <f>IFERROR(VLOOKUP($A105,REPOSICIONES_BARRA!$A$6:$I$130,3,FALSE),"")</f>
        <v>0</v>
      </c>
      <c r="G105" s="315">
        <f t="shared" si="80"/>
        <v>0</v>
      </c>
      <c r="H105" s="316">
        <f t="shared" si="81"/>
        <v>0</v>
      </c>
      <c r="I105" s="317">
        <f>IFERROR(IFERROR(VLOOKUP($A105,VENTAS!$H$2:$O$201,2,FALSE),"")/$C105,"")</f>
        <v>0</v>
      </c>
      <c r="J105" s="318">
        <f t="shared" si="84"/>
        <v>0</v>
      </c>
      <c r="K105" s="203">
        <f>VLOOKUP($A105,INICIO_BARRA!$A$6:$R$130,5,FALSE)</f>
        <v>1</v>
      </c>
      <c r="L105" s="203">
        <f>VLOOKUP($A105,INICIO_BARRA!$A$6:$R$130,6,FALSE)</f>
        <v>2</v>
      </c>
      <c r="M105" s="203">
        <f t="shared" si="85"/>
        <v>7</v>
      </c>
      <c r="N105" s="204" t="str">
        <f>IFERROR(IFERROR(IF(M105&gt;0,"",M105*VLOOKUP($A105,'VALOR I.'!$B$6:$K$418,10,FALSE)),"")*$C105,"")</f>
        <v/>
      </c>
      <c r="O105" s="203">
        <f>VLOOKUP($A105,INICIO_BARRA!$A$6:$R$130,5,FALSE)</f>
        <v>1</v>
      </c>
      <c r="P105" s="203">
        <f>VLOOKUP($A105,INICIO_BARRA!$A$6:$R$130,6,FALSE)</f>
        <v>2</v>
      </c>
      <c r="Q105" s="203">
        <f>IFERROR(VLOOKUP($A105,REPOSICIONES_BARRA!$A$6:$I$130,4,FALSE),"")</f>
        <v>0</v>
      </c>
      <c r="R105" s="315">
        <f t="shared" si="70"/>
        <v>1</v>
      </c>
      <c r="S105" s="316">
        <f t="shared" si="71"/>
        <v>2</v>
      </c>
      <c r="T105" s="317">
        <f>IFERROR(IFERROR(VLOOKUP($A105,VENTAS!$H$2:$O$201,3,FALSE),"")/$C105,"")</f>
        <v>0</v>
      </c>
      <c r="U105" s="318">
        <f t="shared" ref="U105" si="96">IFERROR(((R105*5)+S105)-T105,"")</f>
        <v>7</v>
      </c>
      <c r="V105" s="203">
        <f>VLOOKUP($A105,INICIO_BARRA!$A$6:$R$130,7,FALSE)</f>
        <v>1</v>
      </c>
      <c r="W105" s="203">
        <f>VLOOKUP($A105,INICIO_BARRA!$A$6:$R$130,8,FALSE)</f>
        <v>2</v>
      </c>
      <c r="X105" s="203">
        <f t="shared" ref="X105" si="97">IFERROR(((V105*5)+W105)-U105,"")</f>
        <v>0</v>
      </c>
      <c r="Y105" s="204">
        <f>IFERROR(IFERROR(IF(X105&gt;0,"",X105*VLOOKUP($A105,'VALOR I.'!$B$6:$K$418,10,FALSE)),"")*$C105,"")</f>
        <v>0</v>
      </c>
      <c r="Z105" s="203">
        <f>VLOOKUP($A105,INICIO_BARRA!$A$6:$R$130,7,FALSE)</f>
        <v>1</v>
      </c>
      <c r="AA105" s="203">
        <f>VLOOKUP($A105,INICIO_BARRA!$A$6:$R$130,8,FALSE)</f>
        <v>2</v>
      </c>
      <c r="AB105" s="203">
        <f>IFERROR(VLOOKUP($A105,REPOSICIONES_BARRA!$A$6:$I$130,5,FALSE),"")</f>
        <v>0</v>
      </c>
      <c r="AC105" s="315">
        <f t="shared" si="72"/>
        <v>1</v>
      </c>
      <c r="AD105" s="316">
        <f t="shared" si="73"/>
        <v>2</v>
      </c>
      <c r="AE105" s="317">
        <f>IFERROR(IFERROR(VLOOKUP($A105,VENTAS!$H$2:$O$201,4,FALSE),"")/$C105,"")</f>
        <v>0</v>
      </c>
      <c r="AF105" s="318">
        <f t="shared" ref="AF105" si="98">IFERROR(((AC105*5)+AD105)-AE105,"")</f>
        <v>7</v>
      </c>
      <c r="AG105" s="203">
        <f>VLOOKUP($A105,INICIO_BARRA!$A$6:$R$130,9,FALSE)</f>
        <v>1</v>
      </c>
      <c r="AH105" s="203">
        <f>VLOOKUP($A105,INICIO_BARRA!$A$6:$R$130,10,FALSE)</f>
        <v>2</v>
      </c>
      <c r="AI105" s="203">
        <f t="shared" ref="AI105" si="99">IFERROR(((AG105*5)+AH105)-AF105,"")</f>
        <v>0</v>
      </c>
      <c r="AJ105" s="204">
        <f>IFERROR(IFERROR(IF(AI105&gt;0,"",AI105*VLOOKUP($A105,'VALOR I.'!$B$6:$K$418,10,FALSE)),"")*$C105,"")</f>
        <v>0</v>
      </c>
      <c r="AK105" s="203">
        <f>VLOOKUP($A105,INICIO_BARRA!$A$6:$R$130,9,FALSE)</f>
        <v>1</v>
      </c>
      <c r="AL105" s="203">
        <f>VLOOKUP($A105,INICIO_BARRA!$A$6:$R$130,10,FALSE)</f>
        <v>2</v>
      </c>
      <c r="AM105" s="203">
        <f>IFERROR(VLOOKUP($A105,REPOSICIONES_BARRA!$A$6:$I$130,6,FALSE),"")</f>
        <v>0</v>
      </c>
      <c r="AN105" s="315">
        <f t="shared" si="74"/>
        <v>1</v>
      </c>
      <c r="AO105" s="316">
        <f t="shared" si="75"/>
        <v>2</v>
      </c>
      <c r="AP105" s="317">
        <f>IFERROR(IFERROR(VLOOKUP($A105,VENTAS!$H$2:$O$201,5,FALSE),"")/$C105,"")</f>
        <v>0</v>
      </c>
      <c r="AQ105" s="318">
        <f t="shared" ref="AQ105" si="100">IFERROR(((AN105*5)+AO105)-AP105,"")</f>
        <v>7</v>
      </c>
      <c r="AR105" s="203">
        <f>VLOOKUP($A105,INICIO_BARRA!$A$6:$R$130,11,FALSE)</f>
        <v>1</v>
      </c>
      <c r="AS105" s="203">
        <f>VLOOKUP($A105,INICIO_BARRA!$A$6:$R$130,12,FALSE)</f>
        <v>2</v>
      </c>
      <c r="AT105" s="203">
        <f t="shared" ref="AT105" si="101">IFERROR(((AR105*5)+AS105)-AQ105,"")</f>
        <v>0</v>
      </c>
      <c r="AU105" s="204">
        <f>IFERROR(IFERROR(IF(AT105&gt;0,"",AT105*VLOOKUP($A105,'VALOR I.'!$B$6:$K$418,10,FALSE)),"")*$C105,"")</f>
        <v>0</v>
      </c>
      <c r="AV105" s="203">
        <f>VLOOKUP($A105,INICIO_BARRA!$A$6:$R$130,11,FALSE)</f>
        <v>1</v>
      </c>
      <c r="AW105" s="203">
        <f>VLOOKUP($A105,INICIO_BARRA!$A$6:$R$130,12,FALSE)</f>
        <v>2</v>
      </c>
      <c r="AX105" s="203">
        <f>IFERROR(VLOOKUP($A105,REPOSICIONES_BARRA!$A$6:$I$130,7,FALSE),"")</f>
        <v>0</v>
      </c>
      <c r="AY105" s="315">
        <f t="shared" si="76"/>
        <v>1</v>
      </c>
      <c r="AZ105" s="316">
        <f t="shared" si="77"/>
        <v>2</v>
      </c>
      <c r="BA105" s="317">
        <f>IFERROR(IFERROR(VLOOKUP($A105,VENTAS!$H$2:$O$201,6,FALSE),"")/$C105,"")</f>
        <v>0</v>
      </c>
      <c r="BB105" s="318">
        <f t="shared" ref="BB105" si="102">IFERROR(((AY105*5)+AZ105)-BA105,"")</f>
        <v>7</v>
      </c>
      <c r="BC105" s="203">
        <f>VLOOKUP($A105,INICIO_BARRA!$A$6:$R$130,13,FALSE)</f>
        <v>1</v>
      </c>
      <c r="BD105" s="203">
        <f>VLOOKUP($A105,INICIO_BARRA!$A$6:$R$130,14,FALSE)</f>
        <v>2</v>
      </c>
      <c r="BE105" s="203">
        <f t="shared" ref="BE105" si="103">IFERROR(((BC105*5)+BD105)-BB105,"")</f>
        <v>0</v>
      </c>
      <c r="BF105" s="204">
        <f>IFERROR(IFERROR(IF(BE105&gt;0,"",BE105*VLOOKUP($A105,'VALOR I.'!$B$6:$K$418,10,FALSE)),"")*$C105,"")</f>
        <v>0</v>
      </c>
      <c r="BG105" s="203">
        <f>VLOOKUP($A105,INICIO_BARRA!$A$6:$R$130,13,FALSE)</f>
        <v>1</v>
      </c>
      <c r="BH105" s="203">
        <f>VLOOKUP($A105,INICIO_BARRA!$A$6:$R$130,14,FALSE)</f>
        <v>2</v>
      </c>
      <c r="BI105" s="203">
        <f>IFERROR(VLOOKUP($A105,REPOSICIONES_BARRA!$A$6:$I$130,8,FALSE),"")</f>
        <v>0</v>
      </c>
      <c r="BJ105" s="315">
        <f t="shared" si="78"/>
        <v>1</v>
      </c>
      <c r="BK105" s="316">
        <f t="shared" si="79"/>
        <v>2</v>
      </c>
      <c r="BL105" s="317">
        <f>IFERROR(IFERROR(VLOOKUP($A105,VENTAS!$H$2:$O$201,7,FALSE),"")/$C105,"")</f>
        <v>1.3333333333333334E-2</v>
      </c>
      <c r="BM105" s="318">
        <f t="shared" ref="BM105" si="104">IFERROR(((BJ105*5)+BK105)-BL105,"")</f>
        <v>6.9866666666666664</v>
      </c>
      <c r="BN105" s="203">
        <f>VLOOKUP($A105,INICIO_BARRA!$A$6:$R$130,15,FALSE)</f>
        <v>1</v>
      </c>
      <c r="BO105" s="203">
        <f>VLOOKUP($A105,INICIO_BARRA!$A$6:$R$130,16,FALSE)</f>
        <v>0</v>
      </c>
      <c r="BP105" s="203">
        <f t="shared" ref="BP105" si="105">IFERROR(((BN105*5)+BO105)-BM105,"")</f>
        <v>-1.9866666666666664</v>
      </c>
      <c r="BQ105" s="204">
        <f>IFERROR(IFERROR(IF(BP105&gt;0,"",BP105*VLOOKUP($A105,'VALOR I.'!$B$6:$K$418,10,FALSE)),"")*$C105,"")</f>
        <v>-3431.5395333333327</v>
      </c>
      <c r="BR105" s="203"/>
      <c r="BS105" s="203"/>
      <c r="BT105" s="203"/>
      <c r="BU105" s="315"/>
      <c r="BV105" s="316"/>
      <c r="BW105" s="317"/>
      <c r="BX105" s="318"/>
      <c r="BY105" s="203"/>
      <c r="BZ105" s="203"/>
      <c r="CA105" s="203"/>
      <c r="CB105" s="204"/>
    </row>
    <row r="106" spans="1:80" s="7" customFormat="1" ht="30" customHeight="1" x14ac:dyDescent="0.3">
      <c r="A106" s="3"/>
      <c r="B106" s="300" t="s">
        <v>35</v>
      </c>
      <c r="C106" s="133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</row>
    <row r="107" spans="1:80" s="7" customFormat="1" ht="30" customHeight="1" x14ac:dyDescent="0.3">
      <c r="A107" s="3" t="s">
        <v>290</v>
      </c>
      <c r="B107" s="310" t="s">
        <v>16</v>
      </c>
      <c r="C107" s="132">
        <v>75</v>
      </c>
      <c r="D107" s="203">
        <f>VLOOKUP($A107,INICIO_BARRA!$A$6:$R$130,3,FALSE)</f>
        <v>0</v>
      </c>
      <c r="E107" s="203">
        <f>VLOOKUP($A107,INICIO_BARRA!$A$6:$R$130,4,FALSE)</f>
        <v>0</v>
      </c>
      <c r="F107" s="203">
        <f>IFERROR(VLOOKUP($A107,REPOSICIONES_BARRA!$A$6:$I$130,3,FALSE),"")</f>
        <v>0</v>
      </c>
      <c r="G107" s="315">
        <f t="shared" si="80"/>
        <v>0</v>
      </c>
      <c r="H107" s="316">
        <f t="shared" si="81"/>
        <v>0</v>
      </c>
      <c r="I107" s="317">
        <f>IFERROR(IFERROR(VLOOKUP($A107,VENTAS!$H$2:$O$201,2,FALSE),"")/$C107,"")</f>
        <v>0</v>
      </c>
      <c r="J107" s="318">
        <f t="shared" si="84"/>
        <v>0</v>
      </c>
      <c r="K107" s="203">
        <f>VLOOKUP($A107,INICIO_BARRA!$A$6:$R$130,5,FALSE)</f>
        <v>1</v>
      </c>
      <c r="L107" s="203">
        <f>VLOOKUP($A107,INICIO_BARRA!$A$6:$R$130,6,FALSE)</f>
        <v>7</v>
      </c>
      <c r="M107" s="203">
        <f t="shared" si="85"/>
        <v>12</v>
      </c>
      <c r="N107" s="204" t="str">
        <f>IFERROR(IFERROR(IF(M107&gt;0,"",M107*VLOOKUP($A107,'VALOR I.'!$B$6:$K$418,10,FALSE)),"")*$C107,"")</f>
        <v/>
      </c>
      <c r="O107" s="203">
        <f>VLOOKUP($A107,INICIO_BARRA!$A$6:$R$130,5,FALSE)</f>
        <v>1</v>
      </c>
      <c r="P107" s="203">
        <f>VLOOKUP($A107,INICIO_BARRA!$A$6:$R$130,6,FALSE)</f>
        <v>7</v>
      </c>
      <c r="Q107" s="203">
        <f>IFERROR(VLOOKUP($A107,REPOSICIONES_BARRA!$A$6:$I$130,4,FALSE),"")</f>
        <v>0</v>
      </c>
      <c r="R107" s="315">
        <f t="shared" si="70"/>
        <v>1</v>
      </c>
      <c r="S107" s="316">
        <f t="shared" si="71"/>
        <v>7</v>
      </c>
      <c r="T107" s="317">
        <f>IFERROR(IFERROR(VLOOKUP($A107,VENTAS!$H$2:$O$201,3,FALSE),"")/$C107,"")</f>
        <v>0</v>
      </c>
      <c r="U107" s="318">
        <f t="shared" ref="U107" si="106">IFERROR(((R107*5)+S107)-T107,"")</f>
        <v>12</v>
      </c>
      <c r="V107" s="203">
        <f>VLOOKUP($A107,INICIO_BARRA!$A$6:$R$130,7,FALSE)</f>
        <v>1</v>
      </c>
      <c r="W107" s="203">
        <f>VLOOKUP($A107,INICIO_BARRA!$A$6:$R$130,8,FALSE)</f>
        <v>7</v>
      </c>
      <c r="X107" s="203">
        <f t="shared" ref="X107" si="107">IFERROR(((V107*5)+W107)-U107,"")</f>
        <v>0</v>
      </c>
      <c r="Y107" s="204">
        <f>IFERROR(IFERROR(IF(X107&gt;0,"",X107*VLOOKUP($A107,'VALOR I.'!$B$6:$K$418,10,FALSE)),"")*$C107,"")</f>
        <v>0</v>
      </c>
      <c r="Z107" s="203">
        <f>VLOOKUP($A107,INICIO_BARRA!$A$6:$R$130,7,FALSE)</f>
        <v>1</v>
      </c>
      <c r="AA107" s="203">
        <f>VLOOKUP($A107,INICIO_BARRA!$A$6:$R$130,8,FALSE)</f>
        <v>7</v>
      </c>
      <c r="AB107" s="203">
        <f>IFERROR(VLOOKUP($A107,REPOSICIONES_BARRA!$A$6:$I$130,5,FALSE),"")</f>
        <v>0</v>
      </c>
      <c r="AC107" s="315">
        <f t="shared" si="72"/>
        <v>1</v>
      </c>
      <c r="AD107" s="316">
        <f t="shared" si="73"/>
        <v>7</v>
      </c>
      <c r="AE107" s="317">
        <f>IFERROR(IFERROR(VLOOKUP($A107,VENTAS!$H$2:$O$201,4,FALSE),"")/$C107,"")</f>
        <v>0</v>
      </c>
      <c r="AF107" s="318">
        <f t="shared" ref="AF107" si="108">IFERROR(((AC107*5)+AD107)-AE107,"")</f>
        <v>12</v>
      </c>
      <c r="AG107" s="203">
        <f>VLOOKUP($A107,INICIO_BARRA!$A$6:$R$130,9,FALSE)</f>
        <v>1</v>
      </c>
      <c r="AH107" s="203">
        <f>VLOOKUP($A107,INICIO_BARRA!$A$6:$R$130,10,FALSE)</f>
        <v>7</v>
      </c>
      <c r="AI107" s="203">
        <f t="shared" ref="AI107" si="109">IFERROR(((AG107*5)+AH107)-AF107,"")</f>
        <v>0</v>
      </c>
      <c r="AJ107" s="204">
        <f>IFERROR(IFERROR(IF(AI107&gt;0,"",AI107*VLOOKUP($A107,'VALOR I.'!$B$6:$K$418,10,FALSE)),"")*$C107,"")</f>
        <v>0</v>
      </c>
      <c r="AK107" s="203">
        <f>VLOOKUP($A107,INICIO_BARRA!$A$6:$R$130,9,FALSE)</f>
        <v>1</v>
      </c>
      <c r="AL107" s="203">
        <f>VLOOKUP($A107,INICIO_BARRA!$A$6:$R$130,10,FALSE)</f>
        <v>7</v>
      </c>
      <c r="AM107" s="203">
        <f>IFERROR(VLOOKUP($A107,REPOSICIONES_BARRA!$A$6:$I$130,6,FALSE),"")</f>
        <v>0</v>
      </c>
      <c r="AN107" s="315">
        <f t="shared" si="74"/>
        <v>1</v>
      </c>
      <c r="AO107" s="316">
        <f t="shared" si="75"/>
        <v>7</v>
      </c>
      <c r="AP107" s="317">
        <f>IFERROR(IFERROR(VLOOKUP($A107,VENTAS!$H$2:$O$201,5,FALSE),"")/$C107,"")</f>
        <v>6</v>
      </c>
      <c r="AQ107" s="318">
        <f t="shared" ref="AQ107" si="110">IFERROR(((AN107*5)+AO107)-AP107,"")</f>
        <v>6</v>
      </c>
      <c r="AR107" s="203">
        <f>VLOOKUP($A107,INICIO_BARRA!$A$6:$R$130,11,FALSE)</f>
        <v>1</v>
      </c>
      <c r="AS107" s="203">
        <f>VLOOKUP($A107,INICIO_BARRA!$A$6:$R$130,12,FALSE)</f>
        <v>1</v>
      </c>
      <c r="AT107" s="203">
        <f t="shared" ref="AT107" si="111">IFERROR(((AR107*5)+AS107)-AQ107,"")</f>
        <v>0</v>
      </c>
      <c r="AU107" s="204">
        <f>IFERROR(IFERROR(IF(AT107&gt;0,"",AT107*VLOOKUP($A107,'VALOR I.'!$B$6:$K$418,10,FALSE)),"")*$C107,"")</f>
        <v>0</v>
      </c>
      <c r="AV107" s="203">
        <f>VLOOKUP($A107,INICIO_BARRA!$A$6:$R$130,11,FALSE)</f>
        <v>1</v>
      </c>
      <c r="AW107" s="203">
        <f>VLOOKUP($A107,INICIO_BARRA!$A$6:$R$130,12,FALSE)</f>
        <v>1</v>
      </c>
      <c r="AX107" s="203">
        <f>IFERROR(VLOOKUP($A107,REPOSICIONES_BARRA!$A$6:$I$130,7,FALSE),"")</f>
        <v>0</v>
      </c>
      <c r="AY107" s="315">
        <f t="shared" si="76"/>
        <v>1</v>
      </c>
      <c r="AZ107" s="316">
        <f t="shared" si="77"/>
        <v>1</v>
      </c>
      <c r="BA107" s="317">
        <f>IFERROR(IFERROR(VLOOKUP($A107,VENTAS!$H$2:$O$201,6,FALSE),"")/$C107,"")</f>
        <v>0</v>
      </c>
      <c r="BB107" s="318">
        <f t="shared" ref="BB107" si="112">IFERROR(((AY107*5)+AZ107)-BA107,"")</f>
        <v>6</v>
      </c>
      <c r="BC107" s="203">
        <f>VLOOKUP($A107,INICIO_BARRA!$A$6:$R$130,13,FALSE)</f>
        <v>1</v>
      </c>
      <c r="BD107" s="203">
        <f>VLOOKUP($A107,INICIO_BARRA!$A$6:$R$130,14,FALSE)</f>
        <v>1</v>
      </c>
      <c r="BE107" s="203">
        <f t="shared" ref="BE107" si="113">IFERROR(((BC107*5)+BD107)-BB107,"")</f>
        <v>0</v>
      </c>
      <c r="BF107" s="204">
        <f>IFERROR(IFERROR(IF(BE107&gt;0,"",BE107*VLOOKUP($A107,'VALOR I.'!$B$6:$K$418,10,FALSE)),"")*$C107,"")</f>
        <v>0</v>
      </c>
      <c r="BG107" s="203">
        <f>VLOOKUP($A107,INICIO_BARRA!$A$6:$R$130,13,FALSE)</f>
        <v>1</v>
      </c>
      <c r="BH107" s="203">
        <f>VLOOKUP($A107,INICIO_BARRA!$A$6:$R$130,14,FALSE)</f>
        <v>1</v>
      </c>
      <c r="BI107" s="203">
        <f>IFERROR(VLOOKUP($A107,REPOSICIONES_BARRA!$A$6:$I$130,8,FALSE),"")</f>
        <v>0</v>
      </c>
      <c r="BJ107" s="315">
        <f t="shared" si="78"/>
        <v>1</v>
      </c>
      <c r="BK107" s="316">
        <f t="shared" si="79"/>
        <v>1</v>
      </c>
      <c r="BL107" s="317">
        <f>IFERROR(IFERROR(VLOOKUP($A107,VENTAS!$H$2:$O$201,7,FALSE),"")/$C107,"")</f>
        <v>0</v>
      </c>
      <c r="BM107" s="318">
        <f t="shared" ref="BM107" si="114">IFERROR(((BJ107*5)+BK107)-BL107,"")</f>
        <v>6</v>
      </c>
      <c r="BN107" s="203">
        <f>VLOOKUP($A107,INICIO_BARRA!$A$6:$R$130,15,FALSE)</f>
        <v>1</v>
      </c>
      <c r="BO107" s="203">
        <f>VLOOKUP($A107,INICIO_BARRA!$A$6:$R$130,16,FALSE)</f>
        <v>1</v>
      </c>
      <c r="BP107" s="203">
        <f t="shared" ref="BP107" si="115">IFERROR(((BN107*5)+BO107)-BM107,"")</f>
        <v>0</v>
      </c>
      <c r="BQ107" s="204">
        <f>IFERROR(IFERROR(IF(BP107&gt;0,"",BP107*VLOOKUP($A107,'VALOR I.'!$B$6:$K$418,10,FALSE)),"")*$C107,"")</f>
        <v>0</v>
      </c>
      <c r="BR107" s="203"/>
      <c r="BS107" s="203"/>
      <c r="BT107" s="203"/>
      <c r="BU107" s="315"/>
      <c r="BV107" s="316"/>
      <c r="BW107" s="317"/>
      <c r="BX107" s="318"/>
      <c r="BY107" s="203"/>
      <c r="BZ107" s="203"/>
      <c r="CA107" s="203"/>
      <c r="CB107" s="204"/>
    </row>
    <row r="108" spans="1:80" s="7" customFormat="1" ht="30" customHeight="1" x14ac:dyDescent="0.3">
      <c r="A108" s="3"/>
      <c r="B108" s="312" t="s">
        <v>36</v>
      </c>
      <c r="C108" s="144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</row>
    <row r="109" spans="1:80" s="7" customFormat="1" ht="30" hidden="1" customHeight="1" x14ac:dyDescent="0.45">
      <c r="A109" s="3"/>
      <c r="B109" s="28"/>
      <c r="C109" s="141"/>
      <c r="D109" s="203" t="e">
        <f>VLOOKUP($A109,INICIO_BARRA!$A$6:$R$130,3,FALSE)</f>
        <v>#N/A</v>
      </c>
      <c r="E109" s="203" t="e">
        <f>VLOOKUP($A109,INICIO_BARRA!$A$6:$R$130,4,FALSE)</f>
        <v>#N/A</v>
      </c>
      <c r="F109" s="203" t="str">
        <f>IFERROR(VLOOKUP($A109,REPOSICIONES_BARRA!$A$6:$I$130,3,FALSE),"")</f>
        <v/>
      </c>
      <c r="G109" s="315" t="e">
        <f t="shared" si="80"/>
        <v>#N/A</v>
      </c>
      <c r="H109" s="316" t="e">
        <f t="shared" si="81"/>
        <v>#N/A</v>
      </c>
      <c r="I109" s="317" t="str">
        <f>IFERROR(IFERROR(VLOOKUP($A109,VENTAS!$H$2:$O$201,2,FALSE),"")/$C109,"")</f>
        <v/>
      </c>
      <c r="J109" s="111"/>
      <c r="K109" s="203" t="e">
        <f>VLOOKUP($A109,INICIO_BARRA!$A$6:$R$130,5,FALSE)</f>
        <v>#N/A</v>
      </c>
      <c r="L109" s="203" t="e">
        <f>VLOOKUP($A109,INICIO_BARRA!$A$6:$R$130,6,FALSE)</f>
        <v>#N/A</v>
      </c>
      <c r="M109" s="11"/>
      <c r="N109" s="204" t="str">
        <f>IFERROR(IFERROR(IF(M109&gt;0,"",M109*VLOOKUP($A109,'VALOR I.'!$B$6:$K$418,10,FALSE)),"")*$C109,"")</f>
        <v/>
      </c>
      <c r="O109" s="203" t="e">
        <f>VLOOKUP($A109,INICIO_BARRA!$A$6:$R$130,5,FALSE)</f>
        <v>#N/A</v>
      </c>
      <c r="P109" s="203" t="e">
        <f>VLOOKUP($A109,INICIO_BARRA!$A$6:$R$130,6,FALSE)</f>
        <v>#N/A</v>
      </c>
      <c r="Q109" s="203" t="str">
        <f>IFERROR(VLOOKUP($A109,REPOSICIONES_BARRA!$A$6:$I$130,4,FALSE),"")</f>
        <v/>
      </c>
      <c r="R109" s="315" t="e">
        <f t="shared" si="70"/>
        <v>#N/A</v>
      </c>
      <c r="S109" s="316" t="e">
        <f t="shared" si="71"/>
        <v>#N/A</v>
      </c>
      <c r="T109" s="317" t="str">
        <f>IFERROR(IFERROR(VLOOKUP($A109,VENTAS!$H$2:$O$201,3,FALSE),"")/$C109,"")</f>
        <v/>
      </c>
      <c r="U109" s="111"/>
      <c r="V109" s="203" t="e">
        <f>VLOOKUP($A109,INICIO_BARRA!$A$6:$R$130,7,FALSE)</f>
        <v>#N/A</v>
      </c>
      <c r="W109" s="203" t="e">
        <f>VLOOKUP($A109,INICIO_BARRA!$A$6:$R$130,8,FALSE)</f>
        <v>#N/A</v>
      </c>
      <c r="X109" s="11"/>
      <c r="Y109" s="204" t="str">
        <f>IFERROR(IFERROR(IF(X109&gt;0,"",X109*VLOOKUP($A109,'VALOR I.'!$B$6:$K$418,10,FALSE)),"")*$C109,"")</f>
        <v/>
      </c>
      <c r="Z109" s="203" t="e">
        <f>VLOOKUP($A109,INICIO_BARRA!$A$6:$R$130,7,FALSE)</f>
        <v>#N/A</v>
      </c>
      <c r="AA109" s="203" t="e">
        <f>VLOOKUP($A109,INICIO_BARRA!$A$6:$R$130,8,FALSE)</f>
        <v>#N/A</v>
      </c>
      <c r="AB109" s="203" t="str">
        <f>IFERROR(VLOOKUP($A109,REPOSICIONES_BARRA!$A$6:$I$130,5,FALSE),"")</f>
        <v/>
      </c>
      <c r="AC109" s="315" t="e">
        <f t="shared" si="72"/>
        <v>#N/A</v>
      </c>
      <c r="AD109" s="316" t="e">
        <f t="shared" si="73"/>
        <v>#N/A</v>
      </c>
      <c r="AE109" s="317" t="str">
        <f>IFERROR(IFERROR(VLOOKUP($A109,VENTAS!$H$2:$O$201,4,FALSE),"")/$C109,"")</f>
        <v/>
      </c>
      <c r="AF109" s="111"/>
      <c r="AG109" s="203" t="e">
        <f>VLOOKUP($A109,INICIO_BARRA!$A$6:$R$130,9,FALSE)</f>
        <v>#N/A</v>
      </c>
      <c r="AH109" s="203" t="e">
        <f>VLOOKUP($A109,INICIO_BARRA!$A$6:$R$130,10,FALSE)</f>
        <v>#N/A</v>
      </c>
      <c r="AI109" s="11"/>
      <c r="AJ109" s="94" t="str">
        <f>IFERROR(IFERROR(IF(AI109&gt;0,"",AI109*VLOOKUP($A109,'VALOR I.'!$B$6:$K$418,10,FALSE)),"")*$C109,"")</f>
        <v/>
      </c>
      <c r="AK109" s="203" t="e">
        <f>VLOOKUP($A109,INICIO_BARRA!$A$6:$R$130,9,FALSE)</f>
        <v>#N/A</v>
      </c>
      <c r="AL109" s="203" t="e">
        <f>VLOOKUP($A109,INICIO_BARRA!$A$6:$R$130,10,FALSE)</f>
        <v>#N/A</v>
      </c>
      <c r="AM109" s="203" t="str">
        <f>IFERROR(VLOOKUP($A109,REPOSICIONES_BARRA!$A$6:$I$130,6,FALSE),"")</f>
        <v/>
      </c>
      <c r="AN109" s="315" t="e">
        <f t="shared" si="74"/>
        <v>#N/A</v>
      </c>
      <c r="AO109" s="316" t="e">
        <f t="shared" si="75"/>
        <v>#N/A</v>
      </c>
      <c r="AP109" s="317" t="str">
        <f>IFERROR(IFERROR(VLOOKUP($A109,VENTAS!$H$2:$O$201,5,FALSE),"")/$C109,"")</f>
        <v/>
      </c>
      <c r="AQ109" s="111"/>
      <c r="AR109" s="203" t="e">
        <f>VLOOKUP($A109,INICIO_BARRA!$A$6:$R$130,11,FALSE)</f>
        <v>#N/A</v>
      </c>
      <c r="AS109" s="203" t="e">
        <f>VLOOKUP($A109,INICIO_BARRA!$A$6:$R$130,12,FALSE)</f>
        <v>#N/A</v>
      </c>
      <c r="AT109" s="11"/>
      <c r="AU109" s="94" t="str">
        <f>IFERROR(IFERROR(IF(AT109&gt;0,"",AT109*VLOOKUP($A109,'VALOR I.'!$B$6:$K$418,10,FALSE)),"")*$C109,"")</f>
        <v/>
      </c>
      <c r="AV109" s="203" t="e">
        <f>VLOOKUP($A109,INICIO_BARRA!$A$6:$R$130,11,FALSE)</f>
        <v>#N/A</v>
      </c>
      <c r="AW109" s="203" t="e">
        <f>VLOOKUP($A109,INICIO_BARRA!$A$6:$R$130,12,FALSE)</f>
        <v>#N/A</v>
      </c>
      <c r="AX109" s="203" t="str">
        <f>IFERROR(VLOOKUP($A109,REPOSICIONES_BARRA!$A$6:$I$130,7,FALSE),"")</f>
        <v/>
      </c>
      <c r="AY109" s="315" t="e">
        <f t="shared" si="76"/>
        <v>#N/A</v>
      </c>
      <c r="AZ109" s="316" t="e">
        <f t="shared" si="77"/>
        <v>#N/A</v>
      </c>
      <c r="BA109" s="317" t="str">
        <f>IFERROR(IFERROR(VLOOKUP($A109,VENTAS!$H$2:$O$201,6,FALSE),"")/$C109,"")</f>
        <v/>
      </c>
      <c r="BB109" s="111"/>
      <c r="BC109" s="203" t="e">
        <f>VLOOKUP($A109,INICIO_BARRA!$A$6:$R$130,13,FALSE)</f>
        <v>#N/A</v>
      </c>
      <c r="BD109" s="203" t="e">
        <f>VLOOKUP($A109,INICIO_BARRA!$A$6:$R$130,14,FALSE)</f>
        <v>#N/A</v>
      </c>
      <c r="BE109" s="11"/>
      <c r="BF109" s="94" t="str">
        <f>IFERROR(IFERROR(IF(BE109&gt;0,"",BE109*VLOOKUP($A109,'VALOR I.'!$B$6:$K$418,10,FALSE)),"")*$C109,"")</f>
        <v/>
      </c>
      <c r="BG109" s="203" t="e">
        <f>VLOOKUP($A109,INICIO_BARRA!$A$6:$R$130,13,FALSE)</f>
        <v>#N/A</v>
      </c>
      <c r="BH109" s="203" t="e">
        <f>VLOOKUP($A109,INICIO_BARRA!$A$6:$R$130,14,FALSE)</f>
        <v>#N/A</v>
      </c>
      <c r="BI109" s="203" t="str">
        <f>IFERROR(VLOOKUP($A109,REPOSICIONES_BARRA!$A$6:$I$130,8,FALSE),"")</f>
        <v/>
      </c>
      <c r="BJ109" s="315" t="e">
        <f t="shared" si="78"/>
        <v>#N/A</v>
      </c>
      <c r="BK109" s="316" t="e">
        <f t="shared" si="79"/>
        <v>#N/A</v>
      </c>
      <c r="BL109" s="317" t="str">
        <f>IFERROR(IFERROR(VLOOKUP($A109,VENTAS!$H$2:$O$201,7,FALSE),"")/$C109,"")</f>
        <v/>
      </c>
      <c r="BM109" s="111"/>
      <c r="BN109" s="203" t="e">
        <f>VLOOKUP($A109,INICIO_BARRA!$A$6:$R$130,15,FALSE)</f>
        <v>#N/A</v>
      </c>
      <c r="BO109" s="203" t="e">
        <f>VLOOKUP($A109,INICIO_BARRA!$A$6:$R$130,16,FALSE)</f>
        <v>#N/A</v>
      </c>
      <c r="BP109" s="11"/>
      <c r="BQ109" s="94" t="str">
        <f>IFERROR(IFERROR(IF(BP109&gt;0,"",BP109*VLOOKUP($A109,'VALOR I.'!$B$6:$K$418,10,FALSE)),"")*$C109,"")</f>
        <v/>
      </c>
      <c r="BR109" s="203" t="e">
        <f>VLOOKUP($A109,INICIO_BARRA!$A$6:$R$130,15,FALSE)</f>
        <v>#N/A</v>
      </c>
      <c r="BS109" s="203" t="e">
        <f>VLOOKUP($A109,INICIO_BARRA!$A$6:$R$130,16,FALSE)</f>
        <v>#N/A</v>
      </c>
      <c r="BT109" s="203" t="str">
        <f>IFERROR(VLOOKUP($A109,REPOSICIONES_BARRA!$A$6:$I$130,9,FALSE),"")</f>
        <v/>
      </c>
      <c r="BU109" s="315" t="e">
        <f t="shared" si="82"/>
        <v>#N/A</v>
      </c>
      <c r="BV109" s="316" t="e">
        <f t="shared" si="83"/>
        <v>#N/A</v>
      </c>
      <c r="BW109" s="317" t="str">
        <f>IFERROR(IFERROR(VLOOKUP($A109,VENTAS!$H$2:$O$201,8,FALSE),"")/$C109,"")</f>
        <v/>
      </c>
      <c r="BX109" s="111"/>
      <c r="BY109" s="203" t="e">
        <f>VLOOKUP($A109,INICIO_BARRA!$A$6:$R$130,17,FALSE)</f>
        <v>#N/A</v>
      </c>
      <c r="BZ109" s="203" t="e">
        <f>VLOOKUP($A109,INICIO_BARRA!$A$6:$R$130,18,FALSE)</f>
        <v>#N/A</v>
      </c>
      <c r="CA109" s="11"/>
      <c r="CB109" s="94" t="str">
        <f>IFERROR(IFERROR(IF(CA109&gt;0,"",CA109*VLOOKUP($A109,'VALOR I.'!$B$6:$K$418,10,FALSE)),"")*$C109,"")</f>
        <v/>
      </c>
    </row>
    <row r="110" spans="1:80" s="7" customFormat="1" ht="30" customHeight="1" x14ac:dyDescent="0.3">
      <c r="A110" s="3" t="s">
        <v>224</v>
      </c>
      <c r="B110" s="310" t="s">
        <v>17</v>
      </c>
      <c r="C110" s="141">
        <v>75</v>
      </c>
      <c r="D110" s="203">
        <f>VLOOKUP($A110,INICIO_BARRA!$A$6:$R$130,3,FALSE)</f>
        <v>0</v>
      </c>
      <c r="E110" s="203">
        <f>VLOOKUP($A110,INICIO_BARRA!$A$6:$R$130,4,FALSE)</f>
        <v>0</v>
      </c>
      <c r="F110" s="203">
        <f>IFERROR(VLOOKUP($A110,REPOSICIONES_BARRA!$A$6:$I$130,3,FALSE),"")</f>
        <v>0</v>
      </c>
      <c r="G110" s="315">
        <f t="shared" si="80"/>
        <v>0</v>
      </c>
      <c r="H110" s="316">
        <f t="shared" si="81"/>
        <v>0</v>
      </c>
      <c r="I110" s="317">
        <f>IFERROR(IFERROR(VLOOKUP($A110,VENTAS!$H$2:$O$201,2,FALSE),"")/$C110,"")</f>
        <v>0</v>
      </c>
      <c r="J110" s="318">
        <f t="shared" si="84"/>
        <v>0</v>
      </c>
      <c r="K110" s="203">
        <f>VLOOKUP($A110,INICIO_BARRA!$A$6:$R$130,5,FALSE)</f>
        <v>1</v>
      </c>
      <c r="L110" s="203">
        <f>VLOOKUP($A110,INICIO_BARRA!$A$6:$R$130,6,FALSE)</f>
        <v>9</v>
      </c>
      <c r="M110" s="203">
        <f t="shared" si="85"/>
        <v>14</v>
      </c>
      <c r="N110" s="204" t="str">
        <f>IFERROR(IFERROR(IF(M110&gt;0,"",M110*VLOOKUP($A110,'VALOR I.'!$B$6:$K$418,10,FALSE)),"")*$C110,"")</f>
        <v/>
      </c>
      <c r="O110" s="203">
        <f>VLOOKUP($A110,INICIO_BARRA!$A$6:$R$130,5,FALSE)</f>
        <v>1</v>
      </c>
      <c r="P110" s="203">
        <f>VLOOKUP($A110,INICIO_BARRA!$A$6:$R$130,6,FALSE)</f>
        <v>9</v>
      </c>
      <c r="Q110" s="203">
        <f>IFERROR(VLOOKUP($A110,REPOSICIONES_BARRA!$A$6:$I$130,4,FALSE),"")</f>
        <v>0</v>
      </c>
      <c r="R110" s="315">
        <f t="shared" si="70"/>
        <v>1</v>
      </c>
      <c r="S110" s="316">
        <f t="shared" si="71"/>
        <v>9</v>
      </c>
      <c r="T110" s="317">
        <f>IFERROR(IFERROR(VLOOKUP($A110,VENTAS!$H$2:$O$201,3,FALSE),"")/$C110,"")</f>
        <v>0</v>
      </c>
      <c r="U110" s="318">
        <f t="shared" ref="U110:U113" si="116">IFERROR(((R110*5)+S110)-T110,"")</f>
        <v>14</v>
      </c>
      <c r="V110" s="203">
        <f>VLOOKUP($A110,INICIO_BARRA!$A$6:$R$130,7,FALSE)</f>
        <v>1</v>
      </c>
      <c r="W110" s="203">
        <f>VLOOKUP($A110,INICIO_BARRA!$A$6:$R$130,8,FALSE)</f>
        <v>9</v>
      </c>
      <c r="X110" s="203">
        <f t="shared" ref="X110:X113" si="117">IFERROR(((V110*5)+W110)-U110,"")</f>
        <v>0</v>
      </c>
      <c r="Y110" s="204">
        <f>IFERROR(IFERROR(IF(X110&gt;0,"",X110*VLOOKUP($A110,'VALOR I.'!$B$6:$K$418,10,FALSE)),"")*$C110,"")</f>
        <v>0</v>
      </c>
      <c r="Z110" s="203">
        <f>VLOOKUP($A110,INICIO_BARRA!$A$6:$R$130,7,FALSE)</f>
        <v>1</v>
      </c>
      <c r="AA110" s="203">
        <f>VLOOKUP($A110,INICIO_BARRA!$A$6:$R$130,8,FALSE)</f>
        <v>9</v>
      </c>
      <c r="AB110" s="203">
        <f>IFERROR(VLOOKUP($A110,REPOSICIONES_BARRA!$A$6:$I$130,5,FALSE),"")</f>
        <v>0</v>
      </c>
      <c r="AC110" s="315">
        <f t="shared" si="72"/>
        <v>1</v>
      </c>
      <c r="AD110" s="316">
        <f t="shared" si="73"/>
        <v>9</v>
      </c>
      <c r="AE110" s="317">
        <f>IFERROR(IFERROR(VLOOKUP($A110,VENTAS!$H$2:$O$201,4,FALSE),"")/$C110,"")</f>
        <v>0</v>
      </c>
      <c r="AF110" s="318">
        <f t="shared" ref="AF110:AF113" si="118">IFERROR(((AC110*5)+AD110)-AE110,"")</f>
        <v>14</v>
      </c>
      <c r="AG110" s="203">
        <f>VLOOKUP($A110,INICIO_BARRA!$A$6:$R$130,9,FALSE)</f>
        <v>1</v>
      </c>
      <c r="AH110" s="203">
        <f>VLOOKUP($A110,INICIO_BARRA!$A$6:$R$130,10,FALSE)</f>
        <v>9</v>
      </c>
      <c r="AI110" s="203">
        <f t="shared" ref="AI110:AI113" si="119">IFERROR(((AG110*5)+AH110)-AF110,"")</f>
        <v>0</v>
      </c>
      <c r="AJ110" s="204">
        <f>IFERROR(IFERROR(IF(AI110&gt;0,"",AI110*VLOOKUP($A110,'VALOR I.'!$B$6:$K$418,10,FALSE)),"")*$C110,"")</f>
        <v>0</v>
      </c>
      <c r="AK110" s="203">
        <f>VLOOKUP($A110,INICIO_BARRA!$A$6:$R$130,9,FALSE)</f>
        <v>1</v>
      </c>
      <c r="AL110" s="203">
        <f>VLOOKUP($A110,INICIO_BARRA!$A$6:$R$130,10,FALSE)</f>
        <v>9</v>
      </c>
      <c r="AM110" s="203">
        <f>IFERROR(VLOOKUP($A110,REPOSICIONES_BARRA!$A$6:$I$130,6,FALSE),"")</f>
        <v>0</v>
      </c>
      <c r="AN110" s="315">
        <f t="shared" si="74"/>
        <v>1</v>
      </c>
      <c r="AO110" s="316">
        <f t="shared" si="75"/>
        <v>9</v>
      </c>
      <c r="AP110" s="317">
        <f>IFERROR(IFERROR(VLOOKUP($A110,VENTAS!$H$2:$O$201,5,FALSE),"")/$C110,"")</f>
        <v>0</v>
      </c>
      <c r="AQ110" s="318">
        <f t="shared" ref="AQ110:AQ113" si="120">IFERROR(((AN110*5)+AO110)-AP110,"")</f>
        <v>14</v>
      </c>
      <c r="AR110" s="203">
        <f>VLOOKUP($A110,INICIO_BARRA!$A$6:$R$130,11,FALSE)</f>
        <v>1</v>
      </c>
      <c r="AS110" s="203">
        <f>VLOOKUP($A110,INICIO_BARRA!$A$6:$R$130,12,FALSE)</f>
        <v>9</v>
      </c>
      <c r="AT110" s="203">
        <f t="shared" ref="AT110:AT113" si="121">IFERROR(((AR110*5)+AS110)-AQ110,"")</f>
        <v>0</v>
      </c>
      <c r="AU110" s="204">
        <f>IFERROR(IFERROR(IF(AT110&gt;0,"",AT110*VLOOKUP($A110,'VALOR I.'!$B$6:$K$418,10,FALSE)),"")*$C110,"")</f>
        <v>0</v>
      </c>
      <c r="AV110" s="203">
        <f>VLOOKUP($A110,INICIO_BARRA!$A$6:$R$130,11,FALSE)</f>
        <v>1</v>
      </c>
      <c r="AW110" s="203">
        <f>VLOOKUP($A110,INICIO_BARRA!$A$6:$R$130,12,FALSE)</f>
        <v>9</v>
      </c>
      <c r="AX110" s="203">
        <f>IFERROR(VLOOKUP($A110,REPOSICIONES_BARRA!$A$6:$I$130,7,FALSE),"")</f>
        <v>0</v>
      </c>
      <c r="AY110" s="315">
        <f t="shared" si="76"/>
        <v>1</v>
      </c>
      <c r="AZ110" s="316">
        <f t="shared" si="77"/>
        <v>9</v>
      </c>
      <c r="BA110" s="317">
        <f>IFERROR(IFERROR(VLOOKUP($A110,VENTAS!$H$2:$O$201,6,FALSE),"")/$C110,"")</f>
        <v>5</v>
      </c>
      <c r="BB110" s="318">
        <f t="shared" ref="BB110:BB113" si="122">IFERROR(((AY110*5)+AZ110)-BA110,"")</f>
        <v>9</v>
      </c>
      <c r="BC110" s="203">
        <f>VLOOKUP($A110,INICIO_BARRA!$A$6:$R$130,13,FALSE)</f>
        <v>1</v>
      </c>
      <c r="BD110" s="203">
        <f>VLOOKUP($A110,INICIO_BARRA!$A$6:$R$130,14,FALSE)</f>
        <v>6</v>
      </c>
      <c r="BE110" s="203">
        <f t="shared" ref="BE110:BE113" si="123">IFERROR(((BC110*5)+BD110)-BB110,"")</f>
        <v>2</v>
      </c>
      <c r="BF110" s="204" t="str">
        <f>IFERROR(IFERROR(IF(BE110&gt;0,"",BE110*VLOOKUP($A110,'VALOR I.'!$B$6:$K$418,10,FALSE)),"")*$C110,"")</f>
        <v/>
      </c>
      <c r="BG110" s="203">
        <f>VLOOKUP($A110,INICIO_BARRA!$A$6:$R$130,13,FALSE)</f>
        <v>1</v>
      </c>
      <c r="BH110" s="203">
        <f>VLOOKUP($A110,INICIO_BARRA!$A$6:$R$130,14,FALSE)</f>
        <v>6</v>
      </c>
      <c r="BI110" s="203">
        <f>IFERROR(VLOOKUP($A110,REPOSICIONES_BARRA!$A$6:$I$130,8,FALSE),"")</f>
        <v>0</v>
      </c>
      <c r="BJ110" s="315">
        <f t="shared" si="78"/>
        <v>1</v>
      </c>
      <c r="BK110" s="316">
        <f t="shared" si="79"/>
        <v>6</v>
      </c>
      <c r="BL110" s="317">
        <f>IFERROR(IFERROR(VLOOKUP($A110,VENTAS!$H$2:$O$201,7,FALSE),"")/$C110,"")</f>
        <v>1</v>
      </c>
      <c r="BM110" s="318">
        <f t="shared" ref="BM110:BM113" si="124">IFERROR(((BJ110*5)+BK110)-BL110,"")</f>
        <v>10</v>
      </c>
      <c r="BN110" s="203">
        <f>VLOOKUP($A110,INICIO_BARRA!$A$6:$R$130,15,FALSE)</f>
        <v>1</v>
      </c>
      <c r="BO110" s="203">
        <f>VLOOKUP($A110,INICIO_BARRA!$A$6:$R$130,16,FALSE)</f>
        <v>6</v>
      </c>
      <c r="BP110" s="203">
        <f t="shared" ref="BP110:BP113" si="125">IFERROR(((BN110*5)+BO110)-BM110,"")</f>
        <v>1</v>
      </c>
      <c r="BQ110" s="204" t="str">
        <f>IFERROR(IFERROR(IF(BP110&gt;0,"",BP110*VLOOKUP($A110,'VALOR I.'!$B$6:$K$418,10,FALSE)),"")*$C110,"")</f>
        <v/>
      </c>
      <c r="BR110" s="203"/>
      <c r="BS110" s="203"/>
      <c r="BT110" s="203"/>
      <c r="BU110" s="315"/>
      <c r="BV110" s="316"/>
      <c r="BW110" s="317"/>
      <c r="BX110" s="318"/>
      <c r="BY110" s="203"/>
      <c r="BZ110" s="203"/>
      <c r="CA110" s="203"/>
      <c r="CB110" s="204"/>
    </row>
    <row r="111" spans="1:80" s="8" customFormat="1" ht="30" customHeight="1" x14ac:dyDescent="0.3">
      <c r="A111" s="3" t="s">
        <v>288</v>
      </c>
      <c r="B111" s="310" t="s">
        <v>49</v>
      </c>
      <c r="C111" s="141">
        <v>75</v>
      </c>
      <c r="D111" s="203">
        <f>VLOOKUP($A111,INICIO_BARRA!$A$6:$R$130,3,FALSE)</f>
        <v>0</v>
      </c>
      <c r="E111" s="203">
        <f>VLOOKUP($A111,INICIO_BARRA!$A$6:$R$130,4,FALSE)</f>
        <v>0</v>
      </c>
      <c r="F111" s="203">
        <f>IFERROR(VLOOKUP($A111,REPOSICIONES_BARRA!$A$6:$I$130,3,FALSE),"")</f>
        <v>0</v>
      </c>
      <c r="G111" s="315">
        <f t="shared" si="80"/>
        <v>0</v>
      </c>
      <c r="H111" s="316">
        <f t="shared" si="81"/>
        <v>0</v>
      </c>
      <c r="I111" s="317">
        <f>IFERROR(IFERROR(VLOOKUP($A111,VENTAS!$H$2:$O$201,2,FALSE),"")/$C111,"")</f>
        <v>0</v>
      </c>
      <c r="J111" s="318">
        <f t="shared" si="84"/>
        <v>0</v>
      </c>
      <c r="K111" s="203">
        <f>VLOOKUP($A111,INICIO_BARRA!$A$6:$R$130,5,FALSE)</f>
        <v>1</v>
      </c>
      <c r="L111" s="203">
        <f>VLOOKUP($A111,INICIO_BARRA!$A$6:$R$130,6,FALSE)</f>
        <v>0</v>
      </c>
      <c r="M111" s="203">
        <f t="shared" si="85"/>
        <v>5</v>
      </c>
      <c r="N111" s="204" t="str">
        <f>IFERROR(IFERROR(IF(M111&gt;0,"",M111*VLOOKUP($A111,'VALOR I.'!$B$6:$K$418,10,FALSE)),"")*$C111,"")</f>
        <v/>
      </c>
      <c r="O111" s="203">
        <f>VLOOKUP($A111,INICIO_BARRA!$A$6:$R$130,5,FALSE)</f>
        <v>1</v>
      </c>
      <c r="P111" s="203">
        <f>VLOOKUP($A111,INICIO_BARRA!$A$6:$R$130,6,FALSE)</f>
        <v>0</v>
      </c>
      <c r="Q111" s="203">
        <f>IFERROR(VLOOKUP($A111,REPOSICIONES_BARRA!$A$6:$I$130,4,FALSE),"")</f>
        <v>0</v>
      </c>
      <c r="R111" s="315">
        <f t="shared" si="70"/>
        <v>1</v>
      </c>
      <c r="S111" s="316">
        <f t="shared" si="71"/>
        <v>0</v>
      </c>
      <c r="T111" s="317">
        <f>IFERROR(IFERROR(VLOOKUP($A111,VENTAS!$H$2:$O$201,3,FALSE),"")/$C111,"")</f>
        <v>0</v>
      </c>
      <c r="U111" s="318">
        <f t="shared" si="116"/>
        <v>5</v>
      </c>
      <c r="V111" s="203">
        <f>VLOOKUP($A111,INICIO_BARRA!$A$6:$R$130,7,FALSE)</f>
        <v>1</v>
      </c>
      <c r="W111" s="203">
        <f>VLOOKUP($A111,INICIO_BARRA!$A$6:$R$130,8,FALSE)</f>
        <v>0</v>
      </c>
      <c r="X111" s="203">
        <f t="shared" si="117"/>
        <v>0</v>
      </c>
      <c r="Y111" s="204">
        <f>IFERROR(IFERROR(IF(X111&gt;0,"",X111*VLOOKUP($A111,'VALOR I.'!$B$6:$K$418,10,FALSE)),"")*$C111,"")</f>
        <v>0</v>
      </c>
      <c r="Z111" s="203">
        <f>VLOOKUP($A111,INICIO_BARRA!$A$6:$R$130,7,FALSE)</f>
        <v>1</v>
      </c>
      <c r="AA111" s="203">
        <f>VLOOKUP($A111,INICIO_BARRA!$A$6:$R$130,8,FALSE)</f>
        <v>0</v>
      </c>
      <c r="AB111" s="203">
        <f>IFERROR(VLOOKUP($A111,REPOSICIONES_BARRA!$A$6:$I$130,5,FALSE),"")</f>
        <v>0</v>
      </c>
      <c r="AC111" s="315">
        <f t="shared" si="72"/>
        <v>1</v>
      </c>
      <c r="AD111" s="316">
        <f t="shared" si="73"/>
        <v>0</v>
      </c>
      <c r="AE111" s="317">
        <f>IFERROR(IFERROR(VLOOKUP($A111,VENTAS!$H$2:$O$201,4,FALSE),"")/$C111,"")</f>
        <v>0</v>
      </c>
      <c r="AF111" s="318">
        <f t="shared" si="118"/>
        <v>5</v>
      </c>
      <c r="AG111" s="203">
        <f>VLOOKUP($A111,INICIO_BARRA!$A$6:$R$130,9,FALSE)</f>
        <v>1</v>
      </c>
      <c r="AH111" s="203">
        <f>VLOOKUP($A111,INICIO_BARRA!$A$6:$R$130,10,FALSE)</f>
        <v>0</v>
      </c>
      <c r="AI111" s="203">
        <f t="shared" si="119"/>
        <v>0</v>
      </c>
      <c r="AJ111" s="204">
        <f>IFERROR(IFERROR(IF(AI111&gt;0,"",AI111*VLOOKUP($A111,'VALOR I.'!$B$6:$K$418,10,FALSE)),"")*$C111,"")</f>
        <v>0</v>
      </c>
      <c r="AK111" s="203">
        <f>VLOOKUP($A111,INICIO_BARRA!$A$6:$R$130,9,FALSE)</f>
        <v>1</v>
      </c>
      <c r="AL111" s="203">
        <f>VLOOKUP($A111,INICIO_BARRA!$A$6:$R$130,10,FALSE)</f>
        <v>0</v>
      </c>
      <c r="AM111" s="203">
        <f>IFERROR(VLOOKUP($A111,REPOSICIONES_BARRA!$A$6:$I$130,6,FALSE),"")</f>
        <v>0</v>
      </c>
      <c r="AN111" s="315">
        <f t="shared" si="74"/>
        <v>1</v>
      </c>
      <c r="AO111" s="316">
        <f t="shared" si="75"/>
        <v>0</v>
      </c>
      <c r="AP111" s="317">
        <f>IFERROR(IFERROR(VLOOKUP($A111,VENTAS!$H$2:$O$201,5,FALSE),"")/$C111,"")</f>
        <v>0</v>
      </c>
      <c r="AQ111" s="318">
        <f t="shared" si="120"/>
        <v>5</v>
      </c>
      <c r="AR111" s="203">
        <f>VLOOKUP($A111,INICIO_BARRA!$A$6:$R$130,11,FALSE)</f>
        <v>1</v>
      </c>
      <c r="AS111" s="203">
        <f>VLOOKUP($A111,INICIO_BARRA!$A$6:$R$130,12,FALSE)</f>
        <v>0</v>
      </c>
      <c r="AT111" s="203">
        <f t="shared" si="121"/>
        <v>0</v>
      </c>
      <c r="AU111" s="204">
        <f>IFERROR(IFERROR(IF(AT111&gt;0,"",AT111*VLOOKUP($A111,'VALOR I.'!$B$6:$K$418,10,FALSE)),"")*$C111,"")</f>
        <v>0</v>
      </c>
      <c r="AV111" s="203">
        <f>VLOOKUP($A111,INICIO_BARRA!$A$6:$R$130,11,FALSE)</f>
        <v>1</v>
      </c>
      <c r="AW111" s="203">
        <f>VLOOKUP($A111,INICIO_BARRA!$A$6:$R$130,12,FALSE)</f>
        <v>0</v>
      </c>
      <c r="AX111" s="203">
        <f>IFERROR(VLOOKUP($A111,REPOSICIONES_BARRA!$A$6:$I$130,7,FALSE),"")</f>
        <v>0</v>
      </c>
      <c r="AY111" s="315">
        <f t="shared" si="76"/>
        <v>1</v>
      </c>
      <c r="AZ111" s="316">
        <f t="shared" si="77"/>
        <v>0</v>
      </c>
      <c r="BA111" s="317">
        <f>IFERROR(IFERROR(VLOOKUP($A111,VENTAS!$H$2:$O$201,6,FALSE),"")/$C111,"")</f>
        <v>0</v>
      </c>
      <c r="BB111" s="318">
        <f t="shared" si="122"/>
        <v>5</v>
      </c>
      <c r="BC111" s="203">
        <f>VLOOKUP($A111,INICIO_BARRA!$A$6:$R$130,13,FALSE)</f>
        <v>1</v>
      </c>
      <c r="BD111" s="203">
        <f>VLOOKUP($A111,INICIO_BARRA!$A$6:$R$130,14,FALSE)</f>
        <v>0</v>
      </c>
      <c r="BE111" s="203">
        <f t="shared" si="123"/>
        <v>0</v>
      </c>
      <c r="BF111" s="204">
        <f>IFERROR(IFERROR(IF(BE111&gt;0,"",BE111*VLOOKUP($A111,'VALOR I.'!$B$6:$K$418,10,FALSE)),"")*$C111,"")</f>
        <v>0</v>
      </c>
      <c r="BG111" s="203">
        <f>VLOOKUP($A111,INICIO_BARRA!$A$6:$R$130,13,FALSE)</f>
        <v>1</v>
      </c>
      <c r="BH111" s="203">
        <f>VLOOKUP($A111,INICIO_BARRA!$A$6:$R$130,14,FALSE)</f>
        <v>0</v>
      </c>
      <c r="BI111" s="203">
        <f>IFERROR(VLOOKUP($A111,REPOSICIONES_BARRA!$A$6:$I$130,8,FALSE),"")</f>
        <v>0</v>
      </c>
      <c r="BJ111" s="315">
        <f t="shared" si="78"/>
        <v>1</v>
      </c>
      <c r="BK111" s="316">
        <f t="shared" si="79"/>
        <v>0</v>
      </c>
      <c r="BL111" s="317">
        <f>IFERROR(IFERROR(VLOOKUP($A111,VENTAS!$H$2:$O$201,7,FALSE),"")/$C111,"")</f>
        <v>0</v>
      </c>
      <c r="BM111" s="318">
        <f t="shared" si="124"/>
        <v>5</v>
      </c>
      <c r="BN111" s="203">
        <f>VLOOKUP($A111,INICIO_BARRA!$A$6:$R$130,15,FALSE)</f>
        <v>1</v>
      </c>
      <c r="BO111" s="203">
        <f>VLOOKUP($A111,INICIO_BARRA!$A$6:$R$130,16,FALSE)</f>
        <v>0</v>
      </c>
      <c r="BP111" s="203">
        <f t="shared" si="125"/>
        <v>0</v>
      </c>
      <c r="BQ111" s="204">
        <f>IFERROR(IFERROR(IF(BP111&gt;0,"",BP111*VLOOKUP($A111,'VALOR I.'!$B$6:$K$418,10,FALSE)),"")*$C111,"")</f>
        <v>0</v>
      </c>
      <c r="BR111" s="203"/>
      <c r="BS111" s="203"/>
      <c r="BT111" s="203"/>
      <c r="BU111" s="315"/>
      <c r="BV111" s="316"/>
      <c r="BW111" s="317"/>
      <c r="BX111" s="318"/>
      <c r="BY111" s="203"/>
      <c r="BZ111" s="203"/>
      <c r="CA111" s="203"/>
      <c r="CB111" s="204"/>
    </row>
    <row r="112" spans="1:80" s="8" customFormat="1" ht="30" customHeight="1" x14ac:dyDescent="0.3">
      <c r="A112" s="3" t="s">
        <v>286</v>
      </c>
      <c r="B112" s="310" t="s">
        <v>50</v>
      </c>
      <c r="C112" s="141">
        <v>75</v>
      </c>
      <c r="D112" s="203">
        <f>VLOOKUP($A112,INICIO_BARRA!$A$6:$R$130,3,FALSE)</f>
        <v>0</v>
      </c>
      <c r="E112" s="203">
        <f>VLOOKUP($A112,INICIO_BARRA!$A$6:$R$130,4,FALSE)</f>
        <v>0</v>
      </c>
      <c r="F112" s="203">
        <f>IFERROR(VLOOKUP($A112,REPOSICIONES_BARRA!$A$6:$I$130,3,FALSE),"")</f>
        <v>0</v>
      </c>
      <c r="G112" s="315">
        <f t="shared" si="80"/>
        <v>0</v>
      </c>
      <c r="H112" s="316">
        <f t="shared" si="81"/>
        <v>0</v>
      </c>
      <c r="I112" s="317">
        <f>IFERROR(IFERROR(VLOOKUP($A112,VENTAS!$H$2:$O$201,2,FALSE),"")/$C112,"")</f>
        <v>0</v>
      </c>
      <c r="J112" s="318">
        <f t="shared" si="84"/>
        <v>0</v>
      </c>
      <c r="K112" s="203">
        <f>VLOOKUP($A112,INICIO_BARRA!$A$6:$R$130,5,FALSE)</f>
        <v>0</v>
      </c>
      <c r="L112" s="203">
        <f>VLOOKUP($A112,INICIO_BARRA!$A$6:$R$130,6,FALSE)</f>
        <v>4</v>
      </c>
      <c r="M112" s="203">
        <f t="shared" si="85"/>
        <v>4</v>
      </c>
      <c r="N112" s="204" t="str">
        <f>IFERROR(IFERROR(IF(M112&gt;0,"",M112*VLOOKUP($A112,'VALOR I.'!$B$6:$K$418,10,FALSE)),"")*$C112,"")</f>
        <v/>
      </c>
      <c r="O112" s="203">
        <f>VLOOKUP($A112,INICIO_BARRA!$A$6:$R$130,5,FALSE)</f>
        <v>0</v>
      </c>
      <c r="P112" s="203">
        <f>VLOOKUP($A112,INICIO_BARRA!$A$6:$R$130,6,FALSE)</f>
        <v>4</v>
      </c>
      <c r="Q112" s="203">
        <f>IFERROR(VLOOKUP($A112,REPOSICIONES_BARRA!$A$6:$I$130,4,FALSE),"")</f>
        <v>0</v>
      </c>
      <c r="R112" s="315">
        <f t="shared" si="70"/>
        <v>0</v>
      </c>
      <c r="S112" s="316">
        <f t="shared" si="71"/>
        <v>4</v>
      </c>
      <c r="T112" s="317">
        <f>IFERROR(IFERROR(VLOOKUP($A112,VENTAS!$H$2:$O$201,3,FALSE),"")/$C112,"")</f>
        <v>0</v>
      </c>
      <c r="U112" s="318">
        <f t="shared" si="116"/>
        <v>4</v>
      </c>
      <c r="V112" s="203">
        <f>VLOOKUP($A112,INICIO_BARRA!$A$6:$R$130,7,FALSE)</f>
        <v>0</v>
      </c>
      <c r="W112" s="203">
        <f>VLOOKUP($A112,INICIO_BARRA!$A$6:$R$130,8,FALSE)</f>
        <v>4</v>
      </c>
      <c r="X112" s="203">
        <f t="shared" si="117"/>
        <v>0</v>
      </c>
      <c r="Y112" s="204">
        <f>IFERROR(IFERROR(IF(X112&gt;0,"",X112*VLOOKUP($A112,'VALOR I.'!$B$6:$K$418,10,FALSE)),"")*$C112,"")</f>
        <v>0</v>
      </c>
      <c r="Z112" s="203">
        <f>VLOOKUP($A112,INICIO_BARRA!$A$6:$R$130,7,FALSE)</f>
        <v>0</v>
      </c>
      <c r="AA112" s="203">
        <f>VLOOKUP($A112,INICIO_BARRA!$A$6:$R$130,8,FALSE)</f>
        <v>4</v>
      </c>
      <c r="AB112" s="203">
        <f>IFERROR(VLOOKUP($A112,REPOSICIONES_BARRA!$A$6:$I$130,5,FALSE),"")</f>
        <v>0</v>
      </c>
      <c r="AC112" s="315">
        <f t="shared" si="72"/>
        <v>0</v>
      </c>
      <c r="AD112" s="316">
        <f t="shared" si="73"/>
        <v>4</v>
      </c>
      <c r="AE112" s="317">
        <f>IFERROR(IFERROR(VLOOKUP($A112,VENTAS!$H$2:$O$201,4,FALSE),"")/$C112,"")</f>
        <v>0</v>
      </c>
      <c r="AF112" s="318">
        <f t="shared" si="118"/>
        <v>4</v>
      </c>
      <c r="AG112" s="203">
        <f>VLOOKUP($A112,INICIO_BARRA!$A$6:$R$130,9,FALSE)</f>
        <v>0</v>
      </c>
      <c r="AH112" s="203">
        <f>VLOOKUP($A112,INICIO_BARRA!$A$6:$R$130,10,FALSE)</f>
        <v>0</v>
      </c>
      <c r="AI112" s="203">
        <f t="shared" si="119"/>
        <v>-4</v>
      </c>
      <c r="AJ112" s="204">
        <f>IFERROR(IFERROR(IF(AI112&gt;0,"",AI112*VLOOKUP($A112,'VALOR I.'!$B$6:$K$418,10,FALSE)),"")*$C112,"")</f>
        <v>-5307.8339999999998</v>
      </c>
      <c r="AK112" s="203">
        <f>VLOOKUP($A112,INICIO_BARRA!$A$6:$R$130,9,FALSE)</f>
        <v>0</v>
      </c>
      <c r="AL112" s="203">
        <f>VLOOKUP($A112,INICIO_BARRA!$A$6:$R$130,10,FALSE)</f>
        <v>0</v>
      </c>
      <c r="AM112" s="203">
        <f>IFERROR(VLOOKUP($A112,REPOSICIONES_BARRA!$A$6:$I$130,6,FALSE),"")</f>
        <v>1</v>
      </c>
      <c r="AN112" s="315">
        <f t="shared" si="74"/>
        <v>1</v>
      </c>
      <c r="AO112" s="316">
        <f t="shared" si="75"/>
        <v>0</v>
      </c>
      <c r="AP112" s="317">
        <f>IFERROR(IFERROR(VLOOKUP($A112,VENTAS!$H$2:$O$201,5,FALSE),"")/$C112,"")</f>
        <v>2</v>
      </c>
      <c r="AQ112" s="318">
        <f t="shared" si="120"/>
        <v>3</v>
      </c>
      <c r="AR112" s="203">
        <f>VLOOKUP($A112,INICIO_BARRA!$A$6:$R$130,11,FALSE)</f>
        <v>0</v>
      </c>
      <c r="AS112" s="203">
        <f>VLOOKUP($A112,INICIO_BARRA!$A$6:$R$130,12,FALSE)</f>
        <v>0</v>
      </c>
      <c r="AT112" s="203">
        <f t="shared" si="121"/>
        <v>-3</v>
      </c>
      <c r="AU112" s="204">
        <f>IFERROR(IFERROR(IF(AT112&gt;0,"",AT112*VLOOKUP($A112,'VALOR I.'!$B$6:$K$418,10,FALSE)),"")*$C112,"")</f>
        <v>-3980.8754999999996</v>
      </c>
      <c r="AV112" s="203">
        <f>VLOOKUP($A112,INICIO_BARRA!$A$6:$R$130,11,FALSE)</f>
        <v>0</v>
      </c>
      <c r="AW112" s="203">
        <f>VLOOKUP($A112,INICIO_BARRA!$A$6:$R$130,12,FALSE)</f>
        <v>0</v>
      </c>
      <c r="AX112" s="203">
        <f>IFERROR(VLOOKUP($A112,REPOSICIONES_BARRA!$A$6:$I$130,7,FALSE),"")</f>
        <v>1</v>
      </c>
      <c r="AY112" s="315">
        <f t="shared" si="76"/>
        <v>1</v>
      </c>
      <c r="AZ112" s="316">
        <f t="shared" si="77"/>
        <v>0</v>
      </c>
      <c r="BA112" s="317">
        <f>IFERROR(IFERROR(VLOOKUP($A112,VENTAS!$H$2:$O$201,6,FALSE),"")/$C112,"")</f>
        <v>0</v>
      </c>
      <c r="BB112" s="318">
        <f t="shared" si="122"/>
        <v>5</v>
      </c>
      <c r="BC112" s="203">
        <f>VLOOKUP($A112,INICIO_BARRA!$A$6:$R$130,13,FALSE)</f>
        <v>0</v>
      </c>
      <c r="BD112" s="203">
        <f>VLOOKUP($A112,INICIO_BARRA!$A$6:$R$130,14,FALSE)</f>
        <v>0</v>
      </c>
      <c r="BE112" s="203">
        <f t="shared" si="123"/>
        <v>-5</v>
      </c>
      <c r="BF112" s="204">
        <f>IFERROR(IFERROR(IF(BE112&gt;0,"",BE112*VLOOKUP($A112,'VALOR I.'!$B$6:$K$418,10,FALSE)),"")*$C112,"")</f>
        <v>-6634.7924999999996</v>
      </c>
      <c r="BG112" s="203">
        <f>VLOOKUP($A112,INICIO_BARRA!$A$6:$R$130,13,FALSE)</f>
        <v>0</v>
      </c>
      <c r="BH112" s="203">
        <f>VLOOKUP($A112,INICIO_BARRA!$A$6:$R$130,14,FALSE)</f>
        <v>0</v>
      </c>
      <c r="BI112" s="203">
        <f>IFERROR(VLOOKUP($A112,REPOSICIONES_BARRA!$A$6:$I$130,8,FALSE),"")</f>
        <v>1</v>
      </c>
      <c r="BJ112" s="315">
        <f t="shared" si="78"/>
        <v>1</v>
      </c>
      <c r="BK112" s="316">
        <f t="shared" si="79"/>
        <v>0</v>
      </c>
      <c r="BL112" s="317">
        <f>IFERROR(IFERROR(VLOOKUP($A112,VENTAS!$H$2:$O$201,7,FALSE),"")/$C112,"")</f>
        <v>0</v>
      </c>
      <c r="BM112" s="318">
        <f t="shared" si="124"/>
        <v>5</v>
      </c>
      <c r="BN112" s="203">
        <f>VLOOKUP($A112,INICIO_BARRA!$A$6:$R$130,15,FALSE)</f>
        <v>0</v>
      </c>
      <c r="BO112" s="203">
        <f>VLOOKUP($A112,INICIO_BARRA!$A$6:$R$130,16,FALSE)</f>
        <v>9</v>
      </c>
      <c r="BP112" s="203">
        <f t="shared" si="125"/>
        <v>4</v>
      </c>
      <c r="BQ112" s="204" t="str">
        <f>IFERROR(IFERROR(IF(BP112&gt;0,"",BP112*VLOOKUP($A112,'VALOR I.'!$B$6:$K$418,10,FALSE)),"")*$C112,"")</f>
        <v/>
      </c>
      <c r="BR112" s="203"/>
      <c r="BS112" s="203"/>
      <c r="BT112" s="203"/>
      <c r="BU112" s="315"/>
      <c r="BV112" s="316"/>
      <c r="BW112" s="317"/>
      <c r="BX112" s="318"/>
      <c r="BY112" s="203"/>
      <c r="BZ112" s="203"/>
      <c r="CA112" s="203"/>
      <c r="CB112" s="204"/>
    </row>
    <row r="113" spans="1:80" s="8" customFormat="1" ht="30" customHeight="1" x14ac:dyDescent="0.3">
      <c r="A113" s="3" t="s">
        <v>287</v>
      </c>
      <c r="B113" s="310" t="s">
        <v>51</v>
      </c>
      <c r="C113" s="141">
        <v>75</v>
      </c>
      <c r="D113" s="203">
        <f>VLOOKUP($A113,INICIO_BARRA!$A$6:$R$130,3,FALSE)</f>
        <v>0</v>
      </c>
      <c r="E113" s="203">
        <f>VLOOKUP($A113,INICIO_BARRA!$A$6:$R$130,4,FALSE)</f>
        <v>0</v>
      </c>
      <c r="F113" s="203">
        <f>IFERROR(VLOOKUP($A113,REPOSICIONES_BARRA!$A$6:$I$130,3,FALSE),"")</f>
        <v>0</v>
      </c>
      <c r="G113" s="315">
        <f t="shared" si="80"/>
        <v>0</v>
      </c>
      <c r="H113" s="316">
        <f t="shared" si="81"/>
        <v>0</v>
      </c>
      <c r="I113" s="317">
        <f>IFERROR(IFERROR(VLOOKUP($A113,VENTAS!$H$2:$O$201,2,FALSE),"")/$C113,"")</f>
        <v>0</v>
      </c>
      <c r="J113" s="318">
        <f t="shared" si="84"/>
        <v>0</v>
      </c>
      <c r="K113" s="203">
        <f>VLOOKUP($A113,INICIO_BARRA!$A$6:$R$130,5,FALSE)</f>
        <v>1</v>
      </c>
      <c r="L113" s="203">
        <f>VLOOKUP($A113,INICIO_BARRA!$A$6:$R$130,6,FALSE)</f>
        <v>4</v>
      </c>
      <c r="M113" s="203">
        <f t="shared" si="85"/>
        <v>9</v>
      </c>
      <c r="N113" s="204" t="str">
        <f>IFERROR(IFERROR(IF(M113&gt;0,"",M113*VLOOKUP($A113,'VALOR I.'!$B$6:$K$418,10,FALSE)),"")*$C113,"")</f>
        <v/>
      </c>
      <c r="O113" s="203">
        <f>VLOOKUP($A113,INICIO_BARRA!$A$6:$R$130,5,FALSE)</f>
        <v>1</v>
      </c>
      <c r="P113" s="203">
        <f>VLOOKUP($A113,INICIO_BARRA!$A$6:$R$130,6,FALSE)</f>
        <v>4</v>
      </c>
      <c r="Q113" s="203">
        <f>IFERROR(VLOOKUP($A113,REPOSICIONES_BARRA!$A$6:$I$130,4,FALSE),"")</f>
        <v>0</v>
      </c>
      <c r="R113" s="315">
        <f t="shared" si="70"/>
        <v>1</v>
      </c>
      <c r="S113" s="316">
        <f t="shared" si="71"/>
        <v>4</v>
      </c>
      <c r="T113" s="317">
        <f>IFERROR(IFERROR(VLOOKUP($A113,VENTAS!$H$2:$O$201,3,FALSE),"")/$C113,"")</f>
        <v>0</v>
      </c>
      <c r="U113" s="318">
        <f t="shared" si="116"/>
        <v>9</v>
      </c>
      <c r="V113" s="203">
        <f>VLOOKUP($A113,INICIO_BARRA!$A$6:$R$130,7,FALSE)</f>
        <v>1</v>
      </c>
      <c r="W113" s="203">
        <f>VLOOKUP($A113,INICIO_BARRA!$A$6:$R$130,8,FALSE)</f>
        <v>4</v>
      </c>
      <c r="X113" s="203">
        <f t="shared" si="117"/>
        <v>0</v>
      </c>
      <c r="Y113" s="204">
        <f>IFERROR(IFERROR(IF(X113&gt;0,"",X113*VLOOKUP($A113,'VALOR I.'!$B$6:$K$418,10,FALSE)),"")*$C113,"")</f>
        <v>0</v>
      </c>
      <c r="Z113" s="203">
        <f>VLOOKUP($A113,INICIO_BARRA!$A$6:$R$130,7,FALSE)</f>
        <v>1</v>
      </c>
      <c r="AA113" s="203">
        <f>VLOOKUP($A113,INICIO_BARRA!$A$6:$R$130,8,FALSE)</f>
        <v>4</v>
      </c>
      <c r="AB113" s="203">
        <f>IFERROR(VLOOKUP($A113,REPOSICIONES_BARRA!$A$6:$I$130,5,FALSE),"")</f>
        <v>0</v>
      </c>
      <c r="AC113" s="315">
        <f t="shared" si="72"/>
        <v>1</v>
      </c>
      <c r="AD113" s="316">
        <f t="shared" si="73"/>
        <v>4</v>
      </c>
      <c r="AE113" s="317">
        <f>IFERROR(IFERROR(VLOOKUP($A113,VENTAS!$H$2:$O$201,4,FALSE),"")/$C113,"")</f>
        <v>1</v>
      </c>
      <c r="AF113" s="318">
        <f t="shared" si="118"/>
        <v>8</v>
      </c>
      <c r="AG113" s="203">
        <f>VLOOKUP($A113,INICIO_BARRA!$A$6:$R$130,9,FALSE)</f>
        <v>1</v>
      </c>
      <c r="AH113" s="203">
        <f>VLOOKUP($A113,INICIO_BARRA!$A$6:$R$130,10,FALSE)</f>
        <v>3</v>
      </c>
      <c r="AI113" s="203">
        <f t="shared" si="119"/>
        <v>0</v>
      </c>
      <c r="AJ113" s="204">
        <f>IFERROR(IFERROR(IF(AI113&gt;0,"",AI113*VLOOKUP($A113,'VALOR I.'!$B$6:$K$418,10,FALSE)),"")*$C113,"")</f>
        <v>0</v>
      </c>
      <c r="AK113" s="203">
        <f>VLOOKUP($A113,INICIO_BARRA!$A$6:$R$130,9,FALSE)</f>
        <v>1</v>
      </c>
      <c r="AL113" s="203">
        <f>VLOOKUP($A113,INICIO_BARRA!$A$6:$R$130,10,FALSE)</f>
        <v>3</v>
      </c>
      <c r="AM113" s="203">
        <f>IFERROR(VLOOKUP($A113,REPOSICIONES_BARRA!$A$6:$I$130,6,FALSE),"")</f>
        <v>0</v>
      </c>
      <c r="AN113" s="315">
        <f t="shared" si="74"/>
        <v>1</v>
      </c>
      <c r="AO113" s="316">
        <f t="shared" si="75"/>
        <v>3</v>
      </c>
      <c r="AP113" s="317">
        <f>IFERROR(IFERROR(VLOOKUP($A113,VENTAS!$H$2:$O$201,5,FALSE),"")/$C113,"")</f>
        <v>0</v>
      </c>
      <c r="AQ113" s="318">
        <f t="shared" si="120"/>
        <v>8</v>
      </c>
      <c r="AR113" s="203">
        <f>VLOOKUP($A113,INICIO_BARRA!$A$6:$R$130,11,FALSE)</f>
        <v>1</v>
      </c>
      <c r="AS113" s="203">
        <f>VLOOKUP($A113,INICIO_BARRA!$A$6:$R$130,12,FALSE)</f>
        <v>3</v>
      </c>
      <c r="AT113" s="203">
        <f t="shared" si="121"/>
        <v>0</v>
      </c>
      <c r="AU113" s="204">
        <f>IFERROR(IFERROR(IF(AT113&gt;0,"",AT113*VLOOKUP($A113,'VALOR I.'!$B$6:$K$418,10,FALSE)),"")*$C113,"")</f>
        <v>0</v>
      </c>
      <c r="AV113" s="203">
        <f>VLOOKUP($A113,INICIO_BARRA!$A$6:$R$130,11,FALSE)</f>
        <v>1</v>
      </c>
      <c r="AW113" s="203">
        <f>VLOOKUP($A113,INICIO_BARRA!$A$6:$R$130,12,FALSE)</f>
        <v>3</v>
      </c>
      <c r="AX113" s="203">
        <f>IFERROR(VLOOKUP($A113,REPOSICIONES_BARRA!$A$6:$I$130,7,FALSE),"")</f>
        <v>0</v>
      </c>
      <c r="AY113" s="315">
        <f t="shared" si="76"/>
        <v>1</v>
      </c>
      <c r="AZ113" s="316">
        <f t="shared" si="77"/>
        <v>3</v>
      </c>
      <c r="BA113" s="317">
        <f>IFERROR(IFERROR(VLOOKUP($A113,VENTAS!$H$2:$O$201,6,FALSE),"")/$C113,"")</f>
        <v>0</v>
      </c>
      <c r="BB113" s="318">
        <f t="shared" si="122"/>
        <v>8</v>
      </c>
      <c r="BC113" s="203">
        <f>VLOOKUP($A113,INICIO_BARRA!$A$6:$R$130,13,FALSE)</f>
        <v>1</v>
      </c>
      <c r="BD113" s="203">
        <f>VLOOKUP($A113,INICIO_BARRA!$A$6:$R$130,14,FALSE)</f>
        <v>3</v>
      </c>
      <c r="BE113" s="203">
        <f t="shared" si="123"/>
        <v>0</v>
      </c>
      <c r="BF113" s="204">
        <f>IFERROR(IFERROR(IF(BE113&gt;0,"",BE113*VLOOKUP($A113,'VALOR I.'!$B$6:$K$418,10,FALSE)),"")*$C113,"")</f>
        <v>0</v>
      </c>
      <c r="BG113" s="203">
        <f>VLOOKUP($A113,INICIO_BARRA!$A$6:$R$130,13,FALSE)</f>
        <v>1</v>
      </c>
      <c r="BH113" s="203">
        <f>VLOOKUP($A113,INICIO_BARRA!$A$6:$R$130,14,FALSE)</f>
        <v>3</v>
      </c>
      <c r="BI113" s="203">
        <f>IFERROR(VLOOKUP($A113,REPOSICIONES_BARRA!$A$6:$I$130,8,FALSE),"")</f>
        <v>0</v>
      </c>
      <c r="BJ113" s="315">
        <f t="shared" si="78"/>
        <v>1</v>
      </c>
      <c r="BK113" s="316">
        <f t="shared" si="79"/>
        <v>3</v>
      </c>
      <c r="BL113" s="317">
        <f>IFERROR(IFERROR(VLOOKUP($A113,VENTAS!$H$2:$O$201,7,FALSE),"")/$C113,"")</f>
        <v>0</v>
      </c>
      <c r="BM113" s="318">
        <f t="shared" si="124"/>
        <v>8</v>
      </c>
      <c r="BN113" s="203">
        <f>VLOOKUP($A113,INICIO_BARRA!$A$6:$R$130,15,FALSE)</f>
        <v>1</v>
      </c>
      <c r="BO113" s="203">
        <f>VLOOKUP($A113,INICIO_BARRA!$A$6:$R$130,16,FALSE)</f>
        <v>3</v>
      </c>
      <c r="BP113" s="203">
        <f t="shared" si="125"/>
        <v>0</v>
      </c>
      <c r="BQ113" s="204">
        <f>IFERROR(IFERROR(IF(BP113&gt;0,"",BP113*VLOOKUP($A113,'VALOR I.'!$B$6:$K$418,10,FALSE)),"")*$C113,"")</f>
        <v>0</v>
      </c>
      <c r="BR113" s="203"/>
      <c r="BS113" s="203"/>
      <c r="BT113" s="203"/>
      <c r="BU113" s="315"/>
      <c r="BV113" s="316"/>
      <c r="BW113" s="317"/>
      <c r="BX113" s="318"/>
      <c r="BY113" s="203"/>
      <c r="BZ113" s="203"/>
      <c r="CA113" s="203"/>
      <c r="CB113" s="204"/>
    </row>
    <row r="114" spans="1:80" s="7" customFormat="1" ht="30" customHeight="1" x14ac:dyDescent="0.3">
      <c r="A114" s="3"/>
      <c r="B114" s="312" t="s">
        <v>37</v>
      </c>
      <c r="C114" s="144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</row>
    <row r="115" spans="1:80" s="7" customFormat="1" ht="30" hidden="1" customHeight="1" x14ac:dyDescent="0.45">
      <c r="A115" s="3"/>
      <c r="B115" s="30"/>
      <c r="C115" s="145"/>
      <c r="D115" s="203" t="e">
        <f>VLOOKUP($A115,INICIO_BARRA!$A$6:$R$130,3,FALSE)</f>
        <v>#N/A</v>
      </c>
      <c r="E115" s="203" t="e">
        <f>VLOOKUP($A115,INICIO_BARRA!$A$6:$R$130,4,FALSE)</f>
        <v>#N/A</v>
      </c>
      <c r="F115" s="203" t="str">
        <f>IFERROR(VLOOKUP($A115,REPOSICIONES_BARRA!$A$6:$I$130,3,FALSE),"")</f>
        <v/>
      </c>
      <c r="G115" s="315" t="e">
        <f t="shared" si="80"/>
        <v>#N/A</v>
      </c>
      <c r="H115" s="316" t="e">
        <f t="shared" si="81"/>
        <v>#N/A</v>
      </c>
      <c r="I115" s="317" t="str">
        <f>IFERROR(IFERROR(VLOOKUP($A115,VENTAS!$H$2:$O$201,2,FALSE),"")/$C115,"")</f>
        <v/>
      </c>
      <c r="J115" s="111"/>
      <c r="K115" s="203" t="e">
        <f>VLOOKUP($A115,INICIO_BARRA!$A$6:$R$130,5,FALSE)</f>
        <v>#N/A</v>
      </c>
      <c r="L115" s="203" t="e">
        <f>VLOOKUP($A115,INICIO_BARRA!$A$6:$R$130,6,FALSE)</f>
        <v>#N/A</v>
      </c>
      <c r="M115" s="11"/>
      <c r="N115" s="204" t="str">
        <f>IFERROR(IFERROR(IF(M115&gt;0,"",M115*VLOOKUP($A115,'VALOR I.'!$B$6:$K$418,10,FALSE)),"")*$C115,"")</f>
        <v/>
      </c>
      <c r="O115" s="203" t="e">
        <f>VLOOKUP($A115,INICIO_BARRA!$A$6:$R$130,5,FALSE)</f>
        <v>#N/A</v>
      </c>
      <c r="P115" s="203" t="e">
        <f>VLOOKUP($A115,INICIO_BARRA!$A$6:$R$130,6,FALSE)</f>
        <v>#N/A</v>
      </c>
      <c r="Q115" s="203" t="str">
        <f>IFERROR(VLOOKUP($A115,REPOSICIONES_BARRA!$A$6:$I$130,4,FALSE),"")</f>
        <v/>
      </c>
      <c r="R115" s="315" t="e">
        <f t="shared" si="70"/>
        <v>#N/A</v>
      </c>
      <c r="S115" s="316" t="e">
        <f t="shared" si="71"/>
        <v>#N/A</v>
      </c>
      <c r="T115" s="317" t="str">
        <f>IFERROR(IFERROR(VLOOKUP($A115,VENTAS!$H$2:$O$201,3,FALSE),"")/$C115,"")</f>
        <v/>
      </c>
      <c r="U115" s="111"/>
      <c r="V115" s="203" t="e">
        <f>VLOOKUP($A115,INICIO_BARRA!$A$6:$R$130,7,FALSE)</f>
        <v>#N/A</v>
      </c>
      <c r="W115" s="203" t="e">
        <f>VLOOKUP($A115,INICIO_BARRA!$A$6:$R$130,8,FALSE)</f>
        <v>#N/A</v>
      </c>
      <c r="X115" s="11"/>
      <c r="Y115" s="204" t="str">
        <f>IFERROR(IFERROR(IF(X115&gt;0,"",X115*VLOOKUP($A115,'VALOR I.'!$B$6:$K$418,10,FALSE)),"")*$C115,"")</f>
        <v/>
      </c>
      <c r="Z115" s="203" t="e">
        <f>VLOOKUP($A115,INICIO_BARRA!$A$6:$R$130,7,FALSE)</f>
        <v>#N/A</v>
      </c>
      <c r="AA115" s="203" t="e">
        <f>VLOOKUP($A115,INICIO_BARRA!$A$6:$R$130,8,FALSE)</f>
        <v>#N/A</v>
      </c>
      <c r="AB115" s="203" t="str">
        <f>IFERROR(VLOOKUP($A115,REPOSICIONES_BARRA!$A$6:$I$130,5,FALSE),"")</f>
        <v/>
      </c>
      <c r="AC115" s="315" t="e">
        <f t="shared" si="72"/>
        <v>#N/A</v>
      </c>
      <c r="AD115" s="316" t="e">
        <f t="shared" si="73"/>
        <v>#N/A</v>
      </c>
      <c r="AE115" s="317" t="str">
        <f>IFERROR(IFERROR(VLOOKUP($A115,VENTAS!$H$2:$O$201,4,FALSE),"")/$C115,"")</f>
        <v/>
      </c>
      <c r="AF115" s="111"/>
      <c r="AG115" s="203" t="e">
        <f>VLOOKUP($A115,INICIO_BARRA!$A$6:$R$130,9,FALSE)</f>
        <v>#N/A</v>
      </c>
      <c r="AH115" s="203" t="e">
        <f>VLOOKUP($A115,INICIO_BARRA!$A$6:$R$130,10,FALSE)</f>
        <v>#N/A</v>
      </c>
      <c r="AI115" s="11"/>
      <c r="AJ115" s="94" t="str">
        <f>IFERROR(IFERROR(IF(AI115&gt;0,"",AI115*VLOOKUP($A115,'VALOR I.'!$B$6:$K$418,10,FALSE)),"")*$C115,"")</f>
        <v/>
      </c>
      <c r="AK115" s="203" t="e">
        <f>VLOOKUP($A115,INICIO_BARRA!$A$6:$R$130,9,FALSE)</f>
        <v>#N/A</v>
      </c>
      <c r="AL115" s="203" t="e">
        <f>VLOOKUP($A115,INICIO_BARRA!$A$6:$R$130,10,FALSE)</f>
        <v>#N/A</v>
      </c>
      <c r="AM115" s="203" t="str">
        <f>IFERROR(VLOOKUP($A115,REPOSICIONES_BARRA!$A$6:$I$130,6,FALSE),"")</f>
        <v/>
      </c>
      <c r="AN115" s="315" t="e">
        <f t="shared" si="74"/>
        <v>#N/A</v>
      </c>
      <c r="AO115" s="316" t="e">
        <f t="shared" si="75"/>
        <v>#N/A</v>
      </c>
      <c r="AP115" s="317" t="str">
        <f>IFERROR(IFERROR(VLOOKUP($A115,VENTAS!$H$2:$O$201,5,FALSE),"")/$C115,"")</f>
        <v/>
      </c>
      <c r="AQ115" s="111"/>
      <c r="AR115" s="203" t="e">
        <f>VLOOKUP($A115,INICIO_BARRA!$A$6:$R$130,11,FALSE)</f>
        <v>#N/A</v>
      </c>
      <c r="AS115" s="203" t="e">
        <f>VLOOKUP($A115,INICIO_BARRA!$A$6:$R$130,12,FALSE)</f>
        <v>#N/A</v>
      </c>
      <c r="AT115" s="11"/>
      <c r="AU115" s="94" t="str">
        <f>IFERROR(IFERROR(IF(AT115&gt;0,"",AT115*VLOOKUP($A115,'VALOR I.'!$B$6:$K$418,10,FALSE)),"")*$C115,"")</f>
        <v/>
      </c>
      <c r="AV115" s="203" t="e">
        <f>VLOOKUP($A115,INICIO_BARRA!$A$6:$R$130,11,FALSE)</f>
        <v>#N/A</v>
      </c>
      <c r="AW115" s="203" t="e">
        <f>VLOOKUP($A115,INICIO_BARRA!$A$6:$R$130,12,FALSE)</f>
        <v>#N/A</v>
      </c>
      <c r="AX115" s="203" t="str">
        <f>IFERROR(VLOOKUP($A115,REPOSICIONES_BARRA!$A$6:$I$130,7,FALSE),"")</f>
        <v/>
      </c>
      <c r="AY115" s="315" t="e">
        <f t="shared" si="76"/>
        <v>#N/A</v>
      </c>
      <c r="AZ115" s="316" t="e">
        <f t="shared" si="77"/>
        <v>#N/A</v>
      </c>
      <c r="BA115" s="317" t="str">
        <f>IFERROR(IFERROR(VLOOKUP($A115,VENTAS!$H$2:$O$201,6,FALSE),"")/$C115,"")</f>
        <v/>
      </c>
      <c r="BB115" s="111"/>
      <c r="BC115" s="203" t="e">
        <f>VLOOKUP($A115,INICIO_BARRA!$A$6:$R$130,13,FALSE)</f>
        <v>#N/A</v>
      </c>
      <c r="BD115" s="203" t="e">
        <f>VLOOKUP($A115,INICIO_BARRA!$A$6:$R$130,14,FALSE)</f>
        <v>#N/A</v>
      </c>
      <c r="BE115" s="11"/>
      <c r="BF115" s="94" t="str">
        <f>IFERROR(IFERROR(IF(BE115&gt;0,"",BE115*VLOOKUP($A115,'VALOR I.'!$B$6:$K$418,10,FALSE)),"")*$C115,"")</f>
        <v/>
      </c>
      <c r="BG115" s="203" t="e">
        <f>VLOOKUP($A115,INICIO_BARRA!$A$6:$R$130,13,FALSE)</f>
        <v>#N/A</v>
      </c>
      <c r="BH115" s="203" t="e">
        <f>VLOOKUP($A115,INICIO_BARRA!$A$6:$R$130,14,FALSE)</f>
        <v>#N/A</v>
      </c>
      <c r="BI115" s="203" t="str">
        <f>IFERROR(VLOOKUP($A115,REPOSICIONES_BARRA!$A$6:$I$130,8,FALSE),"")</f>
        <v/>
      </c>
      <c r="BJ115" s="315" t="e">
        <f t="shared" si="78"/>
        <v>#N/A</v>
      </c>
      <c r="BK115" s="316" t="e">
        <f t="shared" si="79"/>
        <v>#N/A</v>
      </c>
      <c r="BL115" s="317" t="str">
        <f>IFERROR(IFERROR(VLOOKUP($A115,VENTAS!$H$2:$O$201,7,FALSE),"")/$C115,"")</f>
        <v/>
      </c>
      <c r="BM115" s="111"/>
      <c r="BN115" s="203" t="e">
        <f>VLOOKUP($A115,INICIO_BARRA!$A$6:$R$130,15,FALSE)</f>
        <v>#N/A</v>
      </c>
      <c r="BO115" s="203" t="e">
        <f>VLOOKUP($A115,INICIO_BARRA!$A$6:$R$130,16,FALSE)</f>
        <v>#N/A</v>
      </c>
      <c r="BP115" s="11"/>
      <c r="BQ115" s="94" t="str">
        <f>IFERROR(IFERROR(IF(BP115&gt;0,"",BP115*VLOOKUP($A115,'VALOR I.'!$B$6:$K$418,10,FALSE)),"")*$C115,"")</f>
        <v/>
      </c>
      <c r="BR115" s="203" t="e">
        <f>VLOOKUP($A115,INICIO_BARRA!$A$6:$R$130,15,FALSE)</f>
        <v>#N/A</v>
      </c>
      <c r="BS115" s="203" t="e">
        <f>VLOOKUP($A115,INICIO_BARRA!$A$6:$R$130,16,FALSE)</f>
        <v>#N/A</v>
      </c>
      <c r="BT115" s="203" t="str">
        <f>IFERROR(VLOOKUP($A115,REPOSICIONES_BARRA!$A$6:$I$130,9,FALSE),"")</f>
        <v/>
      </c>
      <c r="BU115" s="315" t="e">
        <f t="shared" si="82"/>
        <v>#N/A</v>
      </c>
      <c r="BV115" s="316" t="e">
        <f t="shared" si="83"/>
        <v>#N/A</v>
      </c>
      <c r="BW115" s="317" t="str">
        <f>IFERROR(IFERROR(VLOOKUP($A115,VENTAS!$H$2:$O$201,8,FALSE),"")/$C115,"")</f>
        <v/>
      </c>
      <c r="BX115" s="111"/>
      <c r="BY115" s="203" t="e">
        <f>VLOOKUP($A115,INICIO_BARRA!$A$6:$R$130,17,FALSE)</f>
        <v>#N/A</v>
      </c>
      <c r="BZ115" s="203" t="e">
        <f>VLOOKUP($A115,INICIO_BARRA!$A$6:$R$130,18,FALSE)</f>
        <v>#N/A</v>
      </c>
      <c r="CA115" s="11"/>
      <c r="CB115" s="94" t="str">
        <f>IFERROR(IFERROR(IF(CA115&gt;0,"",CA115*VLOOKUP($A115,'VALOR I.'!$B$6:$K$418,10,FALSE)),"")*$C115,"")</f>
        <v/>
      </c>
    </row>
    <row r="116" spans="1:80" s="7" customFormat="1" ht="30" hidden="1" customHeight="1" x14ac:dyDescent="0.45">
      <c r="A116" s="3"/>
      <c r="B116" s="30"/>
      <c r="C116" s="145"/>
      <c r="D116" s="203" t="e">
        <f>VLOOKUP($A116,INICIO_BARRA!$A$6:$R$130,3,FALSE)</f>
        <v>#N/A</v>
      </c>
      <c r="E116" s="203" t="e">
        <f>VLOOKUP($A116,INICIO_BARRA!$A$6:$R$130,4,FALSE)</f>
        <v>#N/A</v>
      </c>
      <c r="F116" s="203" t="str">
        <f>IFERROR(VLOOKUP($A116,REPOSICIONES_BARRA!$A$6:$I$130,3,FALSE),"")</f>
        <v/>
      </c>
      <c r="G116" s="315" t="e">
        <f t="shared" si="80"/>
        <v>#N/A</v>
      </c>
      <c r="H116" s="316" t="e">
        <f t="shared" si="81"/>
        <v>#N/A</v>
      </c>
      <c r="I116" s="317" t="str">
        <f>IFERROR(IFERROR(VLOOKUP($A116,VENTAS!$H$2:$O$201,2,FALSE),"")/$C116,"")</f>
        <v/>
      </c>
      <c r="J116" s="111"/>
      <c r="K116" s="203" t="e">
        <f>VLOOKUP($A116,INICIO_BARRA!$A$6:$R$130,5,FALSE)</f>
        <v>#N/A</v>
      </c>
      <c r="L116" s="203" t="e">
        <f>VLOOKUP($A116,INICIO_BARRA!$A$6:$R$130,6,FALSE)</f>
        <v>#N/A</v>
      </c>
      <c r="M116" s="11"/>
      <c r="N116" s="204" t="str">
        <f>IFERROR(IFERROR(IF(M116&gt;0,"",M116*VLOOKUP($A116,'VALOR I.'!$B$6:$K$418,10,FALSE)),"")*$C116,"")</f>
        <v/>
      </c>
      <c r="O116" s="203" t="e">
        <f>VLOOKUP($A116,INICIO_BARRA!$A$6:$R$130,5,FALSE)</f>
        <v>#N/A</v>
      </c>
      <c r="P116" s="203" t="e">
        <f>VLOOKUP($A116,INICIO_BARRA!$A$6:$R$130,6,FALSE)</f>
        <v>#N/A</v>
      </c>
      <c r="Q116" s="203" t="str">
        <f>IFERROR(VLOOKUP($A116,REPOSICIONES_BARRA!$A$6:$I$130,4,FALSE),"")</f>
        <v/>
      </c>
      <c r="R116" s="315" t="e">
        <f t="shared" si="70"/>
        <v>#N/A</v>
      </c>
      <c r="S116" s="316" t="e">
        <f t="shared" si="71"/>
        <v>#N/A</v>
      </c>
      <c r="T116" s="317" t="str">
        <f>IFERROR(IFERROR(VLOOKUP($A116,VENTAS!$H$2:$O$201,3,FALSE),"")/$C116,"")</f>
        <v/>
      </c>
      <c r="U116" s="111"/>
      <c r="V116" s="203" t="e">
        <f>VLOOKUP($A116,INICIO_BARRA!$A$6:$R$130,7,FALSE)</f>
        <v>#N/A</v>
      </c>
      <c r="W116" s="203" t="e">
        <f>VLOOKUP($A116,INICIO_BARRA!$A$6:$R$130,8,FALSE)</f>
        <v>#N/A</v>
      </c>
      <c r="X116" s="11"/>
      <c r="Y116" s="204" t="str">
        <f>IFERROR(IFERROR(IF(X116&gt;0,"",X116*VLOOKUP($A116,'VALOR I.'!$B$6:$K$418,10,FALSE)),"")*$C116,"")</f>
        <v/>
      </c>
      <c r="Z116" s="203" t="e">
        <f>VLOOKUP($A116,INICIO_BARRA!$A$6:$R$130,7,FALSE)</f>
        <v>#N/A</v>
      </c>
      <c r="AA116" s="203" t="e">
        <f>VLOOKUP($A116,INICIO_BARRA!$A$6:$R$130,8,FALSE)</f>
        <v>#N/A</v>
      </c>
      <c r="AB116" s="203" t="str">
        <f>IFERROR(VLOOKUP($A116,REPOSICIONES_BARRA!$A$6:$I$130,5,FALSE),"")</f>
        <v/>
      </c>
      <c r="AC116" s="315" t="e">
        <f t="shared" si="72"/>
        <v>#N/A</v>
      </c>
      <c r="AD116" s="316" t="e">
        <f t="shared" si="73"/>
        <v>#N/A</v>
      </c>
      <c r="AE116" s="317" t="str">
        <f>IFERROR(IFERROR(VLOOKUP($A116,VENTAS!$H$2:$O$201,4,FALSE),"")/$C116,"")</f>
        <v/>
      </c>
      <c r="AF116" s="111"/>
      <c r="AG116" s="203" t="e">
        <f>VLOOKUP($A116,INICIO_BARRA!$A$6:$R$130,9,FALSE)</f>
        <v>#N/A</v>
      </c>
      <c r="AH116" s="203" t="e">
        <f>VLOOKUP($A116,INICIO_BARRA!$A$6:$R$130,10,FALSE)</f>
        <v>#N/A</v>
      </c>
      <c r="AI116" s="11"/>
      <c r="AJ116" s="94" t="str">
        <f>IFERROR(IFERROR(IF(AI116&gt;0,"",AI116*VLOOKUP($A116,'VALOR I.'!$B$6:$K$418,10,FALSE)),"")*$C116,"")</f>
        <v/>
      </c>
      <c r="AK116" s="203" t="e">
        <f>VLOOKUP($A116,INICIO_BARRA!$A$6:$R$130,9,FALSE)</f>
        <v>#N/A</v>
      </c>
      <c r="AL116" s="203" t="e">
        <f>VLOOKUP($A116,INICIO_BARRA!$A$6:$R$130,10,FALSE)</f>
        <v>#N/A</v>
      </c>
      <c r="AM116" s="203" t="str">
        <f>IFERROR(VLOOKUP($A116,REPOSICIONES_BARRA!$A$6:$I$130,6,FALSE),"")</f>
        <v/>
      </c>
      <c r="AN116" s="315" t="e">
        <f t="shared" si="74"/>
        <v>#N/A</v>
      </c>
      <c r="AO116" s="316" t="e">
        <f t="shared" si="75"/>
        <v>#N/A</v>
      </c>
      <c r="AP116" s="317" t="str">
        <f>IFERROR(IFERROR(VLOOKUP($A116,VENTAS!$H$2:$O$201,5,FALSE),"")/$C116,"")</f>
        <v/>
      </c>
      <c r="AQ116" s="111"/>
      <c r="AR116" s="203" t="e">
        <f>VLOOKUP($A116,INICIO_BARRA!$A$6:$R$130,11,FALSE)</f>
        <v>#N/A</v>
      </c>
      <c r="AS116" s="203" t="e">
        <f>VLOOKUP($A116,INICIO_BARRA!$A$6:$R$130,12,FALSE)</f>
        <v>#N/A</v>
      </c>
      <c r="AT116" s="11"/>
      <c r="AU116" s="94" t="str">
        <f>IFERROR(IFERROR(IF(AT116&gt;0,"",AT116*VLOOKUP($A116,'VALOR I.'!$B$6:$K$418,10,FALSE)),"")*$C116,"")</f>
        <v/>
      </c>
      <c r="AV116" s="203" t="e">
        <f>VLOOKUP($A116,INICIO_BARRA!$A$6:$R$130,11,FALSE)</f>
        <v>#N/A</v>
      </c>
      <c r="AW116" s="203" t="e">
        <f>VLOOKUP($A116,INICIO_BARRA!$A$6:$R$130,12,FALSE)</f>
        <v>#N/A</v>
      </c>
      <c r="AX116" s="203" t="str">
        <f>IFERROR(VLOOKUP($A116,REPOSICIONES_BARRA!$A$6:$I$130,7,FALSE),"")</f>
        <v/>
      </c>
      <c r="AY116" s="315" t="e">
        <f t="shared" si="76"/>
        <v>#N/A</v>
      </c>
      <c r="AZ116" s="316" t="e">
        <f t="shared" si="77"/>
        <v>#N/A</v>
      </c>
      <c r="BA116" s="317" t="str">
        <f>IFERROR(IFERROR(VLOOKUP($A116,VENTAS!$H$2:$O$201,6,FALSE),"")/$C116,"")</f>
        <v/>
      </c>
      <c r="BB116" s="111"/>
      <c r="BC116" s="203" t="e">
        <f>VLOOKUP($A116,INICIO_BARRA!$A$6:$R$130,13,FALSE)</f>
        <v>#N/A</v>
      </c>
      <c r="BD116" s="203" t="e">
        <f>VLOOKUP($A116,INICIO_BARRA!$A$6:$R$130,14,FALSE)</f>
        <v>#N/A</v>
      </c>
      <c r="BE116" s="11"/>
      <c r="BF116" s="94" t="str">
        <f>IFERROR(IFERROR(IF(BE116&gt;0,"",BE116*VLOOKUP($A116,'VALOR I.'!$B$6:$K$418,10,FALSE)),"")*$C116,"")</f>
        <v/>
      </c>
      <c r="BG116" s="203" t="e">
        <f>VLOOKUP($A116,INICIO_BARRA!$A$6:$R$130,13,FALSE)</f>
        <v>#N/A</v>
      </c>
      <c r="BH116" s="203" t="e">
        <f>VLOOKUP($A116,INICIO_BARRA!$A$6:$R$130,14,FALSE)</f>
        <v>#N/A</v>
      </c>
      <c r="BI116" s="203" t="str">
        <f>IFERROR(VLOOKUP($A116,REPOSICIONES_BARRA!$A$6:$I$130,8,FALSE),"")</f>
        <v/>
      </c>
      <c r="BJ116" s="315" t="e">
        <f t="shared" si="78"/>
        <v>#N/A</v>
      </c>
      <c r="BK116" s="316" t="e">
        <f t="shared" si="79"/>
        <v>#N/A</v>
      </c>
      <c r="BL116" s="317" t="str">
        <f>IFERROR(IFERROR(VLOOKUP($A116,VENTAS!$H$2:$O$201,7,FALSE),"")/$C116,"")</f>
        <v/>
      </c>
      <c r="BM116" s="111"/>
      <c r="BN116" s="203" t="e">
        <f>VLOOKUP($A116,INICIO_BARRA!$A$6:$R$130,15,FALSE)</f>
        <v>#N/A</v>
      </c>
      <c r="BO116" s="203" t="e">
        <f>VLOOKUP($A116,INICIO_BARRA!$A$6:$R$130,16,FALSE)</f>
        <v>#N/A</v>
      </c>
      <c r="BP116" s="11"/>
      <c r="BQ116" s="94" t="str">
        <f>IFERROR(IFERROR(IF(BP116&gt;0,"",BP116*VLOOKUP($A116,'VALOR I.'!$B$6:$K$418,10,FALSE)),"")*$C116,"")</f>
        <v/>
      </c>
      <c r="BR116" s="203" t="e">
        <f>VLOOKUP($A116,INICIO_BARRA!$A$6:$R$130,15,FALSE)</f>
        <v>#N/A</v>
      </c>
      <c r="BS116" s="203" t="e">
        <f>VLOOKUP($A116,INICIO_BARRA!$A$6:$R$130,16,FALSE)</f>
        <v>#N/A</v>
      </c>
      <c r="BT116" s="203" t="str">
        <f>IFERROR(VLOOKUP($A116,REPOSICIONES_BARRA!$A$6:$I$130,9,FALSE),"")</f>
        <v/>
      </c>
      <c r="BU116" s="315" t="e">
        <f t="shared" si="82"/>
        <v>#N/A</v>
      </c>
      <c r="BV116" s="316" t="e">
        <f t="shared" si="83"/>
        <v>#N/A</v>
      </c>
      <c r="BW116" s="317" t="str">
        <f>IFERROR(IFERROR(VLOOKUP($A116,VENTAS!$H$2:$O$201,8,FALSE),"")/$C116,"")</f>
        <v/>
      </c>
      <c r="BX116" s="111"/>
      <c r="BY116" s="203" t="e">
        <f>VLOOKUP($A116,INICIO_BARRA!$A$6:$R$130,17,FALSE)</f>
        <v>#N/A</v>
      </c>
      <c r="BZ116" s="203" t="e">
        <f>VLOOKUP($A116,INICIO_BARRA!$A$6:$R$130,18,FALSE)</f>
        <v>#N/A</v>
      </c>
      <c r="CA116" s="11"/>
      <c r="CB116" s="94" t="str">
        <f>IFERROR(IFERROR(IF(CA116&gt;0,"",CA116*VLOOKUP($A116,'VALOR I.'!$B$6:$K$418,10,FALSE)),"")*$C116,"")</f>
        <v/>
      </c>
    </row>
    <row r="117" spans="1:80" s="8" customFormat="1" ht="30" hidden="1" customHeight="1" x14ac:dyDescent="0.45">
      <c r="A117" s="3"/>
      <c r="B117" s="39"/>
      <c r="C117" s="145"/>
      <c r="D117" s="203" t="e">
        <f>VLOOKUP($A117,INICIO_BARRA!$A$6:$R$130,3,FALSE)</f>
        <v>#N/A</v>
      </c>
      <c r="E117" s="203" t="e">
        <f>VLOOKUP($A117,INICIO_BARRA!$A$6:$R$130,4,FALSE)</f>
        <v>#N/A</v>
      </c>
      <c r="F117" s="203" t="str">
        <f>IFERROR(VLOOKUP($A117,REPOSICIONES_BARRA!$A$6:$I$130,3,FALSE),"")</f>
        <v/>
      </c>
      <c r="G117" s="315" t="e">
        <f t="shared" si="80"/>
        <v>#N/A</v>
      </c>
      <c r="H117" s="316" t="e">
        <f t="shared" si="81"/>
        <v>#N/A</v>
      </c>
      <c r="I117" s="317" t="str">
        <f>IFERROR(IFERROR(VLOOKUP($A117,VENTAS!$H$2:$O$201,2,FALSE),"")/$C117,"")</f>
        <v/>
      </c>
      <c r="J117" s="111"/>
      <c r="K117" s="203" t="e">
        <f>VLOOKUP($A117,INICIO_BARRA!$A$6:$R$130,5,FALSE)</f>
        <v>#N/A</v>
      </c>
      <c r="L117" s="203" t="e">
        <f>VLOOKUP($A117,INICIO_BARRA!$A$6:$R$130,6,FALSE)</f>
        <v>#N/A</v>
      </c>
      <c r="M117" s="11"/>
      <c r="N117" s="204" t="str">
        <f>IFERROR(IFERROR(IF(M117&gt;0,"",M117*VLOOKUP($A117,'VALOR I.'!$B$6:$K$418,10,FALSE)),"")*$C117,"")</f>
        <v/>
      </c>
      <c r="O117" s="203" t="e">
        <f>VLOOKUP($A117,INICIO_BARRA!$A$6:$R$130,5,FALSE)</f>
        <v>#N/A</v>
      </c>
      <c r="P117" s="203" t="e">
        <f>VLOOKUP($A117,INICIO_BARRA!$A$6:$R$130,6,FALSE)</f>
        <v>#N/A</v>
      </c>
      <c r="Q117" s="203" t="str">
        <f>IFERROR(VLOOKUP($A117,REPOSICIONES_BARRA!$A$6:$I$130,4,FALSE),"")</f>
        <v/>
      </c>
      <c r="R117" s="315" t="e">
        <f t="shared" si="70"/>
        <v>#N/A</v>
      </c>
      <c r="S117" s="316" t="e">
        <f t="shared" si="71"/>
        <v>#N/A</v>
      </c>
      <c r="T117" s="317" t="str">
        <f>IFERROR(IFERROR(VLOOKUP($A117,VENTAS!$H$2:$O$201,3,FALSE),"")/$C117,"")</f>
        <v/>
      </c>
      <c r="U117" s="111"/>
      <c r="V117" s="203" t="e">
        <f>VLOOKUP($A117,INICIO_BARRA!$A$6:$R$130,7,FALSE)</f>
        <v>#N/A</v>
      </c>
      <c r="W117" s="203" t="e">
        <f>VLOOKUP($A117,INICIO_BARRA!$A$6:$R$130,8,FALSE)</f>
        <v>#N/A</v>
      </c>
      <c r="X117" s="11"/>
      <c r="Y117" s="204" t="str">
        <f>IFERROR(IFERROR(IF(X117&gt;0,"",X117*VLOOKUP($A117,'VALOR I.'!$B$6:$K$418,10,FALSE)),"")*$C117,"")</f>
        <v/>
      </c>
      <c r="Z117" s="203" t="e">
        <f>VLOOKUP($A117,INICIO_BARRA!$A$6:$R$130,7,FALSE)</f>
        <v>#N/A</v>
      </c>
      <c r="AA117" s="203" t="e">
        <f>VLOOKUP($A117,INICIO_BARRA!$A$6:$R$130,8,FALSE)</f>
        <v>#N/A</v>
      </c>
      <c r="AB117" s="203" t="str">
        <f>IFERROR(VLOOKUP($A117,REPOSICIONES_BARRA!$A$6:$I$130,5,FALSE),"")</f>
        <v/>
      </c>
      <c r="AC117" s="315" t="e">
        <f t="shared" si="72"/>
        <v>#N/A</v>
      </c>
      <c r="AD117" s="316" t="e">
        <f t="shared" si="73"/>
        <v>#N/A</v>
      </c>
      <c r="AE117" s="317" t="str">
        <f>IFERROR(IFERROR(VLOOKUP($A117,VENTAS!$H$2:$O$201,4,FALSE),"")/$C117,"")</f>
        <v/>
      </c>
      <c r="AF117" s="111"/>
      <c r="AG117" s="203" t="e">
        <f>VLOOKUP($A117,INICIO_BARRA!$A$6:$R$130,9,FALSE)</f>
        <v>#N/A</v>
      </c>
      <c r="AH117" s="203" t="e">
        <f>VLOOKUP($A117,INICIO_BARRA!$A$6:$R$130,10,FALSE)</f>
        <v>#N/A</v>
      </c>
      <c r="AI117" s="11"/>
      <c r="AJ117" s="94" t="str">
        <f>IFERROR(IFERROR(IF(AI117&gt;0,"",AI117*VLOOKUP($A117,'VALOR I.'!$B$6:$K$418,10,FALSE)),"")*$C117,"")</f>
        <v/>
      </c>
      <c r="AK117" s="203" t="e">
        <f>VLOOKUP($A117,INICIO_BARRA!$A$6:$R$130,9,FALSE)</f>
        <v>#N/A</v>
      </c>
      <c r="AL117" s="203" t="e">
        <f>VLOOKUP($A117,INICIO_BARRA!$A$6:$R$130,10,FALSE)</f>
        <v>#N/A</v>
      </c>
      <c r="AM117" s="203" t="str">
        <f>IFERROR(VLOOKUP($A117,REPOSICIONES_BARRA!$A$6:$I$130,6,FALSE),"")</f>
        <v/>
      </c>
      <c r="AN117" s="315" t="e">
        <f t="shared" si="74"/>
        <v>#N/A</v>
      </c>
      <c r="AO117" s="316" t="e">
        <f t="shared" si="75"/>
        <v>#N/A</v>
      </c>
      <c r="AP117" s="317" t="str">
        <f>IFERROR(IFERROR(VLOOKUP($A117,VENTAS!$H$2:$O$201,5,FALSE),"")/$C117,"")</f>
        <v/>
      </c>
      <c r="AQ117" s="111"/>
      <c r="AR117" s="203" t="e">
        <f>VLOOKUP($A117,INICIO_BARRA!$A$6:$R$130,11,FALSE)</f>
        <v>#N/A</v>
      </c>
      <c r="AS117" s="203" t="e">
        <f>VLOOKUP($A117,INICIO_BARRA!$A$6:$R$130,12,FALSE)</f>
        <v>#N/A</v>
      </c>
      <c r="AT117" s="11"/>
      <c r="AU117" s="94" t="str">
        <f>IFERROR(IFERROR(IF(AT117&gt;0,"",AT117*VLOOKUP($A117,'VALOR I.'!$B$6:$K$418,10,FALSE)),"")*$C117,"")</f>
        <v/>
      </c>
      <c r="AV117" s="203" t="e">
        <f>VLOOKUP($A117,INICIO_BARRA!$A$6:$R$130,11,FALSE)</f>
        <v>#N/A</v>
      </c>
      <c r="AW117" s="203" t="e">
        <f>VLOOKUP($A117,INICIO_BARRA!$A$6:$R$130,12,FALSE)</f>
        <v>#N/A</v>
      </c>
      <c r="AX117" s="203" t="str">
        <f>IFERROR(VLOOKUP($A117,REPOSICIONES_BARRA!$A$6:$I$130,7,FALSE),"")</f>
        <v/>
      </c>
      <c r="AY117" s="315" t="e">
        <f t="shared" si="76"/>
        <v>#N/A</v>
      </c>
      <c r="AZ117" s="316" t="e">
        <f t="shared" si="77"/>
        <v>#N/A</v>
      </c>
      <c r="BA117" s="317" t="str">
        <f>IFERROR(IFERROR(VLOOKUP($A117,VENTAS!$H$2:$O$201,6,FALSE),"")/$C117,"")</f>
        <v/>
      </c>
      <c r="BB117" s="111"/>
      <c r="BC117" s="203" t="e">
        <f>VLOOKUP($A117,INICIO_BARRA!$A$6:$R$130,13,FALSE)</f>
        <v>#N/A</v>
      </c>
      <c r="BD117" s="203" t="e">
        <f>VLOOKUP($A117,INICIO_BARRA!$A$6:$R$130,14,FALSE)</f>
        <v>#N/A</v>
      </c>
      <c r="BE117" s="11"/>
      <c r="BF117" s="94" t="str">
        <f>IFERROR(IFERROR(IF(BE117&gt;0,"",BE117*VLOOKUP($A117,'VALOR I.'!$B$6:$K$418,10,FALSE)),"")*$C117,"")</f>
        <v/>
      </c>
      <c r="BG117" s="203" t="e">
        <f>VLOOKUP($A117,INICIO_BARRA!$A$6:$R$130,13,FALSE)</f>
        <v>#N/A</v>
      </c>
      <c r="BH117" s="203" t="e">
        <f>VLOOKUP($A117,INICIO_BARRA!$A$6:$R$130,14,FALSE)</f>
        <v>#N/A</v>
      </c>
      <c r="BI117" s="203" t="str">
        <f>IFERROR(VLOOKUP($A117,REPOSICIONES_BARRA!$A$6:$I$130,8,FALSE),"")</f>
        <v/>
      </c>
      <c r="BJ117" s="315" t="e">
        <f t="shared" si="78"/>
        <v>#N/A</v>
      </c>
      <c r="BK117" s="316" t="e">
        <f t="shared" si="79"/>
        <v>#N/A</v>
      </c>
      <c r="BL117" s="317" t="str">
        <f>IFERROR(IFERROR(VLOOKUP($A117,VENTAS!$H$2:$O$201,7,FALSE),"")/$C117,"")</f>
        <v/>
      </c>
      <c r="BM117" s="111"/>
      <c r="BN117" s="203" t="e">
        <f>VLOOKUP($A117,INICIO_BARRA!$A$6:$R$130,15,FALSE)</f>
        <v>#N/A</v>
      </c>
      <c r="BO117" s="203" t="e">
        <f>VLOOKUP($A117,INICIO_BARRA!$A$6:$R$130,16,FALSE)</f>
        <v>#N/A</v>
      </c>
      <c r="BP117" s="11"/>
      <c r="BQ117" s="94" t="str">
        <f>IFERROR(IFERROR(IF(BP117&gt;0,"",BP117*VLOOKUP($A117,'VALOR I.'!$B$6:$K$418,10,FALSE)),"")*$C117,"")</f>
        <v/>
      </c>
      <c r="BR117" s="203" t="e">
        <f>VLOOKUP($A117,INICIO_BARRA!$A$6:$R$130,15,FALSE)</f>
        <v>#N/A</v>
      </c>
      <c r="BS117" s="203" t="e">
        <f>VLOOKUP($A117,INICIO_BARRA!$A$6:$R$130,16,FALSE)</f>
        <v>#N/A</v>
      </c>
      <c r="BT117" s="203" t="str">
        <f>IFERROR(VLOOKUP($A117,REPOSICIONES_BARRA!$A$6:$I$130,9,FALSE),"")</f>
        <v/>
      </c>
      <c r="BU117" s="315" t="e">
        <f t="shared" si="82"/>
        <v>#N/A</v>
      </c>
      <c r="BV117" s="316" t="e">
        <f t="shared" si="83"/>
        <v>#N/A</v>
      </c>
      <c r="BW117" s="317" t="str">
        <f>IFERROR(IFERROR(VLOOKUP($A117,VENTAS!$H$2:$O$201,8,FALSE),"")/$C117,"")</f>
        <v/>
      </c>
      <c r="BX117" s="111"/>
      <c r="BY117" s="203" t="e">
        <f>VLOOKUP($A117,INICIO_BARRA!$A$6:$R$130,17,FALSE)</f>
        <v>#N/A</v>
      </c>
      <c r="BZ117" s="203" t="e">
        <f>VLOOKUP($A117,INICIO_BARRA!$A$6:$R$130,18,FALSE)</f>
        <v>#N/A</v>
      </c>
      <c r="CA117" s="11"/>
      <c r="CB117" s="94" t="str">
        <f>IFERROR(IFERROR(IF(CA117&gt;0,"",CA117*VLOOKUP($A117,'VALOR I.'!$B$6:$K$418,10,FALSE)),"")*$C117,"")</f>
        <v/>
      </c>
    </row>
    <row r="118" spans="1:80" s="8" customFormat="1" ht="30" hidden="1" customHeight="1" x14ac:dyDescent="0.45">
      <c r="A118" s="3"/>
      <c r="B118" s="39"/>
      <c r="C118" s="145"/>
      <c r="D118" s="203" t="e">
        <f>VLOOKUP($A118,INICIO_BARRA!$A$6:$R$130,3,FALSE)</f>
        <v>#N/A</v>
      </c>
      <c r="E118" s="203" t="e">
        <f>VLOOKUP($A118,INICIO_BARRA!$A$6:$R$130,4,FALSE)</f>
        <v>#N/A</v>
      </c>
      <c r="F118" s="203" t="str">
        <f>IFERROR(VLOOKUP($A118,REPOSICIONES_BARRA!$A$6:$I$130,3,FALSE),"")</f>
        <v/>
      </c>
      <c r="G118" s="315" t="e">
        <f t="shared" si="80"/>
        <v>#N/A</v>
      </c>
      <c r="H118" s="316" t="e">
        <f t="shared" si="81"/>
        <v>#N/A</v>
      </c>
      <c r="I118" s="317" t="str">
        <f>IFERROR(IFERROR(VLOOKUP($A118,VENTAS!$H$2:$O$201,2,FALSE),"")/$C118,"")</f>
        <v/>
      </c>
      <c r="J118" s="111"/>
      <c r="K118" s="203" t="e">
        <f>VLOOKUP($A118,INICIO_BARRA!$A$6:$R$130,5,FALSE)</f>
        <v>#N/A</v>
      </c>
      <c r="L118" s="203" t="e">
        <f>VLOOKUP($A118,INICIO_BARRA!$A$6:$R$130,6,FALSE)</f>
        <v>#N/A</v>
      </c>
      <c r="M118" s="11"/>
      <c r="N118" s="204" t="str">
        <f>IFERROR(IFERROR(IF(M118&gt;0,"",M118*VLOOKUP($A118,'VALOR I.'!$B$6:$K$418,10,FALSE)),"")*$C118,"")</f>
        <v/>
      </c>
      <c r="O118" s="203" t="e">
        <f>VLOOKUP($A118,INICIO_BARRA!$A$6:$R$130,5,FALSE)</f>
        <v>#N/A</v>
      </c>
      <c r="P118" s="203" t="e">
        <f>VLOOKUP($A118,INICIO_BARRA!$A$6:$R$130,6,FALSE)</f>
        <v>#N/A</v>
      </c>
      <c r="Q118" s="203" t="str">
        <f>IFERROR(VLOOKUP($A118,REPOSICIONES_BARRA!$A$6:$I$130,4,FALSE),"")</f>
        <v/>
      </c>
      <c r="R118" s="315" t="e">
        <f t="shared" si="70"/>
        <v>#N/A</v>
      </c>
      <c r="S118" s="316" t="e">
        <f t="shared" si="71"/>
        <v>#N/A</v>
      </c>
      <c r="T118" s="317" t="str">
        <f>IFERROR(IFERROR(VLOOKUP($A118,VENTAS!$H$2:$O$201,3,FALSE),"")/$C118,"")</f>
        <v/>
      </c>
      <c r="U118" s="111"/>
      <c r="V118" s="203" t="e">
        <f>VLOOKUP($A118,INICIO_BARRA!$A$6:$R$130,7,FALSE)</f>
        <v>#N/A</v>
      </c>
      <c r="W118" s="203" t="e">
        <f>VLOOKUP($A118,INICIO_BARRA!$A$6:$R$130,8,FALSE)</f>
        <v>#N/A</v>
      </c>
      <c r="X118" s="11"/>
      <c r="Y118" s="204" t="str">
        <f>IFERROR(IFERROR(IF(X118&gt;0,"",X118*VLOOKUP($A118,'VALOR I.'!$B$6:$K$418,10,FALSE)),"")*$C118,"")</f>
        <v/>
      </c>
      <c r="Z118" s="203" t="e">
        <f>VLOOKUP($A118,INICIO_BARRA!$A$6:$R$130,7,FALSE)</f>
        <v>#N/A</v>
      </c>
      <c r="AA118" s="203" t="e">
        <f>VLOOKUP($A118,INICIO_BARRA!$A$6:$R$130,8,FALSE)</f>
        <v>#N/A</v>
      </c>
      <c r="AB118" s="203" t="str">
        <f>IFERROR(VLOOKUP($A118,REPOSICIONES_BARRA!$A$6:$I$130,5,FALSE),"")</f>
        <v/>
      </c>
      <c r="AC118" s="315" t="e">
        <f t="shared" si="72"/>
        <v>#N/A</v>
      </c>
      <c r="AD118" s="316" t="e">
        <f t="shared" si="73"/>
        <v>#N/A</v>
      </c>
      <c r="AE118" s="317" t="str">
        <f>IFERROR(IFERROR(VLOOKUP($A118,VENTAS!$H$2:$O$201,4,FALSE),"")/$C118,"")</f>
        <v/>
      </c>
      <c r="AF118" s="111"/>
      <c r="AG118" s="203" t="e">
        <f>VLOOKUP($A118,INICIO_BARRA!$A$6:$R$130,9,FALSE)</f>
        <v>#N/A</v>
      </c>
      <c r="AH118" s="203" t="e">
        <f>VLOOKUP($A118,INICIO_BARRA!$A$6:$R$130,10,FALSE)</f>
        <v>#N/A</v>
      </c>
      <c r="AI118" s="11"/>
      <c r="AJ118" s="94" t="str">
        <f>IFERROR(IFERROR(IF(AI118&gt;0,"",AI118*VLOOKUP($A118,'VALOR I.'!$B$6:$K$418,10,FALSE)),"")*$C118,"")</f>
        <v/>
      </c>
      <c r="AK118" s="203" t="e">
        <f>VLOOKUP($A118,INICIO_BARRA!$A$6:$R$130,9,FALSE)</f>
        <v>#N/A</v>
      </c>
      <c r="AL118" s="203" t="e">
        <f>VLOOKUP($A118,INICIO_BARRA!$A$6:$R$130,10,FALSE)</f>
        <v>#N/A</v>
      </c>
      <c r="AM118" s="203" t="str">
        <f>IFERROR(VLOOKUP($A118,REPOSICIONES_BARRA!$A$6:$I$130,6,FALSE),"")</f>
        <v/>
      </c>
      <c r="AN118" s="315" t="e">
        <f t="shared" si="74"/>
        <v>#N/A</v>
      </c>
      <c r="AO118" s="316" t="e">
        <f t="shared" si="75"/>
        <v>#N/A</v>
      </c>
      <c r="AP118" s="317" t="str">
        <f>IFERROR(IFERROR(VLOOKUP($A118,VENTAS!$H$2:$O$201,5,FALSE),"")/$C118,"")</f>
        <v/>
      </c>
      <c r="AQ118" s="111"/>
      <c r="AR118" s="203" t="e">
        <f>VLOOKUP($A118,INICIO_BARRA!$A$6:$R$130,11,FALSE)</f>
        <v>#N/A</v>
      </c>
      <c r="AS118" s="203" t="e">
        <f>VLOOKUP($A118,INICIO_BARRA!$A$6:$R$130,12,FALSE)</f>
        <v>#N/A</v>
      </c>
      <c r="AT118" s="11"/>
      <c r="AU118" s="94" t="str">
        <f>IFERROR(IFERROR(IF(AT118&gt;0,"",AT118*VLOOKUP($A118,'VALOR I.'!$B$6:$K$418,10,FALSE)),"")*$C118,"")</f>
        <v/>
      </c>
      <c r="AV118" s="203" t="e">
        <f>VLOOKUP($A118,INICIO_BARRA!$A$6:$R$130,11,FALSE)</f>
        <v>#N/A</v>
      </c>
      <c r="AW118" s="203" t="e">
        <f>VLOOKUP($A118,INICIO_BARRA!$A$6:$R$130,12,FALSE)</f>
        <v>#N/A</v>
      </c>
      <c r="AX118" s="203" t="str">
        <f>IFERROR(VLOOKUP($A118,REPOSICIONES_BARRA!$A$6:$I$130,7,FALSE),"")</f>
        <v/>
      </c>
      <c r="AY118" s="315" t="e">
        <f t="shared" si="76"/>
        <v>#N/A</v>
      </c>
      <c r="AZ118" s="316" t="e">
        <f t="shared" si="77"/>
        <v>#N/A</v>
      </c>
      <c r="BA118" s="317" t="str">
        <f>IFERROR(IFERROR(VLOOKUP($A118,VENTAS!$H$2:$O$201,6,FALSE),"")/$C118,"")</f>
        <v/>
      </c>
      <c r="BB118" s="111"/>
      <c r="BC118" s="203" t="e">
        <f>VLOOKUP($A118,INICIO_BARRA!$A$6:$R$130,13,FALSE)</f>
        <v>#N/A</v>
      </c>
      <c r="BD118" s="203" t="e">
        <f>VLOOKUP($A118,INICIO_BARRA!$A$6:$R$130,14,FALSE)</f>
        <v>#N/A</v>
      </c>
      <c r="BE118" s="11"/>
      <c r="BF118" s="94" t="str">
        <f>IFERROR(IFERROR(IF(BE118&gt;0,"",BE118*VLOOKUP($A118,'VALOR I.'!$B$6:$K$418,10,FALSE)),"")*$C118,"")</f>
        <v/>
      </c>
      <c r="BG118" s="203" t="e">
        <f>VLOOKUP($A118,INICIO_BARRA!$A$6:$R$130,13,FALSE)</f>
        <v>#N/A</v>
      </c>
      <c r="BH118" s="203" t="e">
        <f>VLOOKUP($A118,INICIO_BARRA!$A$6:$R$130,14,FALSE)</f>
        <v>#N/A</v>
      </c>
      <c r="BI118" s="203" t="str">
        <f>IFERROR(VLOOKUP($A118,REPOSICIONES_BARRA!$A$6:$I$130,8,FALSE),"")</f>
        <v/>
      </c>
      <c r="BJ118" s="315" t="e">
        <f t="shared" si="78"/>
        <v>#N/A</v>
      </c>
      <c r="BK118" s="316" t="e">
        <f t="shared" si="79"/>
        <v>#N/A</v>
      </c>
      <c r="BL118" s="317" t="str">
        <f>IFERROR(IFERROR(VLOOKUP($A118,VENTAS!$H$2:$O$201,7,FALSE),"")/$C118,"")</f>
        <v/>
      </c>
      <c r="BM118" s="111"/>
      <c r="BN118" s="203" t="e">
        <f>VLOOKUP($A118,INICIO_BARRA!$A$6:$R$130,15,FALSE)</f>
        <v>#N/A</v>
      </c>
      <c r="BO118" s="203" t="e">
        <f>VLOOKUP($A118,INICIO_BARRA!$A$6:$R$130,16,FALSE)</f>
        <v>#N/A</v>
      </c>
      <c r="BP118" s="11"/>
      <c r="BQ118" s="94" t="str">
        <f>IFERROR(IFERROR(IF(BP118&gt;0,"",BP118*VLOOKUP($A118,'VALOR I.'!$B$6:$K$418,10,FALSE)),"")*$C118,"")</f>
        <v/>
      </c>
      <c r="BR118" s="203" t="e">
        <f>VLOOKUP($A118,INICIO_BARRA!$A$6:$R$130,15,FALSE)</f>
        <v>#N/A</v>
      </c>
      <c r="BS118" s="203" t="e">
        <f>VLOOKUP($A118,INICIO_BARRA!$A$6:$R$130,16,FALSE)</f>
        <v>#N/A</v>
      </c>
      <c r="BT118" s="203" t="str">
        <f>IFERROR(VLOOKUP($A118,REPOSICIONES_BARRA!$A$6:$I$130,9,FALSE),"")</f>
        <v/>
      </c>
      <c r="BU118" s="315" t="e">
        <f t="shared" si="82"/>
        <v>#N/A</v>
      </c>
      <c r="BV118" s="316" t="e">
        <f t="shared" si="83"/>
        <v>#N/A</v>
      </c>
      <c r="BW118" s="317" t="str">
        <f>IFERROR(IFERROR(VLOOKUP($A118,VENTAS!$H$2:$O$201,8,FALSE),"")/$C118,"")</f>
        <v/>
      </c>
      <c r="BX118" s="111"/>
      <c r="BY118" s="203" t="e">
        <f>VLOOKUP($A118,INICIO_BARRA!$A$6:$R$130,17,FALSE)</f>
        <v>#N/A</v>
      </c>
      <c r="BZ118" s="203" t="e">
        <f>VLOOKUP($A118,INICIO_BARRA!$A$6:$R$130,18,FALSE)</f>
        <v>#N/A</v>
      </c>
      <c r="CA118" s="11"/>
      <c r="CB118" s="94" t="str">
        <f>IFERROR(IFERROR(IF(CA118&gt;0,"",CA118*VLOOKUP($A118,'VALOR I.'!$B$6:$K$418,10,FALSE)),"")*$C118,"")</f>
        <v/>
      </c>
    </row>
    <row r="119" spans="1:80" s="8" customFormat="1" ht="30" hidden="1" customHeight="1" x14ac:dyDescent="0.45">
      <c r="A119" s="3"/>
      <c r="B119" s="39"/>
      <c r="C119" s="145"/>
      <c r="D119" s="203" t="e">
        <f>VLOOKUP($A119,INICIO_BARRA!$A$6:$R$130,3,FALSE)</f>
        <v>#N/A</v>
      </c>
      <c r="E119" s="203" t="e">
        <f>VLOOKUP($A119,INICIO_BARRA!$A$6:$R$130,4,FALSE)</f>
        <v>#N/A</v>
      </c>
      <c r="F119" s="203" t="str">
        <f>IFERROR(VLOOKUP($A119,REPOSICIONES_BARRA!$A$6:$I$130,3,FALSE),"")</f>
        <v/>
      </c>
      <c r="G119" s="315" t="e">
        <f t="shared" si="80"/>
        <v>#N/A</v>
      </c>
      <c r="H119" s="316" t="e">
        <f t="shared" si="81"/>
        <v>#N/A</v>
      </c>
      <c r="I119" s="317" t="str">
        <f>IFERROR(IFERROR(VLOOKUP($A119,VENTAS!$H$2:$O$201,2,FALSE),"")/$C119,"")</f>
        <v/>
      </c>
      <c r="J119" s="111"/>
      <c r="K119" s="203" t="e">
        <f>VLOOKUP($A119,INICIO_BARRA!$A$6:$R$130,5,FALSE)</f>
        <v>#N/A</v>
      </c>
      <c r="L119" s="203" t="e">
        <f>VLOOKUP($A119,INICIO_BARRA!$A$6:$R$130,6,FALSE)</f>
        <v>#N/A</v>
      </c>
      <c r="M119" s="11"/>
      <c r="N119" s="204" t="str">
        <f>IFERROR(IFERROR(IF(M119&gt;0,"",M119*VLOOKUP($A119,'VALOR I.'!$B$6:$K$418,10,FALSE)),"")*$C119,"")</f>
        <v/>
      </c>
      <c r="O119" s="203" t="e">
        <f>VLOOKUP($A119,INICIO_BARRA!$A$6:$R$130,5,FALSE)</f>
        <v>#N/A</v>
      </c>
      <c r="P119" s="203" t="e">
        <f>VLOOKUP($A119,INICIO_BARRA!$A$6:$R$130,6,FALSE)</f>
        <v>#N/A</v>
      </c>
      <c r="Q119" s="203" t="str">
        <f>IFERROR(VLOOKUP($A119,REPOSICIONES_BARRA!$A$6:$I$130,4,FALSE),"")</f>
        <v/>
      </c>
      <c r="R119" s="315" t="e">
        <f t="shared" si="70"/>
        <v>#N/A</v>
      </c>
      <c r="S119" s="316" t="e">
        <f t="shared" si="71"/>
        <v>#N/A</v>
      </c>
      <c r="T119" s="317" t="str">
        <f>IFERROR(IFERROR(VLOOKUP($A119,VENTAS!$H$2:$O$201,3,FALSE),"")/$C119,"")</f>
        <v/>
      </c>
      <c r="U119" s="111"/>
      <c r="V119" s="203" t="e">
        <f>VLOOKUP($A119,INICIO_BARRA!$A$6:$R$130,7,FALSE)</f>
        <v>#N/A</v>
      </c>
      <c r="W119" s="203" t="e">
        <f>VLOOKUP($A119,INICIO_BARRA!$A$6:$R$130,8,FALSE)</f>
        <v>#N/A</v>
      </c>
      <c r="X119" s="11"/>
      <c r="Y119" s="204" t="str">
        <f>IFERROR(IFERROR(IF(X119&gt;0,"",X119*VLOOKUP($A119,'VALOR I.'!$B$6:$K$418,10,FALSE)),"")*$C119,"")</f>
        <v/>
      </c>
      <c r="Z119" s="203" t="e">
        <f>VLOOKUP($A119,INICIO_BARRA!$A$6:$R$130,7,FALSE)</f>
        <v>#N/A</v>
      </c>
      <c r="AA119" s="203" t="e">
        <f>VLOOKUP($A119,INICIO_BARRA!$A$6:$R$130,8,FALSE)</f>
        <v>#N/A</v>
      </c>
      <c r="AB119" s="203" t="str">
        <f>IFERROR(VLOOKUP($A119,REPOSICIONES_BARRA!$A$6:$I$130,5,FALSE),"")</f>
        <v/>
      </c>
      <c r="AC119" s="315" t="e">
        <f t="shared" si="72"/>
        <v>#N/A</v>
      </c>
      <c r="AD119" s="316" t="e">
        <f t="shared" si="73"/>
        <v>#N/A</v>
      </c>
      <c r="AE119" s="317" t="str">
        <f>IFERROR(IFERROR(VLOOKUP($A119,VENTAS!$H$2:$O$201,4,FALSE),"")/$C119,"")</f>
        <v/>
      </c>
      <c r="AF119" s="111"/>
      <c r="AG119" s="203" t="e">
        <f>VLOOKUP($A119,INICIO_BARRA!$A$6:$R$130,9,FALSE)</f>
        <v>#N/A</v>
      </c>
      <c r="AH119" s="203" t="e">
        <f>VLOOKUP($A119,INICIO_BARRA!$A$6:$R$130,10,FALSE)</f>
        <v>#N/A</v>
      </c>
      <c r="AI119" s="11"/>
      <c r="AJ119" s="94" t="str">
        <f>IFERROR(IFERROR(IF(AI119&gt;0,"",AI119*VLOOKUP($A119,'VALOR I.'!$B$6:$K$418,10,FALSE)),"")*$C119,"")</f>
        <v/>
      </c>
      <c r="AK119" s="203" t="e">
        <f>VLOOKUP($A119,INICIO_BARRA!$A$6:$R$130,9,FALSE)</f>
        <v>#N/A</v>
      </c>
      <c r="AL119" s="203" t="e">
        <f>VLOOKUP($A119,INICIO_BARRA!$A$6:$R$130,10,FALSE)</f>
        <v>#N/A</v>
      </c>
      <c r="AM119" s="203" t="str">
        <f>IFERROR(VLOOKUP($A119,REPOSICIONES_BARRA!$A$6:$I$130,6,FALSE),"")</f>
        <v/>
      </c>
      <c r="AN119" s="315" t="e">
        <f t="shared" si="74"/>
        <v>#N/A</v>
      </c>
      <c r="AO119" s="316" t="e">
        <f t="shared" si="75"/>
        <v>#N/A</v>
      </c>
      <c r="AP119" s="317" t="str">
        <f>IFERROR(IFERROR(VLOOKUP($A119,VENTAS!$H$2:$O$201,5,FALSE),"")/$C119,"")</f>
        <v/>
      </c>
      <c r="AQ119" s="111"/>
      <c r="AR119" s="203" t="e">
        <f>VLOOKUP($A119,INICIO_BARRA!$A$6:$R$130,11,FALSE)</f>
        <v>#N/A</v>
      </c>
      <c r="AS119" s="203" t="e">
        <f>VLOOKUP($A119,INICIO_BARRA!$A$6:$R$130,12,FALSE)</f>
        <v>#N/A</v>
      </c>
      <c r="AT119" s="11"/>
      <c r="AU119" s="94" t="str">
        <f>IFERROR(IFERROR(IF(AT119&gt;0,"",AT119*VLOOKUP($A119,'VALOR I.'!$B$6:$K$418,10,FALSE)),"")*$C119,"")</f>
        <v/>
      </c>
      <c r="AV119" s="203" t="e">
        <f>VLOOKUP($A119,INICIO_BARRA!$A$6:$R$130,11,FALSE)</f>
        <v>#N/A</v>
      </c>
      <c r="AW119" s="203" t="e">
        <f>VLOOKUP($A119,INICIO_BARRA!$A$6:$R$130,12,FALSE)</f>
        <v>#N/A</v>
      </c>
      <c r="AX119" s="203" t="str">
        <f>IFERROR(VLOOKUP($A119,REPOSICIONES_BARRA!$A$6:$I$130,7,FALSE),"")</f>
        <v/>
      </c>
      <c r="AY119" s="315" t="e">
        <f t="shared" si="76"/>
        <v>#N/A</v>
      </c>
      <c r="AZ119" s="316" t="e">
        <f t="shared" si="77"/>
        <v>#N/A</v>
      </c>
      <c r="BA119" s="317" t="str">
        <f>IFERROR(IFERROR(VLOOKUP($A119,VENTAS!$H$2:$O$201,6,FALSE),"")/$C119,"")</f>
        <v/>
      </c>
      <c r="BB119" s="111"/>
      <c r="BC119" s="203" t="e">
        <f>VLOOKUP($A119,INICIO_BARRA!$A$6:$R$130,13,FALSE)</f>
        <v>#N/A</v>
      </c>
      <c r="BD119" s="203" t="e">
        <f>VLOOKUP($A119,INICIO_BARRA!$A$6:$R$130,14,FALSE)</f>
        <v>#N/A</v>
      </c>
      <c r="BE119" s="11"/>
      <c r="BF119" s="94" t="str">
        <f>IFERROR(IFERROR(IF(BE119&gt;0,"",BE119*VLOOKUP($A119,'VALOR I.'!$B$6:$K$418,10,FALSE)),"")*$C119,"")</f>
        <v/>
      </c>
      <c r="BG119" s="203" t="e">
        <f>VLOOKUP($A119,INICIO_BARRA!$A$6:$R$130,13,FALSE)</f>
        <v>#N/A</v>
      </c>
      <c r="BH119" s="203" t="e">
        <f>VLOOKUP($A119,INICIO_BARRA!$A$6:$R$130,14,FALSE)</f>
        <v>#N/A</v>
      </c>
      <c r="BI119" s="203" t="str">
        <f>IFERROR(VLOOKUP($A119,REPOSICIONES_BARRA!$A$6:$I$130,8,FALSE),"")</f>
        <v/>
      </c>
      <c r="BJ119" s="315" t="e">
        <f t="shared" si="78"/>
        <v>#N/A</v>
      </c>
      <c r="BK119" s="316" t="e">
        <f t="shared" si="79"/>
        <v>#N/A</v>
      </c>
      <c r="BL119" s="317" t="str">
        <f>IFERROR(IFERROR(VLOOKUP($A119,VENTAS!$H$2:$O$201,7,FALSE),"")/$C119,"")</f>
        <v/>
      </c>
      <c r="BM119" s="111"/>
      <c r="BN119" s="203" t="e">
        <f>VLOOKUP($A119,INICIO_BARRA!$A$6:$R$130,15,FALSE)</f>
        <v>#N/A</v>
      </c>
      <c r="BO119" s="203" t="e">
        <f>VLOOKUP($A119,INICIO_BARRA!$A$6:$R$130,16,FALSE)</f>
        <v>#N/A</v>
      </c>
      <c r="BP119" s="11"/>
      <c r="BQ119" s="94" t="str">
        <f>IFERROR(IFERROR(IF(BP119&gt;0,"",BP119*VLOOKUP($A119,'VALOR I.'!$B$6:$K$418,10,FALSE)),"")*$C119,"")</f>
        <v/>
      </c>
      <c r="BR119" s="203" t="e">
        <f>VLOOKUP($A119,INICIO_BARRA!$A$6:$R$130,15,FALSE)</f>
        <v>#N/A</v>
      </c>
      <c r="BS119" s="203" t="e">
        <f>VLOOKUP($A119,INICIO_BARRA!$A$6:$R$130,16,FALSE)</f>
        <v>#N/A</v>
      </c>
      <c r="BT119" s="203" t="str">
        <f>IFERROR(VLOOKUP($A119,REPOSICIONES_BARRA!$A$6:$I$130,9,FALSE),"")</f>
        <v/>
      </c>
      <c r="BU119" s="315" t="e">
        <f t="shared" si="82"/>
        <v>#N/A</v>
      </c>
      <c r="BV119" s="316" t="e">
        <f t="shared" si="83"/>
        <v>#N/A</v>
      </c>
      <c r="BW119" s="317" t="str">
        <f>IFERROR(IFERROR(VLOOKUP($A119,VENTAS!$H$2:$O$201,8,FALSE),"")/$C119,"")</f>
        <v/>
      </c>
      <c r="BX119" s="111"/>
      <c r="BY119" s="203" t="e">
        <f>VLOOKUP($A119,INICIO_BARRA!$A$6:$R$130,17,FALSE)</f>
        <v>#N/A</v>
      </c>
      <c r="BZ119" s="203" t="e">
        <f>VLOOKUP($A119,INICIO_BARRA!$A$6:$R$130,18,FALSE)</f>
        <v>#N/A</v>
      </c>
      <c r="CA119" s="11"/>
      <c r="CB119" s="94" t="str">
        <f>IFERROR(IFERROR(IF(CA119&gt;0,"",CA119*VLOOKUP($A119,'VALOR I.'!$B$6:$K$418,10,FALSE)),"")*$C119,"")</f>
        <v/>
      </c>
    </row>
    <row r="120" spans="1:80" s="7" customFormat="1" ht="30" hidden="1" customHeight="1" x14ac:dyDescent="0.45">
      <c r="A120" s="3"/>
      <c r="B120" s="31"/>
      <c r="C120" s="145"/>
      <c r="D120" s="203" t="e">
        <f>VLOOKUP($A120,INICIO_BARRA!$A$6:$R$130,3,FALSE)</f>
        <v>#N/A</v>
      </c>
      <c r="E120" s="203" t="e">
        <f>VLOOKUP($A120,INICIO_BARRA!$A$6:$R$130,4,FALSE)</f>
        <v>#N/A</v>
      </c>
      <c r="F120" s="203" t="str">
        <f>IFERROR(VLOOKUP($A120,REPOSICIONES_BARRA!$A$6:$I$130,3,FALSE),"")</f>
        <v/>
      </c>
      <c r="G120" s="315" t="e">
        <f t="shared" si="80"/>
        <v>#N/A</v>
      </c>
      <c r="H120" s="316" t="e">
        <f t="shared" si="81"/>
        <v>#N/A</v>
      </c>
      <c r="I120" s="317" t="str">
        <f>IFERROR(IFERROR(VLOOKUP($A120,VENTAS!$H$2:$O$201,2,FALSE),"")/$C120,"")</f>
        <v/>
      </c>
      <c r="J120" s="111"/>
      <c r="K120" s="203" t="e">
        <f>VLOOKUP($A120,INICIO_BARRA!$A$6:$R$130,5,FALSE)</f>
        <v>#N/A</v>
      </c>
      <c r="L120" s="203" t="e">
        <f>VLOOKUP($A120,INICIO_BARRA!$A$6:$R$130,6,FALSE)</f>
        <v>#N/A</v>
      </c>
      <c r="M120" s="11"/>
      <c r="N120" s="204" t="str">
        <f>IFERROR(IFERROR(IF(M120&gt;0,"",M120*VLOOKUP($A120,'VALOR I.'!$B$6:$K$418,10,FALSE)),"")*$C120,"")</f>
        <v/>
      </c>
      <c r="O120" s="203" t="e">
        <f>VLOOKUP($A120,INICIO_BARRA!$A$6:$R$130,5,FALSE)</f>
        <v>#N/A</v>
      </c>
      <c r="P120" s="203" t="e">
        <f>VLOOKUP($A120,INICIO_BARRA!$A$6:$R$130,6,FALSE)</f>
        <v>#N/A</v>
      </c>
      <c r="Q120" s="203" t="str">
        <f>IFERROR(VLOOKUP($A120,REPOSICIONES_BARRA!$A$6:$I$130,4,FALSE),"")</f>
        <v/>
      </c>
      <c r="R120" s="315" t="e">
        <f t="shared" si="70"/>
        <v>#N/A</v>
      </c>
      <c r="S120" s="316" t="e">
        <f t="shared" si="71"/>
        <v>#N/A</v>
      </c>
      <c r="T120" s="317" t="str">
        <f>IFERROR(IFERROR(VLOOKUP($A120,VENTAS!$H$2:$O$201,3,FALSE),"")/$C120,"")</f>
        <v/>
      </c>
      <c r="U120" s="111"/>
      <c r="V120" s="203" t="e">
        <f>VLOOKUP($A120,INICIO_BARRA!$A$6:$R$130,7,FALSE)</f>
        <v>#N/A</v>
      </c>
      <c r="W120" s="203" t="e">
        <f>VLOOKUP($A120,INICIO_BARRA!$A$6:$R$130,8,FALSE)</f>
        <v>#N/A</v>
      </c>
      <c r="X120" s="11"/>
      <c r="Y120" s="204" t="str">
        <f>IFERROR(IFERROR(IF(X120&gt;0,"",X120*VLOOKUP($A120,'VALOR I.'!$B$6:$K$418,10,FALSE)),"")*$C120,"")</f>
        <v/>
      </c>
      <c r="Z120" s="203" t="e">
        <f>VLOOKUP($A120,INICIO_BARRA!$A$6:$R$130,7,FALSE)</f>
        <v>#N/A</v>
      </c>
      <c r="AA120" s="203" t="e">
        <f>VLOOKUP($A120,INICIO_BARRA!$A$6:$R$130,8,FALSE)</f>
        <v>#N/A</v>
      </c>
      <c r="AB120" s="203" t="str">
        <f>IFERROR(VLOOKUP($A120,REPOSICIONES_BARRA!$A$6:$I$130,5,FALSE),"")</f>
        <v/>
      </c>
      <c r="AC120" s="315" t="e">
        <f t="shared" si="72"/>
        <v>#N/A</v>
      </c>
      <c r="AD120" s="316" t="e">
        <f t="shared" si="73"/>
        <v>#N/A</v>
      </c>
      <c r="AE120" s="317" t="str">
        <f>IFERROR(IFERROR(VLOOKUP($A120,VENTAS!$H$2:$O$201,4,FALSE),"")/$C120,"")</f>
        <v/>
      </c>
      <c r="AF120" s="111"/>
      <c r="AG120" s="203" t="e">
        <f>VLOOKUP($A120,INICIO_BARRA!$A$6:$R$130,9,FALSE)</f>
        <v>#N/A</v>
      </c>
      <c r="AH120" s="203" t="e">
        <f>VLOOKUP($A120,INICIO_BARRA!$A$6:$R$130,10,FALSE)</f>
        <v>#N/A</v>
      </c>
      <c r="AI120" s="11"/>
      <c r="AJ120" s="94" t="str">
        <f>IFERROR(IFERROR(IF(AI120&gt;0,"",AI120*VLOOKUP($A120,'VALOR I.'!$B$6:$K$418,10,FALSE)),"")*$C120,"")</f>
        <v/>
      </c>
      <c r="AK120" s="203" t="e">
        <f>VLOOKUP($A120,INICIO_BARRA!$A$6:$R$130,9,FALSE)</f>
        <v>#N/A</v>
      </c>
      <c r="AL120" s="203" t="e">
        <f>VLOOKUP($A120,INICIO_BARRA!$A$6:$R$130,10,FALSE)</f>
        <v>#N/A</v>
      </c>
      <c r="AM120" s="203" t="str">
        <f>IFERROR(VLOOKUP($A120,REPOSICIONES_BARRA!$A$6:$I$130,6,FALSE),"")</f>
        <v/>
      </c>
      <c r="AN120" s="315" t="e">
        <f t="shared" si="74"/>
        <v>#N/A</v>
      </c>
      <c r="AO120" s="316" t="e">
        <f t="shared" si="75"/>
        <v>#N/A</v>
      </c>
      <c r="AP120" s="317" t="str">
        <f>IFERROR(IFERROR(VLOOKUP($A120,VENTAS!$H$2:$O$201,5,FALSE),"")/$C120,"")</f>
        <v/>
      </c>
      <c r="AQ120" s="111"/>
      <c r="AR120" s="203" t="e">
        <f>VLOOKUP($A120,INICIO_BARRA!$A$6:$R$130,11,FALSE)</f>
        <v>#N/A</v>
      </c>
      <c r="AS120" s="203" t="e">
        <f>VLOOKUP($A120,INICIO_BARRA!$A$6:$R$130,12,FALSE)</f>
        <v>#N/A</v>
      </c>
      <c r="AT120" s="11"/>
      <c r="AU120" s="94" t="str">
        <f>IFERROR(IFERROR(IF(AT120&gt;0,"",AT120*VLOOKUP($A120,'VALOR I.'!$B$6:$K$418,10,FALSE)),"")*$C120,"")</f>
        <v/>
      </c>
      <c r="AV120" s="203" t="e">
        <f>VLOOKUP($A120,INICIO_BARRA!$A$6:$R$130,11,FALSE)</f>
        <v>#N/A</v>
      </c>
      <c r="AW120" s="203" t="e">
        <f>VLOOKUP($A120,INICIO_BARRA!$A$6:$R$130,12,FALSE)</f>
        <v>#N/A</v>
      </c>
      <c r="AX120" s="203" t="str">
        <f>IFERROR(VLOOKUP($A120,REPOSICIONES_BARRA!$A$6:$I$130,7,FALSE),"")</f>
        <v/>
      </c>
      <c r="AY120" s="315" t="e">
        <f t="shared" si="76"/>
        <v>#N/A</v>
      </c>
      <c r="AZ120" s="316" t="e">
        <f t="shared" si="77"/>
        <v>#N/A</v>
      </c>
      <c r="BA120" s="317" t="str">
        <f>IFERROR(IFERROR(VLOOKUP($A120,VENTAS!$H$2:$O$201,6,FALSE),"")/$C120,"")</f>
        <v/>
      </c>
      <c r="BB120" s="111"/>
      <c r="BC120" s="203" t="e">
        <f>VLOOKUP($A120,INICIO_BARRA!$A$6:$R$130,13,FALSE)</f>
        <v>#N/A</v>
      </c>
      <c r="BD120" s="203" t="e">
        <f>VLOOKUP($A120,INICIO_BARRA!$A$6:$R$130,14,FALSE)</f>
        <v>#N/A</v>
      </c>
      <c r="BE120" s="11"/>
      <c r="BF120" s="94" t="str">
        <f>IFERROR(IFERROR(IF(BE120&gt;0,"",BE120*VLOOKUP($A120,'VALOR I.'!$B$6:$K$418,10,FALSE)),"")*$C120,"")</f>
        <v/>
      </c>
      <c r="BG120" s="203" t="e">
        <f>VLOOKUP($A120,INICIO_BARRA!$A$6:$R$130,13,FALSE)</f>
        <v>#N/A</v>
      </c>
      <c r="BH120" s="203" t="e">
        <f>VLOOKUP($A120,INICIO_BARRA!$A$6:$R$130,14,FALSE)</f>
        <v>#N/A</v>
      </c>
      <c r="BI120" s="203" t="str">
        <f>IFERROR(VLOOKUP($A120,REPOSICIONES_BARRA!$A$6:$I$130,8,FALSE),"")</f>
        <v/>
      </c>
      <c r="BJ120" s="315" t="e">
        <f t="shared" si="78"/>
        <v>#N/A</v>
      </c>
      <c r="BK120" s="316" t="e">
        <f t="shared" si="79"/>
        <v>#N/A</v>
      </c>
      <c r="BL120" s="317" t="str">
        <f>IFERROR(IFERROR(VLOOKUP($A120,VENTAS!$H$2:$O$201,7,FALSE),"")/$C120,"")</f>
        <v/>
      </c>
      <c r="BM120" s="111"/>
      <c r="BN120" s="203" t="e">
        <f>VLOOKUP($A120,INICIO_BARRA!$A$6:$R$130,15,FALSE)</f>
        <v>#N/A</v>
      </c>
      <c r="BO120" s="203" t="e">
        <f>VLOOKUP($A120,INICIO_BARRA!$A$6:$R$130,16,FALSE)</f>
        <v>#N/A</v>
      </c>
      <c r="BP120" s="11"/>
      <c r="BQ120" s="94" t="str">
        <f>IFERROR(IFERROR(IF(BP120&gt;0,"",BP120*VLOOKUP($A120,'VALOR I.'!$B$6:$K$418,10,FALSE)),"")*$C120,"")</f>
        <v/>
      </c>
      <c r="BR120" s="203" t="e">
        <f>VLOOKUP($A120,INICIO_BARRA!$A$6:$R$130,15,FALSE)</f>
        <v>#N/A</v>
      </c>
      <c r="BS120" s="203" t="e">
        <f>VLOOKUP($A120,INICIO_BARRA!$A$6:$R$130,16,FALSE)</f>
        <v>#N/A</v>
      </c>
      <c r="BT120" s="203" t="str">
        <f>IFERROR(VLOOKUP($A120,REPOSICIONES_BARRA!$A$6:$I$130,9,FALSE),"")</f>
        <v/>
      </c>
      <c r="BU120" s="315" t="e">
        <f t="shared" si="82"/>
        <v>#N/A</v>
      </c>
      <c r="BV120" s="316" t="e">
        <f t="shared" si="83"/>
        <v>#N/A</v>
      </c>
      <c r="BW120" s="317" t="str">
        <f>IFERROR(IFERROR(VLOOKUP($A120,VENTAS!$H$2:$O$201,8,FALSE),"")/$C120,"")</f>
        <v/>
      </c>
      <c r="BX120" s="111"/>
      <c r="BY120" s="203" t="e">
        <f>VLOOKUP($A120,INICIO_BARRA!$A$6:$R$130,17,FALSE)</f>
        <v>#N/A</v>
      </c>
      <c r="BZ120" s="203" t="e">
        <f>VLOOKUP($A120,INICIO_BARRA!$A$6:$R$130,18,FALSE)</f>
        <v>#N/A</v>
      </c>
      <c r="CA120" s="11"/>
      <c r="CB120" s="94" t="str">
        <f>IFERROR(IFERROR(IF(CA120&gt;0,"",CA120*VLOOKUP($A120,'VALOR I.'!$B$6:$K$418,10,FALSE)),"")*$C120,"")</f>
        <v/>
      </c>
    </row>
    <row r="121" spans="1:80" s="7" customFormat="1" ht="30" customHeight="1" x14ac:dyDescent="0.3">
      <c r="A121" s="3" t="s">
        <v>251</v>
      </c>
      <c r="B121" s="313" t="s">
        <v>25</v>
      </c>
      <c r="C121" s="145">
        <v>75</v>
      </c>
      <c r="D121" s="203">
        <f>VLOOKUP($A121,INICIO_BARRA!$A$6:$R$130,3,FALSE)</f>
        <v>0</v>
      </c>
      <c r="E121" s="203">
        <f>VLOOKUP($A121,INICIO_BARRA!$A$6:$R$130,4,FALSE)</f>
        <v>0</v>
      </c>
      <c r="F121" s="203">
        <f>IFERROR(VLOOKUP($A121,REPOSICIONES_BARRA!$A$6:$I$130,3,FALSE),"")</f>
        <v>0</v>
      </c>
      <c r="G121" s="315">
        <f t="shared" si="80"/>
        <v>0</v>
      </c>
      <c r="H121" s="316">
        <f t="shared" si="81"/>
        <v>0</v>
      </c>
      <c r="I121" s="317">
        <f>IFERROR(IFERROR(VLOOKUP($A121,VENTAS!$H$2:$O$201,2,FALSE),"")/$C121,"")</f>
        <v>0</v>
      </c>
      <c r="J121" s="318">
        <f t="shared" si="84"/>
        <v>0</v>
      </c>
      <c r="K121" s="203">
        <f>VLOOKUP($A121,INICIO_BARRA!$A$6:$R$130,5,FALSE)</f>
        <v>1</v>
      </c>
      <c r="L121" s="203">
        <f>VLOOKUP($A121,INICIO_BARRA!$A$6:$R$130,6,FALSE)</f>
        <v>6</v>
      </c>
      <c r="M121" s="203">
        <f t="shared" si="85"/>
        <v>11</v>
      </c>
      <c r="N121" s="204" t="str">
        <f>IFERROR(IFERROR(IF(M121&gt;0,"",M121*VLOOKUP($A121,'VALOR I.'!$B$6:$K$418,10,FALSE)),"")*$C121,"")</f>
        <v/>
      </c>
      <c r="O121" s="203">
        <f>VLOOKUP($A121,INICIO_BARRA!$A$6:$R$130,5,FALSE)</f>
        <v>1</v>
      </c>
      <c r="P121" s="203">
        <f>VLOOKUP($A121,INICIO_BARRA!$A$6:$R$130,6,FALSE)</f>
        <v>6</v>
      </c>
      <c r="Q121" s="203">
        <f>IFERROR(VLOOKUP($A121,REPOSICIONES_BARRA!$A$6:$I$130,4,FALSE),"")</f>
        <v>0</v>
      </c>
      <c r="R121" s="315">
        <f t="shared" si="70"/>
        <v>1</v>
      </c>
      <c r="S121" s="316">
        <f t="shared" si="71"/>
        <v>6</v>
      </c>
      <c r="T121" s="317">
        <f>IFERROR(IFERROR(VLOOKUP($A121,VENTAS!$H$2:$O$201,3,FALSE),"")/$C121,"")</f>
        <v>0</v>
      </c>
      <c r="U121" s="318">
        <f t="shared" ref="U121" si="126">IFERROR(((R121*5)+S121)-T121,"")</f>
        <v>11</v>
      </c>
      <c r="V121" s="203">
        <f>VLOOKUP($A121,INICIO_BARRA!$A$6:$R$130,7,FALSE)</f>
        <v>1</v>
      </c>
      <c r="W121" s="203">
        <f>VLOOKUP($A121,INICIO_BARRA!$A$6:$R$130,8,FALSE)</f>
        <v>6</v>
      </c>
      <c r="X121" s="203">
        <f t="shared" ref="X121" si="127">IFERROR(((V121*5)+W121)-U121,"")</f>
        <v>0</v>
      </c>
      <c r="Y121" s="204">
        <f>IFERROR(IFERROR(IF(X121&gt;0,"",X121*VLOOKUP($A121,'VALOR I.'!$B$6:$K$418,10,FALSE)),"")*$C121,"")</f>
        <v>0</v>
      </c>
      <c r="Z121" s="203">
        <f>VLOOKUP($A121,INICIO_BARRA!$A$6:$R$130,7,FALSE)</f>
        <v>1</v>
      </c>
      <c r="AA121" s="203">
        <f>VLOOKUP($A121,INICIO_BARRA!$A$6:$R$130,8,FALSE)</f>
        <v>6</v>
      </c>
      <c r="AB121" s="203">
        <f>IFERROR(VLOOKUP($A121,REPOSICIONES_BARRA!$A$6:$I$130,5,FALSE),"")</f>
        <v>0</v>
      </c>
      <c r="AC121" s="315">
        <f t="shared" si="72"/>
        <v>1</v>
      </c>
      <c r="AD121" s="316">
        <f t="shared" si="73"/>
        <v>6</v>
      </c>
      <c r="AE121" s="317">
        <f>IFERROR(IFERROR(VLOOKUP($A121,VENTAS!$H$2:$O$201,4,FALSE),"")/$C121,"")</f>
        <v>2</v>
      </c>
      <c r="AF121" s="318">
        <f t="shared" ref="AF121" si="128">IFERROR(((AC121*5)+AD121)-AE121,"")</f>
        <v>9</v>
      </c>
      <c r="AG121" s="203">
        <f>VLOOKUP($A121,INICIO_BARRA!$A$6:$R$130,9,FALSE)</f>
        <v>1</v>
      </c>
      <c r="AH121" s="203">
        <f>VLOOKUP($A121,INICIO_BARRA!$A$6:$R$130,10,FALSE)</f>
        <v>2</v>
      </c>
      <c r="AI121" s="203">
        <f t="shared" ref="AI121" si="129">IFERROR(((AG121*5)+AH121)-AF121,"")</f>
        <v>-2</v>
      </c>
      <c r="AJ121" s="204">
        <f>IFERROR(IFERROR(IF(AI121&gt;0,"",AI121*VLOOKUP($A121,'VALOR I.'!$B$6:$K$418,10,FALSE)),"")*$C121,"")</f>
        <v>-2179.5410000000002</v>
      </c>
      <c r="AK121" s="203">
        <f>VLOOKUP($A121,INICIO_BARRA!$A$6:$R$130,9,FALSE)</f>
        <v>1</v>
      </c>
      <c r="AL121" s="203">
        <f>VLOOKUP($A121,INICIO_BARRA!$A$6:$R$130,10,FALSE)</f>
        <v>2</v>
      </c>
      <c r="AM121" s="203">
        <f>IFERROR(VLOOKUP($A121,REPOSICIONES_BARRA!$A$6:$I$130,6,FALSE),"")</f>
        <v>0</v>
      </c>
      <c r="AN121" s="315">
        <f t="shared" si="74"/>
        <v>1</v>
      </c>
      <c r="AO121" s="316">
        <f t="shared" si="75"/>
        <v>2</v>
      </c>
      <c r="AP121" s="317">
        <f>IFERROR(IFERROR(VLOOKUP($A121,VENTAS!$H$2:$O$201,5,FALSE),"")/$C121,"")</f>
        <v>0</v>
      </c>
      <c r="AQ121" s="318">
        <f t="shared" ref="AQ121" si="130">IFERROR(((AN121*5)+AO121)-AP121,"")</f>
        <v>7</v>
      </c>
      <c r="AR121" s="203">
        <f>VLOOKUP($A121,INICIO_BARRA!$A$6:$R$130,11,FALSE)</f>
        <v>1</v>
      </c>
      <c r="AS121" s="203">
        <f>VLOOKUP($A121,INICIO_BARRA!$A$6:$R$130,12,FALSE)</f>
        <v>2</v>
      </c>
      <c r="AT121" s="203">
        <f t="shared" ref="AT121" si="131">IFERROR(((AR121*5)+AS121)-AQ121,"")</f>
        <v>0</v>
      </c>
      <c r="AU121" s="204">
        <f>IFERROR(IFERROR(IF(AT121&gt;0,"",AT121*VLOOKUP($A121,'VALOR I.'!$B$6:$K$418,10,FALSE)),"")*$C121,"")</f>
        <v>0</v>
      </c>
      <c r="AV121" s="203">
        <f>VLOOKUP($A121,INICIO_BARRA!$A$6:$R$130,11,FALSE)</f>
        <v>1</v>
      </c>
      <c r="AW121" s="203">
        <f>VLOOKUP($A121,INICIO_BARRA!$A$6:$R$130,12,FALSE)</f>
        <v>2</v>
      </c>
      <c r="AX121" s="203">
        <f>IFERROR(VLOOKUP($A121,REPOSICIONES_BARRA!$A$6:$I$130,7,FALSE),"")</f>
        <v>0</v>
      </c>
      <c r="AY121" s="315">
        <f t="shared" si="76"/>
        <v>1</v>
      </c>
      <c r="AZ121" s="316">
        <f t="shared" si="77"/>
        <v>2</v>
      </c>
      <c r="BA121" s="317">
        <f>IFERROR(IFERROR(VLOOKUP($A121,VENTAS!$H$2:$O$201,6,FALSE),"")/$C121,"")</f>
        <v>1</v>
      </c>
      <c r="BB121" s="318">
        <f t="shared" ref="BB121" si="132">IFERROR(((AY121*5)+AZ121)-BA121,"")</f>
        <v>6</v>
      </c>
      <c r="BC121" s="203">
        <f>VLOOKUP($A121,INICIO_BARRA!$A$6:$R$130,13,FALSE)</f>
        <v>1</v>
      </c>
      <c r="BD121" s="203">
        <f>VLOOKUP($A121,INICIO_BARRA!$A$6:$R$130,14,FALSE)</f>
        <v>2</v>
      </c>
      <c r="BE121" s="203">
        <f t="shared" ref="BE121" si="133">IFERROR(((BC121*5)+BD121)-BB121,"")</f>
        <v>1</v>
      </c>
      <c r="BF121" s="204" t="str">
        <f>IFERROR(IFERROR(IF(BE121&gt;0,"",BE121*VLOOKUP($A121,'VALOR I.'!$B$6:$K$418,10,FALSE)),"")*$C121,"")</f>
        <v/>
      </c>
      <c r="BG121" s="203">
        <f>VLOOKUP($A121,INICIO_BARRA!$A$6:$R$130,13,FALSE)</f>
        <v>1</v>
      </c>
      <c r="BH121" s="203">
        <f>VLOOKUP($A121,INICIO_BARRA!$A$6:$R$130,14,FALSE)</f>
        <v>2</v>
      </c>
      <c r="BI121" s="203">
        <f>IFERROR(VLOOKUP($A121,REPOSICIONES_BARRA!$A$6:$I$130,8,FALSE),"")</f>
        <v>0</v>
      </c>
      <c r="BJ121" s="315">
        <f t="shared" si="78"/>
        <v>1</v>
      </c>
      <c r="BK121" s="316">
        <f t="shared" si="79"/>
        <v>2</v>
      </c>
      <c r="BL121" s="317">
        <f>IFERROR(IFERROR(VLOOKUP($A121,VENTAS!$H$2:$O$201,7,FALSE),"")/$C121,"")</f>
        <v>0</v>
      </c>
      <c r="BM121" s="318">
        <f t="shared" ref="BM121" si="134">IFERROR(((BJ121*5)+BK121)-BL121,"")</f>
        <v>7</v>
      </c>
      <c r="BN121" s="203">
        <f>VLOOKUP($A121,INICIO_BARRA!$A$6:$R$130,15,FALSE)</f>
        <v>1</v>
      </c>
      <c r="BO121" s="203">
        <f>VLOOKUP($A121,INICIO_BARRA!$A$6:$R$130,16,FALSE)</f>
        <v>1</v>
      </c>
      <c r="BP121" s="203">
        <f t="shared" ref="BP121" si="135">IFERROR(((BN121*5)+BO121)-BM121,"")</f>
        <v>-1</v>
      </c>
      <c r="BQ121" s="204">
        <f>IFERROR(IFERROR(IF(BP121&gt;0,"",BP121*VLOOKUP($A121,'VALOR I.'!$B$6:$K$418,10,FALSE)),"")*$C121,"")</f>
        <v>-1089.7705000000001</v>
      </c>
      <c r="BR121" s="203"/>
      <c r="BS121" s="203"/>
      <c r="BT121" s="203"/>
      <c r="BU121" s="315"/>
      <c r="BV121" s="316"/>
      <c r="BW121" s="317"/>
      <c r="BX121" s="318"/>
      <c r="BY121" s="203"/>
      <c r="BZ121" s="203"/>
      <c r="CA121" s="203"/>
      <c r="CB121" s="204"/>
    </row>
    <row r="122" spans="1:80" s="7" customFormat="1" ht="30" customHeight="1" x14ac:dyDescent="0.3">
      <c r="A122" s="3"/>
      <c r="B122" s="312" t="s">
        <v>38</v>
      </c>
      <c r="C122" s="144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</row>
    <row r="123" spans="1:80" s="7" customFormat="1" ht="30" hidden="1" customHeight="1" x14ac:dyDescent="0.45">
      <c r="A123" s="3"/>
      <c r="B123" s="32"/>
      <c r="C123" s="146"/>
      <c r="D123" s="203" t="e">
        <f>VLOOKUP($A123,INICIO_BARRA!$A$6:$R$130,3,FALSE)</f>
        <v>#N/A</v>
      </c>
      <c r="E123" s="203" t="e">
        <f>VLOOKUP($A123,INICIO_BARRA!$A$6:$R$130,4,FALSE)</f>
        <v>#N/A</v>
      </c>
      <c r="F123" s="203" t="str">
        <f>IFERROR(VLOOKUP($A123,REPOSICIONES_BARRA!$A$6:$I$130,3,FALSE),"")</f>
        <v/>
      </c>
      <c r="G123" s="315" t="e">
        <f t="shared" si="80"/>
        <v>#N/A</v>
      </c>
      <c r="H123" s="316" t="e">
        <f t="shared" si="81"/>
        <v>#N/A</v>
      </c>
      <c r="I123" s="317" t="str">
        <f>IFERROR(IFERROR(VLOOKUP($A123,VENTAS!$H$2:$O$201,2,FALSE),"")/$C123,"")</f>
        <v/>
      </c>
      <c r="J123" s="111"/>
      <c r="K123" s="203" t="e">
        <f>VLOOKUP($A123,INICIO_BARRA!$A$6:$R$130,5,FALSE)</f>
        <v>#N/A</v>
      </c>
      <c r="L123" s="203" t="e">
        <f>VLOOKUP($A123,INICIO_BARRA!$A$6:$R$130,6,FALSE)</f>
        <v>#N/A</v>
      </c>
      <c r="M123" s="11"/>
      <c r="N123" s="204" t="str">
        <f>IFERROR(IFERROR(IF(M123&gt;0,"",M123*VLOOKUP($A123,'VALOR I.'!$B$6:$K$418,10,FALSE)),"")*$C123,"")</f>
        <v/>
      </c>
      <c r="O123" s="203" t="e">
        <f>VLOOKUP($A123,INICIO_BARRA!$A$6:$R$130,5,FALSE)</f>
        <v>#N/A</v>
      </c>
      <c r="P123" s="203" t="e">
        <f>VLOOKUP($A123,INICIO_BARRA!$A$6:$R$130,6,FALSE)</f>
        <v>#N/A</v>
      </c>
      <c r="Q123" s="203" t="str">
        <f>IFERROR(VLOOKUP($A123,REPOSICIONES_BARRA!$A$6:$I$130,4,FALSE),"")</f>
        <v/>
      </c>
      <c r="R123" s="315" t="e">
        <f t="shared" si="70"/>
        <v>#N/A</v>
      </c>
      <c r="S123" s="316" t="e">
        <f t="shared" si="71"/>
        <v>#N/A</v>
      </c>
      <c r="T123" s="317" t="str">
        <f>IFERROR(IFERROR(VLOOKUP($A123,VENTAS!$H$2:$O$201,3,FALSE),"")/$C123,"")</f>
        <v/>
      </c>
      <c r="U123" s="111"/>
      <c r="V123" s="203" t="e">
        <f>VLOOKUP($A123,INICIO_BARRA!$A$6:$R$130,7,FALSE)</f>
        <v>#N/A</v>
      </c>
      <c r="W123" s="203" t="e">
        <f>VLOOKUP($A123,INICIO_BARRA!$A$6:$R$130,8,FALSE)</f>
        <v>#N/A</v>
      </c>
      <c r="X123" s="11"/>
      <c r="Y123" s="204" t="str">
        <f>IFERROR(IFERROR(IF(X123&gt;0,"",X123*VLOOKUP($A123,'VALOR I.'!$B$6:$K$418,10,FALSE)),"")*$C123,"")</f>
        <v/>
      </c>
      <c r="Z123" s="203" t="e">
        <f>VLOOKUP($A123,INICIO_BARRA!$A$6:$R$130,7,FALSE)</f>
        <v>#N/A</v>
      </c>
      <c r="AA123" s="203" t="e">
        <f>VLOOKUP($A123,INICIO_BARRA!$A$6:$R$130,8,FALSE)</f>
        <v>#N/A</v>
      </c>
      <c r="AB123" s="203" t="str">
        <f>IFERROR(VLOOKUP($A123,REPOSICIONES_BARRA!$A$6:$I$130,5,FALSE),"")</f>
        <v/>
      </c>
      <c r="AC123" s="315" t="e">
        <f t="shared" si="72"/>
        <v>#N/A</v>
      </c>
      <c r="AD123" s="316" t="e">
        <f t="shared" si="73"/>
        <v>#N/A</v>
      </c>
      <c r="AE123" s="317" t="str">
        <f>IFERROR(IFERROR(VLOOKUP($A123,VENTAS!$H$2:$O$201,4,FALSE),"")/$C123,"")</f>
        <v/>
      </c>
      <c r="AF123" s="111"/>
      <c r="AG123" s="203" t="e">
        <f>VLOOKUP($A123,INICIO_BARRA!$A$6:$R$130,9,FALSE)</f>
        <v>#N/A</v>
      </c>
      <c r="AH123" s="203" t="e">
        <f>VLOOKUP($A123,INICIO_BARRA!$A$6:$R$130,10,FALSE)</f>
        <v>#N/A</v>
      </c>
      <c r="AI123" s="11"/>
      <c r="AJ123" s="94" t="str">
        <f>IFERROR(IFERROR(IF(AI123&gt;0,"",AI123*VLOOKUP($A123,'VALOR I.'!$B$6:$K$418,10,FALSE)),"")*$C123,"")</f>
        <v/>
      </c>
      <c r="AK123" s="203" t="e">
        <f>VLOOKUP($A123,INICIO_BARRA!$A$6:$R$130,9,FALSE)</f>
        <v>#N/A</v>
      </c>
      <c r="AL123" s="203" t="e">
        <f>VLOOKUP($A123,INICIO_BARRA!$A$6:$R$130,10,FALSE)</f>
        <v>#N/A</v>
      </c>
      <c r="AM123" s="203" t="str">
        <f>IFERROR(VLOOKUP($A123,REPOSICIONES_BARRA!$A$6:$I$130,6,FALSE),"")</f>
        <v/>
      </c>
      <c r="AN123" s="315" t="e">
        <f t="shared" si="74"/>
        <v>#N/A</v>
      </c>
      <c r="AO123" s="316" t="e">
        <f t="shared" si="75"/>
        <v>#N/A</v>
      </c>
      <c r="AP123" s="317" t="str">
        <f>IFERROR(IFERROR(VLOOKUP($A123,VENTAS!$H$2:$O$201,5,FALSE),"")/$C123,"")</f>
        <v/>
      </c>
      <c r="AQ123" s="111"/>
      <c r="AR123" s="203" t="e">
        <f>VLOOKUP($A123,INICIO_BARRA!$A$6:$R$130,11,FALSE)</f>
        <v>#N/A</v>
      </c>
      <c r="AS123" s="203" t="e">
        <f>VLOOKUP($A123,INICIO_BARRA!$A$6:$R$130,12,FALSE)</f>
        <v>#N/A</v>
      </c>
      <c r="AT123" s="11"/>
      <c r="AU123" s="94" t="str">
        <f>IFERROR(IFERROR(IF(AT123&gt;0,"",AT123*VLOOKUP($A123,'VALOR I.'!$B$6:$K$418,10,FALSE)),"")*$C123,"")</f>
        <v/>
      </c>
      <c r="AV123" s="203" t="e">
        <f>VLOOKUP($A123,INICIO_BARRA!$A$6:$R$130,11,FALSE)</f>
        <v>#N/A</v>
      </c>
      <c r="AW123" s="203" t="e">
        <f>VLOOKUP($A123,INICIO_BARRA!$A$6:$R$130,12,FALSE)</f>
        <v>#N/A</v>
      </c>
      <c r="AX123" s="203" t="str">
        <f>IFERROR(VLOOKUP($A123,REPOSICIONES_BARRA!$A$6:$I$130,7,FALSE),"")</f>
        <v/>
      </c>
      <c r="AY123" s="315" t="e">
        <f t="shared" si="76"/>
        <v>#N/A</v>
      </c>
      <c r="AZ123" s="316" t="e">
        <f t="shared" si="77"/>
        <v>#N/A</v>
      </c>
      <c r="BA123" s="317" t="str">
        <f>IFERROR(IFERROR(VLOOKUP($A123,VENTAS!$H$2:$O$201,6,FALSE),"")/$C123,"")</f>
        <v/>
      </c>
      <c r="BB123" s="111"/>
      <c r="BC123" s="203" t="e">
        <f>VLOOKUP($A123,INICIO_BARRA!$A$6:$R$130,13,FALSE)</f>
        <v>#N/A</v>
      </c>
      <c r="BD123" s="203" t="e">
        <f>VLOOKUP($A123,INICIO_BARRA!$A$6:$R$130,14,FALSE)</f>
        <v>#N/A</v>
      </c>
      <c r="BE123" s="11"/>
      <c r="BF123" s="94" t="str">
        <f>IFERROR(IFERROR(IF(BE123&gt;0,"",BE123*VLOOKUP($A123,'VALOR I.'!$B$6:$K$418,10,FALSE)),"")*$C123,"")</f>
        <v/>
      </c>
      <c r="BG123" s="203" t="e">
        <f>VLOOKUP($A123,INICIO_BARRA!$A$6:$R$130,13,FALSE)</f>
        <v>#N/A</v>
      </c>
      <c r="BH123" s="203" t="e">
        <f>VLOOKUP($A123,INICIO_BARRA!$A$6:$R$130,14,FALSE)</f>
        <v>#N/A</v>
      </c>
      <c r="BI123" s="203" t="str">
        <f>IFERROR(VLOOKUP($A123,REPOSICIONES_BARRA!$A$6:$I$130,8,FALSE),"")</f>
        <v/>
      </c>
      <c r="BJ123" s="315" t="e">
        <f t="shared" si="78"/>
        <v>#N/A</v>
      </c>
      <c r="BK123" s="316" t="e">
        <f t="shared" si="79"/>
        <v>#N/A</v>
      </c>
      <c r="BL123" s="317" t="str">
        <f>IFERROR(IFERROR(VLOOKUP($A123,VENTAS!$H$2:$O$201,7,FALSE),"")/$C123,"")</f>
        <v/>
      </c>
      <c r="BM123" s="111"/>
      <c r="BN123" s="203" t="e">
        <f>VLOOKUP($A123,INICIO_BARRA!$A$6:$R$130,15,FALSE)</f>
        <v>#N/A</v>
      </c>
      <c r="BO123" s="203" t="e">
        <f>VLOOKUP($A123,INICIO_BARRA!$A$6:$R$130,16,FALSE)</f>
        <v>#N/A</v>
      </c>
      <c r="BP123" s="11"/>
      <c r="BQ123" s="94" t="str">
        <f>IFERROR(IFERROR(IF(BP123&gt;0,"",BP123*VLOOKUP($A123,'VALOR I.'!$B$6:$K$418,10,FALSE)),"")*$C123,"")</f>
        <v/>
      </c>
      <c r="BR123" s="203" t="e">
        <f>VLOOKUP($A123,INICIO_BARRA!$A$6:$R$130,15,FALSE)</f>
        <v>#N/A</v>
      </c>
      <c r="BS123" s="203" t="e">
        <f>VLOOKUP($A123,INICIO_BARRA!$A$6:$R$130,16,FALSE)</f>
        <v>#N/A</v>
      </c>
      <c r="BT123" s="203" t="str">
        <f>IFERROR(VLOOKUP($A123,REPOSICIONES_BARRA!$A$6:$I$130,9,FALSE),"")</f>
        <v/>
      </c>
      <c r="BU123" s="315" t="e">
        <f t="shared" si="82"/>
        <v>#N/A</v>
      </c>
      <c r="BV123" s="316" t="e">
        <f t="shared" si="83"/>
        <v>#N/A</v>
      </c>
      <c r="BW123" s="317" t="str">
        <f>IFERROR(IFERROR(VLOOKUP($A123,VENTAS!$H$2:$O$201,8,FALSE),"")/$C123,"")</f>
        <v/>
      </c>
      <c r="BX123" s="111"/>
      <c r="BY123" s="203" t="e">
        <f>VLOOKUP($A123,INICIO_BARRA!$A$6:$R$130,17,FALSE)</f>
        <v>#N/A</v>
      </c>
      <c r="BZ123" s="203" t="e">
        <f>VLOOKUP($A123,INICIO_BARRA!$A$6:$R$130,18,FALSE)</f>
        <v>#N/A</v>
      </c>
      <c r="CA123" s="11"/>
      <c r="CB123" s="94" t="str">
        <f>IFERROR(IFERROR(IF(CA123&gt;0,"",CA123*VLOOKUP($A123,'VALOR I.'!$B$6:$K$418,10,FALSE)),"")*$C123,"")</f>
        <v/>
      </c>
    </row>
    <row r="124" spans="1:80" s="7" customFormat="1" ht="30" hidden="1" customHeight="1" x14ac:dyDescent="0.45">
      <c r="A124" s="3"/>
      <c r="B124" s="32"/>
      <c r="C124" s="146"/>
      <c r="D124" s="203" t="e">
        <f>VLOOKUP($A124,INICIO_BARRA!$A$6:$R$130,3,FALSE)</f>
        <v>#N/A</v>
      </c>
      <c r="E124" s="203" t="e">
        <f>VLOOKUP($A124,INICIO_BARRA!$A$6:$R$130,4,FALSE)</f>
        <v>#N/A</v>
      </c>
      <c r="F124" s="203" t="str">
        <f>IFERROR(VLOOKUP($A124,REPOSICIONES_BARRA!$A$6:$I$130,3,FALSE),"")</f>
        <v/>
      </c>
      <c r="G124" s="315" t="e">
        <f t="shared" si="80"/>
        <v>#N/A</v>
      </c>
      <c r="H124" s="316" t="e">
        <f t="shared" si="81"/>
        <v>#N/A</v>
      </c>
      <c r="I124" s="317" t="str">
        <f>IFERROR(IFERROR(VLOOKUP($A124,VENTAS!$H$2:$O$201,2,FALSE),"")/$C124,"")</f>
        <v/>
      </c>
      <c r="J124" s="111"/>
      <c r="K124" s="203" t="e">
        <f>VLOOKUP($A124,INICIO_BARRA!$A$6:$R$130,5,FALSE)</f>
        <v>#N/A</v>
      </c>
      <c r="L124" s="203" t="e">
        <f>VLOOKUP($A124,INICIO_BARRA!$A$6:$R$130,6,FALSE)</f>
        <v>#N/A</v>
      </c>
      <c r="M124" s="11"/>
      <c r="N124" s="204" t="str">
        <f>IFERROR(IFERROR(IF(M124&gt;0,"",M124*VLOOKUP($A124,'VALOR I.'!$B$6:$K$418,10,FALSE)),"")*$C124,"")</f>
        <v/>
      </c>
      <c r="O124" s="203" t="e">
        <f>VLOOKUP($A124,INICIO_BARRA!$A$6:$R$130,5,FALSE)</f>
        <v>#N/A</v>
      </c>
      <c r="P124" s="203" t="e">
        <f>VLOOKUP($A124,INICIO_BARRA!$A$6:$R$130,6,FALSE)</f>
        <v>#N/A</v>
      </c>
      <c r="Q124" s="203" t="str">
        <f>IFERROR(VLOOKUP($A124,REPOSICIONES_BARRA!$A$6:$I$130,4,FALSE),"")</f>
        <v/>
      </c>
      <c r="R124" s="315" t="e">
        <f t="shared" si="70"/>
        <v>#N/A</v>
      </c>
      <c r="S124" s="316" t="e">
        <f t="shared" si="71"/>
        <v>#N/A</v>
      </c>
      <c r="T124" s="317" t="str">
        <f>IFERROR(IFERROR(VLOOKUP($A124,VENTAS!$H$2:$O$201,3,FALSE),"")/$C124,"")</f>
        <v/>
      </c>
      <c r="U124" s="111"/>
      <c r="V124" s="203" t="e">
        <f>VLOOKUP($A124,INICIO_BARRA!$A$6:$R$130,7,FALSE)</f>
        <v>#N/A</v>
      </c>
      <c r="W124" s="203" t="e">
        <f>VLOOKUP($A124,INICIO_BARRA!$A$6:$R$130,8,FALSE)</f>
        <v>#N/A</v>
      </c>
      <c r="X124" s="11"/>
      <c r="Y124" s="204" t="str">
        <f>IFERROR(IFERROR(IF(X124&gt;0,"",X124*VLOOKUP($A124,'VALOR I.'!$B$6:$K$418,10,FALSE)),"")*$C124,"")</f>
        <v/>
      </c>
      <c r="Z124" s="203" t="e">
        <f>VLOOKUP($A124,INICIO_BARRA!$A$6:$R$130,7,FALSE)</f>
        <v>#N/A</v>
      </c>
      <c r="AA124" s="203" t="e">
        <f>VLOOKUP($A124,INICIO_BARRA!$A$6:$R$130,8,FALSE)</f>
        <v>#N/A</v>
      </c>
      <c r="AB124" s="203" t="str">
        <f>IFERROR(VLOOKUP($A124,REPOSICIONES_BARRA!$A$6:$I$130,5,FALSE),"")</f>
        <v/>
      </c>
      <c r="AC124" s="315" t="e">
        <f t="shared" si="72"/>
        <v>#N/A</v>
      </c>
      <c r="AD124" s="316" t="e">
        <f t="shared" si="73"/>
        <v>#N/A</v>
      </c>
      <c r="AE124" s="317" t="str">
        <f>IFERROR(IFERROR(VLOOKUP($A124,VENTAS!$H$2:$O$201,4,FALSE),"")/$C124,"")</f>
        <v/>
      </c>
      <c r="AF124" s="111"/>
      <c r="AG124" s="203" t="e">
        <f>VLOOKUP($A124,INICIO_BARRA!$A$6:$R$130,9,FALSE)</f>
        <v>#N/A</v>
      </c>
      <c r="AH124" s="203" t="e">
        <f>VLOOKUP($A124,INICIO_BARRA!$A$6:$R$130,10,FALSE)</f>
        <v>#N/A</v>
      </c>
      <c r="AI124" s="11"/>
      <c r="AJ124" s="94" t="str">
        <f>IFERROR(IFERROR(IF(AI124&gt;0,"",AI124*VLOOKUP($A124,'VALOR I.'!$B$6:$K$418,10,FALSE)),"")*$C124,"")</f>
        <v/>
      </c>
      <c r="AK124" s="203" t="e">
        <f>VLOOKUP($A124,INICIO_BARRA!$A$6:$R$130,9,FALSE)</f>
        <v>#N/A</v>
      </c>
      <c r="AL124" s="203" t="e">
        <f>VLOOKUP($A124,INICIO_BARRA!$A$6:$R$130,10,FALSE)</f>
        <v>#N/A</v>
      </c>
      <c r="AM124" s="203" t="str">
        <f>IFERROR(VLOOKUP($A124,REPOSICIONES_BARRA!$A$6:$I$130,6,FALSE),"")</f>
        <v/>
      </c>
      <c r="AN124" s="315" t="e">
        <f t="shared" si="74"/>
        <v>#N/A</v>
      </c>
      <c r="AO124" s="316" t="e">
        <f t="shared" si="75"/>
        <v>#N/A</v>
      </c>
      <c r="AP124" s="317" t="str">
        <f>IFERROR(IFERROR(VLOOKUP($A124,VENTAS!$H$2:$O$201,5,FALSE),"")/$C124,"")</f>
        <v/>
      </c>
      <c r="AQ124" s="111"/>
      <c r="AR124" s="203" t="e">
        <f>VLOOKUP($A124,INICIO_BARRA!$A$6:$R$130,11,FALSE)</f>
        <v>#N/A</v>
      </c>
      <c r="AS124" s="203" t="e">
        <f>VLOOKUP($A124,INICIO_BARRA!$A$6:$R$130,12,FALSE)</f>
        <v>#N/A</v>
      </c>
      <c r="AT124" s="11"/>
      <c r="AU124" s="94" t="str">
        <f>IFERROR(IFERROR(IF(AT124&gt;0,"",AT124*VLOOKUP($A124,'VALOR I.'!$B$6:$K$418,10,FALSE)),"")*$C124,"")</f>
        <v/>
      </c>
      <c r="AV124" s="203" t="e">
        <f>VLOOKUP($A124,INICIO_BARRA!$A$6:$R$130,11,FALSE)</f>
        <v>#N/A</v>
      </c>
      <c r="AW124" s="203" t="e">
        <f>VLOOKUP($A124,INICIO_BARRA!$A$6:$R$130,12,FALSE)</f>
        <v>#N/A</v>
      </c>
      <c r="AX124" s="203" t="str">
        <f>IFERROR(VLOOKUP($A124,REPOSICIONES_BARRA!$A$6:$I$130,7,FALSE),"")</f>
        <v/>
      </c>
      <c r="AY124" s="315" t="e">
        <f t="shared" si="76"/>
        <v>#N/A</v>
      </c>
      <c r="AZ124" s="316" t="e">
        <f t="shared" si="77"/>
        <v>#N/A</v>
      </c>
      <c r="BA124" s="317" t="str">
        <f>IFERROR(IFERROR(VLOOKUP($A124,VENTAS!$H$2:$O$201,6,FALSE),"")/$C124,"")</f>
        <v/>
      </c>
      <c r="BB124" s="111"/>
      <c r="BC124" s="203" t="e">
        <f>VLOOKUP($A124,INICIO_BARRA!$A$6:$R$130,13,FALSE)</f>
        <v>#N/A</v>
      </c>
      <c r="BD124" s="203" t="e">
        <f>VLOOKUP($A124,INICIO_BARRA!$A$6:$R$130,14,FALSE)</f>
        <v>#N/A</v>
      </c>
      <c r="BE124" s="11"/>
      <c r="BF124" s="94" t="str">
        <f>IFERROR(IFERROR(IF(BE124&gt;0,"",BE124*VLOOKUP($A124,'VALOR I.'!$B$6:$K$418,10,FALSE)),"")*$C124,"")</f>
        <v/>
      </c>
      <c r="BG124" s="203" t="e">
        <f>VLOOKUP($A124,INICIO_BARRA!$A$6:$R$130,13,FALSE)</f>
        <v>#N/A</v>
      </c>
      <c r="BH124" s="203" t="e">
        <f>VLOOKUP($A124,INICIO_BARRA!$A$6:$R$130,14,FALSE)</f>
        <v>#N/A</v>
      </c>
      <c r="BI124" s="203" t="str">
        <f>IFERROR(VLOOKUP($A124,REPOSICIONES_BARRA!$A$6:$I$130,8,FALSE),"")</f>
        <v/>
      </c>
      <c r="BJ124" s="315" t="e">
        <f t="shared" si="78"/>
        <v>#N/A</v>
      </c>
      <c r="BK124" s="316" t="e">
        <f t="shared" si="79"/>
        <v>#N/A</v>
      </c>
      <c r="BL124" s="317" t="str">
        <f>IFERROR(IFERROR(VLOOKUP($A124,VENTAS!$H$2:$O$201,7,FALSE),"")/$C124,"")</f>
        <v/>
      </c>
      <c r="BM124" s="111"/>
      <c r="BN124" s="203" t="e">
        <f>VLOOKUP($A124,INICIO_BARRA!$A$6:$R$130,15,FALSE)</f>
        <v>#N/A</v>
      </c>
      <c r="BO124" s="203" t="e">
        <f>VLOOKUP($A124,INICIO_BARRA!$A$6:$R$130,16,FALSE)</f>
        <v>#N/A</v>
      </c>
      <c r="BP124" s="11"/>
      <c r="BQ124" s="94" t="str">
        <f>IFERROR(IFERROR(IF(BP124&gt;0,"",BP124*VLOOKUP($A124,'VALOR I.'!$B$6:$K$418,10,FALSE)),"")*$C124,"")</f>
        <v/>
      </c>
      <c r="BR124" s="203" t="e">
        <f>VLOOKUP($A124,INICIO_BARRA!$A$6:$R$130,15,FALSE)</f>
        <v>#N/A</v>
      </c>
      <c r="BS124" s="203" t="e">
        <f>VLOOKUP($A124,INICIO_BARRA!$A$6:$R$130,16,FALSE)</f>
        <v>#N/A</v>
      </c>
      <c r="BT124" s="203" t="str">
        <f>IFERROR(VLOOKUP($A124,REPOSICIONES_BARRA!$A$6:$I$130,9,FALSE),"")</f>
        <v/>
      </c>
      <c r="BU124" s="315" t="e">
        <f t="shared" si="82"/>
        <v>#N/A</v>
      </c>
      <c r="BV124" s="316" t="e">
        <f t="shared" si="83"/>
        <v>#N/A</v>
      </c>
      <c r="BW124" s="317" t="str">
        <f>IFERROR(IFERROR(VLOOKUP($A124,VENTAS!$H$2:$O$201,8,FALSE),"")/$C124,"")</f>
        <v/>
      </c>
      <c r="BX124" s="111"/>
      <c r="BY124" s="203" t="e">
        <f>VLOOKUP($A124,INICIO_BARRA!$A$6:$R$130,17,FALSE)</f>
        <v>#N/A</v>
      </c>
      <c r="BZ124" s="203" t="e">
        <f>VLOOKUP($A124,INICIO_BARRA!$A$6:$R$130,18,FALSE)</f>
        <v>#N/A</v>
      </c>
      <c r="CA124" s="11"/>
      <c r="CB124" s="94" t="str">
        <f>IFERROR(IFERROR(IF(CA124&gt;0,"",CA124*VLOOKUP($A124,'VALOR I.'!$B$6:$K$418,10,FALSE)),"")*$C124,"")</f>
        <v/>
      </c>
    </row>
    <row r="125" spans="1:80" s="7" customFormat="1" ht="30" customHeight="1" x14ac:dyDescent="0.3">
      <c r="A125" s="3" t="s">
        <v>256</v>
      </c>
      <c r="B125" s="314" t="s">
        <v>52</v>
      </c>
      <c r="C125" s="146">
        <v>75</v>
      </c>
      <c r="D125" s="203">
        <f>VLOOKUP($A125,INICIO_BARRA!$A$6:$R$130,3,FALSE)</f>
        <v>0</v>
      </c>
      <c r="E125" s="203">
        <f>VLOOKUP($A125,INICIO_BARRA!$A$6:$R$130,4,FALSE)</f>
        <v>0</v>
      </c>
      <c r="F125" s="203">
        <f>IFERROR(VLOOKUP($A125,REPOSICIONES_BARRA!$A$6:$I$130,3,FALSE),"")</f>
        <v>0</v>
      </c>
      <c r="G125" s="315">
        <f t="shared" si="80"/>
        <v>0</v>
      </c>
      <c r="H125" s="316">
        <f t="shared" si="81"/>
        <v>0</v>
      </c>
      <c r="I125" s="317">
        <f>IFERROR(IFERROR(VLOOKUP($A125,VENTAS!$H$2:$O$201,2,FALSE),"")/$C125,"")</f>
        <v>0</v>
      </c>
      <c r="J125" s="318">
        <f t="shared" si="84"/>
        <v>0</v>
      </c>
      <c r="K125" s="203">
        <f>VLOOKUP($A125,INICIO_BARRA!$A$6:$R$130,5,FALSE)</f>
        <v>1</v>
      </c>
      <c r="L125" s="203">
        <f>VLOOKUP($A125,INICIO_BARRA!$A$6:$R$130,6,FALSE)</f>
        <v>0</v>
      </c>
      <c r="M125" s="203">
        <f t="shared" si="85"/>
        <v>5</v>
      </c>
      <c r="N125" s="204" t="str">
        <f>IFERROR(IFERROR(IF(M125&gt;0,"",M125*VLOOKUP($A125,'VALOR I.'!$B$6:$K$418,10,FALSE)),"")*$C125,"")</f>
        <v/>
      </c>
      <c r="O125" s="203">
        <f>VLOOKUP($A125,INICIO_BARRA!$A$6:$R$130,5,FALSE)</f>
        <v>1</v>
      </c>
      <c r="P125" s="203">
        <f>VLOOKUP($A125,INICIO_BARRA!$A$6:$R$130,6,FALSE)</f>
        <v>0</v>
      </c>
      <c r="Q125" s="203">
        <f>IFERROR(VLOOKUP($A125,REPOSICIONES_BARRA!$A$6:$I$130,4,FALSE),"")</f>
        <v>0</v>
      </c>
      <c r="R125" s="315">
        <f t="shared" si="70"/>
        <v>1</v>
      </c>
      <c r="S125" s="316">
        <f t="shared" si="71"/>
        <v>0</v>
      </c>
      <c r="T125" s="317">
        <f>IFERROR(IFERROR(VLOOKUP($A125,VENTAS!$H$2:$O$201,3,FALSE),"")/$C125,"")</f>
        <v>0</v>
      </c>
      <c r="U125" s="318">
        <f t="shared" ref="U125" si="136">IFERROR(((R125*5)+S125)-T125,"")</f>
        <v>5</v>
      </c>
      <c r="V125" s="203">
        <f>VLOOKUP($A125,INICIO_BARRA!$A$6:$R$130,7,FALSE)</f>
        <v>1</v>
      </c>
      <c r="W125" s="203">
        <f>VLOOKUP($A125,INICIO_BARRA!$A$6:$R$130,8,FALSE)</f>
        <v>0</v>
      </c>
      <c r="X125" s="203">
        <f t="shared" ref="X125" si="137">IFERROR(((V125*5)+W125)-U125,"")</f>
        <v>0</v>
      </c>
      <c r="Y125" s="204">
        <f>IFERROR(IFERROR(IF(X125&gt;0,"",X125*VLOOKUP($A125,'VALOR I.'!$B$6:$K$418,10,FALSE)),"")*$C125,"")</f>
        <v>0</v>
      </c>
      <c r="Z125" s="203">
        <f>VLOOKUP($A125,INICIO_BARRA!$A$6:$R$130,7,FALSE)</f>
        <v>1</v>
      </c>
      <c r="AA125" s="203">
        <f>VLOOKUP($A125,INICIO_BARRA!$A$6:$R$130,8,FALSE)</f>
        <v>0</v>
      </c>
      <c r="AB125" s="203">
        <f>IFERROR(VLOOKUP($A125,REPOSICIONES_BARRA!$A$6:$I$130,5,FALSE),"")</f>
        <v>0</v>
      </c>
      <c r="AC125" s="315">
        <f t="shared" si="72"/>
        <v>1</v>
      </c>
      <c r="AD125" s="316">
        <f t="shared" si="73"/>
        <v>0</v>
      </c>
      <c r="AE125" s="317">
        <f>IFERROR(IFERROR(VLOOKUP($A125,VENTAS!$H$2:$O$201,4,FALSE),"")/$C125,"")</f>
        <v>0</v>
      </c>
      <c r="AF125" s="318">
        <f t="shared" ref="AF125" si="138">IFERROR(((AC125*5)+AD125)-AE125,"")</f>
        <v>5</v>
      </c>
      <c r="AG125" s="203">
        <f>VLOOKUP($A125,INICIO_BARRA!$A$6:$R$130,9,FALSE)</f>
        <v>1</v>
      </c>
      <c r="AH125" s="203">
        <f>VLOOKUP($A125,INICIO_BARRA!$A$6:$R$130,10,FALSE)</f>
        <v>0</v>
      </c>
      <c r="AI125" s="203">
        <f t="shared" ref="AI125" si="139">IFERROR(((AG125*5)+AH125)-AF125,"")</f>
        <v>0</v>
      </c>
      <c r="AJ125" s="204">
        <f>IFERROR(IFERROR(IF(AI125&gt;0,"",AI125*VLOOKUP($A125,'VALOR I.'!$B$6:$K$418,10,FALSE)),"")*$C125,"")</f>
        <v>0</v>
      </c>
      <c r="AK125" s="203">
        <f>VLOOKUP($A125,INICIO_BARRA!$A$6:$R$130,9,FALSE)</f>
        <v>1</v>
      </c>
      <c r="AL125" s="203">
        <f>VLOOKUP($A125,INICIO_BARRA!$A$6:$R$130,10,FALSE)</f>
        <v>0</v>
      </c>
      <c r="AM125" s="203">
        <f>IFERROR(VLOOKUP($A125,REPOSICIONES_BARRA!$A$6:$I$130,6,FALSE),"")</f>
        <v>0</v>
      </c>
      <c r="AN125" s="315">
        <f t="shared" si="74"/>
        <v>1</v>
      </c>
      <c r="AO125" s="316">
        <f t="shared" si="75"/>
        <v>0</v>
      </c>
      <c r="AP125" s="317">
        <f>IFERROR(IFERROR(VLOOKUP($A125,VENTAS!$H$2:$O$201,5,FALSE),"")/$C125,"")</f>
        <v>0</v>
      </c>
      <c r="AQ125" s="318">
        <f t="shared" ref="AQ125" si="140">IFERROR(((AN125*5)+AO125)-AP125,"")</f>
        <v>5</v>
      </c>
      <c r="AR125" s="203">
        <f>VLOOKUP($A125,INICIO_BARRA!$A$6:$R$130,11,FALSE)</f>
        <v>1</v>
      </c>
      <c r="AS125" s="203">
        <f>VLOOKUP($A125,INICIO_BARRA!$A$6:$R$130,12,FALSE)</f>
        <v>0</v>
      </c>
      <c r="AT125" s="203">
        <f t="shared" ref="AT125" si="141">IFERROR(((AR125*5)+AS125)-AQ125,"")</f>
        <v>0</v>
      </c>
      <c r="AU125" s="204">
        <f>IFERROR(IFERROR(IF(AT125&gt;0,"",AT125*VLOOKUP($A125,'VALOR I.'!$B$6:$K$418,10,FALSE)),"")*$C125,"")</f>
        <v>0</v>
      </c>
      <c r="AV125" s="203">
        <f>VLOOKUP($A125,INICIO_BARRA!$A$6:$R$130,11,FALSE)</f>
        <v>1</v>
      </c>
      <c r="AW125" s="203">
        <f>VLOOKUP($A125,INICIO_BARRA!$A$6:$R$130,12,FALSE)</f>
        <v>0</v>
      </c>
      <c r="AX125" s="203">
        <f>IFERROR(VLOOKUP($A125,REPOSICIONES_BARRA!$A$6:$I$130,7,FALSE),"")</f>
        <v>0</v>
      </c>
      <c r="AY125" s="315">
        <f t="shared" si="76"/>
        <v>1</v>
      </c>
      <c r="AZ125" s="316">
        <f t="shared" si="77"/>
        <v>0</v>
      </c>
      <c r="BA125" s="317">
        <f>IFERROR(IFERROR(VLOOKUP($A125,VENTAS!$H$2:$O$201,6,FALSE),"")/$C125,"")</f>
        <v>0</v>
      </c>
      <c r="BB125" s="318">
        <f t="shared" ref="BB125" si="142">IFERROR(((AY125*5)+AZ125)-BA125,"")</f>
        <v>5</v>
      </c>
      <c r="BC125" s="203">
        <f>VLOOKUP($A125,INICIO_BARRA!$A$6:$R$130,13,FALSE)</f>
        <v>1</v>
      </c>
      <c r="BD125" s="203">
        <f>VLOOKUP($A125,INICIO_BARRA!$A$6:$R$130,14,FALSE)</f>
        <v>0</v>
      </c>
      <c r="BE125" s="203">
        <f t="shared" ref="BE125" si="143">IFERROR(((BC125*5)+BD125)-BB125,"")</f>
        <v>0</v>
      </c>
      <c r="BF125" s="204">
        <f>IFERROR(IFERROR(IF(BE125&gt;0,"",BE125*VLOOKUP($A125,'VALOR I.'!$B$6:$K$418,10,FALSE)),"")*$C125,"")</f>
        <v>0</v>
      </c>
      <c r="BG125" s="203">
        <f>VLOOKUP($A125,INICIO_BARRA!$A$6:$R$130,13,FALSE)</f>
        <v>1</v>
      </c>
      <c r="BH125" s="203">
        <f>VLOOKUP($A125,INICIO_BARRA!$A$6:$R$130,14,FALSE)</f>
        <v>0</v>
      </c>
      <c r="BI125" s="203">
        <f>IFERROR(VLOOKUP($A125,REPOSICIONES_BARRA!$A$6:$I$130,8,FALSE),"")</f>
        <v>0</v>
      </c>
      <c r="BJ125" s="315">
        <f t="shared" si="78"/>
        <v>1</v>
      </c>
      <c r="BK125" s="316">
        <f t="shared" si="79"/>
        <v>0</v>
      </c>
      <c r="BL125" s="317">
        <f>IFERROR(IFERROR(VLOOKUP($A125,VENTAS!$H$2:$O$201,7,FALSE),"")/$C125,"")</f>
        <v>0</v>
      </c>
      <c r="BM125" s="318">
        <f t="shared" ref="BM125" si="144">IFERROR(((BJ125*5)+BK125)-BL125,"")</f>
        <v>5</v>
      </c>
      <c r="BN125" s="203">
        <f>VLOOKUP($A125,INICIO_BARRA!$A$6:$R$130,15,FALSE)</f>
        <v>1</v>
      </c>
      <c r="BO125" s="203">
        <f>VLOOKUP($A125,INICIO_BARRA!$A$6:$R$130,16,FALSE)</f>
        <v>0</v>
      </c>
      <c r="BP125" s="203">
        <f t="shared" ref="BP125" si="145">IFERROR(((BN125*5)+BO125)-BM125,"")</f>
        <v>0</v>
      </c>
      <c r="BQ125" s="204">
        <f>IFERROR(IFERROR(IF(BP125&gt;0,"",BP125*VLOOKUP($A125,'VALOR I.'!$B$6:$K$418,10,FALSE)),"")*$C125,"")</f>
        <v>0</v>
      </c>
      <c r="BR125" s="203"/>
      <c r="BS125" s="203"/>
      <c r="BT125" s="203"/>
      <c r="BU125" s="315"/>
      <c r="BV125" s="316"/>
      <c r="BW125" s="317"/>
      <c r="BX125" s="318"/>
      <c r="BY125" s="203"/>
      <c r="BZ125" s="203"/>
      <c r="CA125" s="203"/>
      <c r="CB125" s="204"/>
    </row>
    <row r="126" spans="1:80" s="7" customFormat="1" ht="30" customHeight="1" x14ac:dyDescent="0.3">
      <c r="A126" s="3"/>
      <c r="B126" s="312" t="s">
        <v>40</v>
      </c>
      <c r="C126" s="144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</row>
    <row r="127" spans="1:80" s="7" customFormat="1" ht="30" customHeight="1" x14ac:dyDescent="0.3">
      <c r="A127" s="3" t="s">
        <v>179</v>
      </c>
      <c r="B127" s="313" t="s">
        <v>14</v>
      </c>
      <c r="C127" s="142">
        <v>75</v>
      </c>
      <c r="D127" s="203">
        <f>VLOOKUP($A127,INICIO_BARRA!$A$6:$R$130,3,FALSE)</f>
        <v>0</v>
      </c>
      <c r="E127" s="203">
        <f>VLOOKUP($A127,INICIO_BARRA!$A$6:$R$130,4,FALSE)</f>
        <v>0</v>
      </c>
      <c r="F127" s="203">
        <f>IFERROR(VLOOKUP($A127,REPOSICIONES_BARRA!$A$6:$I$130,3,FALSE),"")</f>
        <v>0</v>
      </c>
      <c r="G127" s="315">
        <f t="shared" si="80"/>
        <v>0</v>
      </c>
      <c r="H127" s="316">
        <f t="shared" si="81"/>
        <v>0</v>
      </c>
      <c r="I127" s="317">
        <f>IFERROR(IFERROR(VLOOKUP($A127,VENTAS!$H$2:$O$201,2,FALSE),"")/$C127,"")</f>
        <v>0</v>
      </c>
      <c r="J127" s="318">
        <f t="shared" si="84"/>
        <v>0</v>
      </c>
      <c r="K127" s="203">
        <f>VLOOKUP($A127,INICIO_BARRA!$A$6:$R$130,5,FALSE)</f>
        <v>2</v>
      </c>
      <c r="L127" s="203">
        <f>VLOOKUP($A127,INICIO_BARRA!$A$6:$R$130,6,FALSE)</f>
        <v>7</v>
      </c>
      <c r="M127" s="203">
        <f t="shared" si="85"/>
        <v>17</v>
      </c>
      <c r="N127" s="204" t="str">
        <f>IFERROR(IFERROR(IF(M127&gt;0,"",M127*VLOOKUP($A127,'VALOR I.'!$B$6:$K$418,10,FALSE)),"")*$C127,"")</f>
        <v/>
      </c>
      <c r="O127" s="203">
        <f>VLOOKUP($A127,INICIO_BARRA!$A$6:$R$130,5,FALSE)</f>
        <v>2</v>
      </c>
      <c r="P127" s="203">
        <f>VLOOKUP($A127,INICIO_BARRA!$A$6:$R$130,6,FALSE)</f>
        <v>7</v>
      </c>
      <c r="Q127" s="203">
        <f>IFERROR(VLOOKUP($A127,REPOSICIONES_BARRA!$A$6:$I$130,4,FALSE),"")</f>
        <v>0</v>
      </c>
      <c r="R127" s="315">
        <f t="shared" si="70"/>
        <v>2</v>
      </c>
      <c r="S127" s="316">
        <f t="shared" si="71"/>
        <v>7</v>
      </c>
      <c r="T127" s="317">
        <f>IFERROR(IFERROR(VLOOKUP($A127,VENTAS!$H$2:$O$201,3,FALSE),"")/$C127,"")</f>
        <v>0</v>
      </c>
      <c r="U127" s="318">
        <f t="shared" ref="U127" si="146">IFERROR(((R127*5)+S127)-T127,"")</f>
        <v>17</v>
      </c>
      <c r="V127" s="203">
        <f>VLOOKUP($A127,INICIO_BARRA!$A$6:$R$130,7,FALSE)</f>
        <v>2</v>
      </c>
      <c r="W127" s="203">
        <f>VLOOKUP($A127,INICIO_BARRA!$A$6:$R$130,8,FALSE)</f>
        <v>7</v>
      </c>
      <c r="X127" s="203">
        <f t="shared" ref="X127" si="147">IFERROR(((V127*5)+W127)-U127,"")</f>
        <v>0</v>
      </c>
      <c r="Y127" s="204">
        <f>IFERROR(IFERROR(IF(X127&gt;0,"",X127*VLOOKUP($A127,'VALOR I.'!$B$6:$K$418,10,FALSE)),"")*$C127,"")</f>
        <v>0</v>
      </c>
      <c r="Z127" s="203">
        <f>VLOOKUP($A127,INICIO_BARRA!$A$6:$R$130,7,FALSE)</f>
        <v>2</v>
      </c>
      <c r="AA127" s="203">
        <f>VLOOKUP($A127,INICIO_BARRA!$A$6:$R$130,8,FALSE)</f>
        <v>7</v>
      </c>
      <c r="AB127" s="203">
        <f>IFERROR(VLOOKUP($A127,REPOSICIONES_BARRA!$A$6:$I$130,5,FALSE),"")</f>
        <v>0</v>
      </c>
      <c r="AC127" s="315">
        <f t="shared" si="72"/>
        <v>2</v>
      </c>
      <c r="AD127" s="316">
        <f t="shared" si="73"/>
        <v>7</v>
      </c>
      <c r="AE127" s="317">
        <f>IFERROR(IFERROR(VLOOKUP($A127,VENTAS!$H$2:$O$201,4,FALSE),"")/$C127,"")</f>
        <v>1</v>
      </c>
      <c r="AF127" s="318">
        <f t="shared" ref="AF127" si="148">IFERROR(((AC127*5)+AD127)-AE127,"")</f>
        <v>16</v>
      </c>
      <c r="AG127" s="203">
        <f>VLOOKUP($A127,INICIO_BARRA!$A$6:$R$130,9,FALSE)</f>
        <v>2</v>
      </c>
      <c r="AH127" s="203">
        <f>VLOOKUP($A127,INICIO_BARRA!$A$6:$R$130,10,FALSE)</f>
        <v>6</v>
      </c>
      <c r="AI127" s="203">
        <f t="shared" ref="AI127" si="149">IFERROR(((AG127*5)+AH127)-AF127,"")</f>
        <v>0</v>
      </c>
      <c r="AJ127" s="204">
        <f>IFERROR(IFERROR(IF(AI127&gt;0,"",AI127*VLOOKUP($A127,'VALOR I.'!$B$6:$K$418,10,FALSE)),"")*$C127,"")</f>
        <v>0</v>
      </c>
      <c r="AK127" s="203">
        <f>VLOOKUP($A127,INICIO_BARRA!$A$6:$R$130,9,FALSE)</f>
        <v>2</v>
      </c>
      <c r="AL127" s="203">
        <f>VLOOKUP($A127,INICIO_BARRA!$A$6:$R$130,10,FALSE)</f>
        <v>6</v>
      </c>
      <c r="AM127" s="203">
        <f>IFERROR(VLOOKUP($A127,REPOSICIONES_BARRA!$A$6:$I$130,6,FALSE),"")</f>
        <v>0</v>
      </c>
      <c r="AN127" s="315">
        <f t="shared" si="74"/>
        <v>2</v>
      </c>
      <c r="AO127" s="316">
        <f t="shared" si="75"/>
        <v>6</v>
      </c>
      <c r="AP127" s="317">
        <f>IFERROR(IFERROR(VLOOKUP($A127,VENTAS!$H$2:$O$201,5,FALSE),"")/$C127,"")</f>
        <v>0</v>
      </c>
      <c r="AQ127" s="318">
        <f t="shared" ref="AQ127" si="150">IFERROR(((AN127*5)+AO127)-AP127,"")</f>
        <v>16</v>
      </c>
      <c r="AR127" s="203">
        <f>VLOOKUP($A127,INICIO_BARRA!$A$6:$R$130,11,FALSE)</f>
        <v>2</v>
      </c>
      <c r="AS127" s="203">
        <f>VLOOKUP($A127,INICIO_BARRA!$A$6:$R$130,12,FALSE)</f>
        <v>6</v>
      </c>
      <c r="AT127" s="203">
        <f t="shared" ref="AT127" si="151">IFERROR(((AR127*5)+AS127)-AQ127,"")</f>
        <v>0</v>
      </c>
      <c r="AU127" s="204">
        <f>IFERROR(IFERROR(IF(AT127&gt;0,"",AT127*VLOOKUP($A127,'VALOR I.'!$B$6:$K$418,10,FALSE)),"")*$C127,"")</f>
        <v>0</v>
      </c>
      <c r="AV127" s="203">
        <f>VLOOKUP($A127,INICIO_BARRA!$A$6:$R$130,11,FALSE)</f>
        <v>2</v>
      </c>
      <c r="AW127" s="203">
        <f>VLOOKUP($A127,INICIO_BARRA!$A$6:$R$130,12,FALSE)</f>
        <v>6</v>
      </c>
      <c r="AX127" s="203">
        <f>IFERROR(VLOOKUP($A127,REPOSICIONES_BARRA!$A$6:$I$130,7,FALSE),"")</f>
        <v>0</v>
      </c>
      <c r="AY127" s="315">
        <f t="shared" si="76"/>
        <v>2</v>
      </c>
      <c r="AZ127" s="316">
        <f t="shared" si="77"/>
        <v>6</v>
      </c>
      <c r="BA127" s="317">
        <f>IFERROR(IFERROR(VLOOKUP($A127,VENTAS!$H$2:$O$201,6,FALSE),"")/$C127,"")</f>
        <v>4</v>
      </c>
      <c r="BB127" s="318">
        <f t="shared" ref="BB127" si="152">IFERROR(((AY127*5)+AZ127)-BA127,"")</f>
        <v>12</v>
      </c>
      <c r="BC127" s="203">
        <f>VLOOKUP($A127,INICIO_BARRA!$A$6:$R$130,13,FALSE)</f>
        <v>2</v>
      </c>
      <c r="BD127" s="203">
        <f>VLOOKUP($A127,INICIO_BARRA!$A$6:$R$130,14,FALSE)</f>
        <v>0</v>
      </c>
      <c r="BE127" s="203">
        <f t="shared" ref="BE127" si="153">IFERROR(((BC127*5)+BD127)-BB127,"")</f>
        <v>-2</v>
      </c>
      <c r="BF127" s="204">
        <f>IFERROR(IFERROR(IF(BE127&gt;0,"",BE127*VLOOKUP($A127,'VALOR I.'!$B$6:$K$418,10,FALSE)),"")*$C127,"")</f>
        <v>-1809.8828999999998</v>
      </c>
      <c r="BG127" s="203">
        <f>VLOOKUP($A127,INICIO_BARRA!$A$6:$R$130,13,FALSE)</f>
        <v>2</v>
      </c>
      <c r="BH127" s="203">
        <f>VLOOKUP($A127,INICIO_BARRA!$A$6:$R$130,14,FALSE)</f>
        <v>0</v>
      </c>
      <c r="BI127" s="203">
        <f>IFERROR(VLOOKUP($A127,REPOSICIONES_BARRA!$A$6:$I$130,8,FALSE),"")</f>
        <v>2</v>
      </c>
      <c r="BJ127" s="315">
        <f t="shared" si="78"/>
        <v>4</v>
      </c>
      <c r="BK127" s="316">
        <f t="shared" si="79"/>
        <v>0</v>
      </c>
      <c r="BL127" s="317">
        <f>IFERROR(IFERROR(VLOOKUP($A127,VENTAS!$H$2:$O$201,7,FALSE),"")/$C127,"")</f>
        <v>0</v>
      </c>
      <c r="BM127" s="318">
        <f t="shared" ref="BM127" si="154">IFERROR(((BJ127*5)+BK127)-BL127,"")</f>
        <v>20</v>
      </c>
      <c r="BN127" s="203">
        <f>VLOOKUP($A127,INICIO_BARRA!$A$6:$R$130,15,FALSE)</f>
        <v>4</v>
      </c>
      <c r="BO127" s="203">
        <f>VLOOKUP($A127,INICIO_BARRA!$A$6:$R$130,16,FALSE)</f>
        <v>0</v>
      </c>
      <c r="BP127" s="203">
        <f t="shared" ref="BP127" si="155">IFERROR(((BN127*5)+BO127)-BM127,"")</f>
        <v>0</v>
      </c>
      <c r="BQ127" s="204">
        <f>IFERROR(IFERROR(IF(BP127&gt;0,"",BP127*VLOOKUP($A127,'VALOR I.'!$B$6:$K$418,10,FALSE)),"")*$C127,"")</f>
        <v>0</v>
      </c>
      <c r="BR127" s="203"/>
      <c r="BS127" s="203"/>
      <c r="BT127" s="203"/>
      <c r="BU127" s="315"/>
      <c r="BV127" s="316"/>
      <c r="BW127" s="317"/>
      <c r="BX127" s="318"/>
      <c r="BY127" s="203"/>
      <c r="BZ127" s="203"/>
      <c r="CA127" s="203"/>
      <c r="CB127" s="204"/>
    </row>
    <row r="128" spans="1:80" s="7" customFormat="1" ht="30" hidden="1" customHeight="1" x14ac:dyDescent="0.45">
      <c r="A128" s="3"/>
      <c r="B128" s="30"/>
      <c r="C128" s="142"/>
      <c r="D128" s="203" t="e">
        <f>VLOOKUP($A128,INICIO_BARRA!$A$6:$R$130,3,FALSE)</f>
        <v>#N/A</v>
      </c>
      <c r="E128" s="203" t="e">
        <f>VLOOKUP($A128,INICIO_BARRA!$A$6:$R$130,4,FALSE)</f>
        <v>#N/A</v>
      </c>
      <c r="F128" s="203" t="str">
        <f>IFERROR(VLOOKUP($A128,REPOSICIONES_BARRA!$A$6:$I$130,3,FALSE),"")</f>
        <v/>
      </c>
      <c r="G128" s="315" t="e">
        <f t="shared" si="80"/>
        <v>#N/A</v>
      </c>
      <c r="H128" s="316" t="e">
        <f t="shared" si="81"/>
        <v>#N/A</v>
      </c>
      <c r="I128" s="317" t="str">
        <f>IFERROR(IFERROR(VLOOKUP($A128,VENTAS!$H$2:$O$201,2,FALSE),"")/$C128,"")</f>
        <v/>
      </c>
      <c r="J128" s="111"/>
      <c r="K128" s="203" t="e">
        <f>VLOOKUP($A128,INICIO_BARRA!$A$6:$R$130,5,FALSE)</f>
        <v>#N/A</v>
      </c>
      <c r="L128" s="203" t="e">
        <f>VLOOKUP($A128,INICIO_BARRA!$A$6:$R$130,6,FALSE)</f>
        <v>#N/A</v>
      </c>
      <c r="M128" s="11"/>
      <c r="N128" s="204" t="str">
        <f>IFERROR(IFERROR(IF(M128&gt;0,"",M128*VLOOKUP($A128,'VALOR I.'!$B$6:$K$418,10,FALSE)),"")*$C128,"")</f>
        <v/>
      </c>
      <c r="O128" s="203" t="e">
        <f>VLOOKUP($A128,INICIO_BARRA!$A$6:$R$130,5,FALSE)</f>
        <v>#N/A</v>
      </c>
      <c r="P128" s="203" t="e">
        <f>VLOOKUP($A128,INICIO_BARRA!$A$6:$R$130,6,FALSE)</f>
        <v>#N/A</v>
      </c>
      <c r="Q128" s="203" t="str">
        <f>IFERROR(VLOOKUP($A128,REPOSICIONES_BARRA!$A$6:$I$130,4,FALSE),"")</f>
        <v/>
      </c>
      <c r="R128" s="315" t="e">
        <f t="shared" si="70"/>
        <v>#N/A</v>
      </c>
      <c r="S128" s="316" t="e">
        <f t="shared" si="71"/>
        <v>#N/A</v>
      </c>
      <c r="T128" s="317" t="str">
        <f>IFERROR(IFERROR(VLOOKUP($A128,VENTAS!$H$2:$O$201,3,FALSE),"")/$C128,"")</f>
        <v/>
      </c>
      <c r="U128" s="111"/>
      <c r="V128" s="203" t="e">
        <f>VLOOKUP($A128,INICIO_BARRA!$A$6:$R$130,7,FALSE)</f>
        <v>#N/A</v>
      </c>
      <c r="W128" s="203" t="e">
        <f>VLOOKUP($A128,INICIO_BARRA!$A$6:$R$130,8,FALSE)</f>
        <v>#N/A</v>
      </c>
      <c r="X128" s="11"/>
      <c r="Y128" s="204" t="str">
        <f>IFERROR(IFERROR(IF(X128&gt;0,"",X128*VLOOKUP($A128,'VALOR I.'!$B$6:$K$418,10,FALSE)),"")*$C128,"")</f>
        <v/>
      </c>
      <c r="Z128" s="203" t="e">
        <f>VLOOKUP($A128,INICIO_BARRA!$A$6:$R$130,7,FALSE)</f>
        <v>#N/A</v>
      </c>
      <c r="AA128" s="203" t="e">
        <f>VLOOKUP($A128,INICIO_BARRA!$A$6:$R$130,8,FALSE)</f>
        <v>#N/A</v>
      </c>
      <c r="AB128" s="203" t="str">
        <f>IFERROR(VLOOKUP($A128,REPOSICIONES_BARRA!$A$6:$I$130,5,FALSE),"")</f>
        <v/>
      </c>
      <c r="AC128" s="315" t="e">
        <f t="shared" si="72"/>
        <v>#N/A</v>
      </c>
      <c r="AD128" s="316" t="e">
        <f t="shared" si="73"/>
        <v>#N/A</v>
      </c>
      <c r="AE128" s="317" t="str">
        <f>IFERROR(IFERROR(VLOOKUP($A128,VENTAS!$H$2:$O$201,4,FALSE),"")/$C128,"")</f>
        <v/>
      </c>
      <c r="AF128" s="111"/>
      <c r="AG128" s="203" t="e">
        <f>VLOOKUP($A128,INICIO_BARRA!$A$6:$R$130,9,FALSE)</f>
        <v>#N/A</v>
      </c>
      <c r="AH128" s="203" t="e">
        <f>VLOOKUP($A128,INICIO_BARRA!$A$6:$R$130,10,FALSE)</f>
        <v>#N/A</v>
      </c>
      <c r="AI128" s="11"/>
      <c r="AJ128" s="94" t="str">
        <f>IFERROR(IFERROR(IF(AI128&gt;0,"",AI128*VLOOKUP($A128,'VALOR I.'!$B$6:$K$418,10,FALSE)),"")*$C128,"")</f>
        <v/>
      </c>
      <c r="AK128" s="203" t="e">
        <f>VLOOKUP($A128,INICIO_BARRA!$A$6:$R$130,9,FALSE)</f>
        <v>#N/A</v>
      </c>
      <c r="AL128" s="203" t="e">
        <f>VLOOKUP($A128,INICIO_BARRA!$A$6:$R$130,10,FALSE)</f>
        <v>#N/A</v>
      </c>
      <c r="AM128" s="203" t="str">
        <f>IFERROR(VLOOKUP($A128,REPOSICIONES_BARRA!$A$6:$I$130,6,FALSE),"")</f>
        <v/>
      </c>
      <c r="AN128" s="315" t="e">
        <f t="shared" si="74"/>
        <v>#N/A</v>
      </c>
      <c r="AO128" s="316" t="e">
        <f t="shared" si="75"/>
        <v>#N/A</v>
      </c>
      <c r="AP128" s="317" t="str">
        <f>IFERROR(IFERROR(VLOOKUP($A128,VENTAS!$H$2:$O$201,5,FALSE),"")/$C128,"")</f>
        <v/>
      </c>
      <c r="AQ128" s="111"/>
      <c r="AR128" s="203" t="e">
        <f>VLOOKUP($A128,INICIO_BARRA!$A$6:$R$130,11,FALSE)</f>
        <v>#N/A</v>
      </c>
      <c r="AS128" s="203" t="e">
        <f>VLOOKUP($A128,INICIO_BARRA!$A$6:$R$130,12,FALSE)</f>
        <v>#N/A</v>
      </c>
      <c r="AT128" s="11"/>
      <c r="AU128" s="94" t="str">
        <f>IFERROR(IFERROR(IF(AT128&gt;0,"",AT128*VLOOKUP($A128,'VALOR I.'!$B$6:$K$418,10,FALSE)),"")*$C128,"")</f>
        <v/>
      </c>
      <c r="AV128" s="203" t="e">
        <f>VLOOKUP($A128,INICIO_BARRA!$A$6:$R$130,11,FALSE)</f>
        <v>#N/A</v>
      </c>
      <c r="AW128" s="203" t="e">
        <f>VLOOKUP($A128,INICIO_BARRA!$A$6:$R$130,12,FALSE)</f>
        <v>#N/A</v>
      </c>
      <c r="AX128" s="203" t="str">
        <f>IFERROR(VLOOKUP($A128,REPOSICIONES_BARRA!$A$6:$I$130,7,FALSE),"")</f>
        <v/>
      </c>
      <c r="AY128" s="315" t="e">
        <f t="shared" si="76"/>
        <v>#N/A</v>
      </c>
      <c r="AZ128" s="316" t="e">
        <f t="shared" si="77"/>
        <v>#N/A</v>
      </c>
      <c r="BA128" s="317" t="str">
        <f>IFERROR(IFERROR(VLOOKUP($A128,VENTAS!$H$2:$O$201,6,FALSE),"")/$C128,"")</f>
        <v/>
      </c>
      <c r="BB128" s="111"/>
      <c r="BC128" s="203" t="e">
        <f>VLOOKUP($A128,INICIO_BARRA!$A$6:$R$130,13,FALSE)</f>
        <v>#N/A</v>
      </c>
      <c r="BD128" s="203" t="e">
        <f>VLOOKUP($A128,INICIO_BARRA!$A$6:$R$130,14,FALSE)</f>
        <v>#N/A</v>
      </c>
      <c r="BE128" s="11"/>
      <c r="BF128" s="94" t="str">
        <f>IFERROR(IFERROR(IF(BE128&gt;0,"",BE128*VLOOKUP($A128,'VALOR I.'!$B$6:$K$418,10,FALSE)),"")*$C128,"")</f>
        <v/>
      </c>
      <c r="BG128" s="203" t="e">
        <f>VLOOKUP($A128,INICIO_BARRA!$A$6:$R$130,13,FALSE)</f>
        <v>#N/A</v>
      </c>
      <c r="BH128" s="203" t="e">
        <f>VLOOKUP($A128,INICIO_BARRA!$A$6:$R$130,14,FALSE)</f>
        <v>#N/A</v>
      </c>
      <c r="BI128" s="203" t="str">
        <f>IFERROR(VLOOKUP($A128,REPOSICIONES_BARRA!$A$6:$I$130,8,FALSE),"")</f>
        <v/>
      </c>
      <c r="BJ128" s="315" t="e">
        <f t="shared" si="78"/>
        <v>#N/A</v>
      </c>
      <c r="BK128" s="316" t="e">
        <f t="shared" si="79"/>
        <v>#N/A</v>
      </c>
      <c r="BL128" s="317" t="str">
        <f>IFERROR(IFERROR(VLOOKUP($A128,VENTAS!$H$2:$O$201,7,FALSE),"")/$C128,"")</f>
        <v/>
      </c>
      <c r="BM128" s="111"/>
      <c r="BN128" s="203" t="e">
        <f>VLOOKUP($A128,INICIO_BARRA!$A$6:$R$130,15,FALSE)</f>
        <v>#N/A</v>
      </c>
      <c r="BO128" s="203" t="e">
        <f>VLOOKUP($A128,INICIO_BARRA!$A$6:$R$130,16,FALSE)</f>
        <v>#N/A</v>
      </c>
      <c r="BP128" s="11"/>
      <c r="BQ128" s="94" t="str">
        <f>IFERROR(IFERROR(IF(BP128&gt;0,"",BP128*VLOOKUP($A128,'VALOR I.'!$B$6:$K$418,10,FALSE)),"")*$C128,"")</f>
        <v/>
      </c>
      <c r="BR128" s="203" t="e">
        <f>VLOOKUP($A128,INICIO_BARRA!$A$6:$R$130,15,FALSE)</f>
        <v>#N/A</v>
      </c>
      <c r="BS128" s="203" t="e">
        <f>VLOOKUP($A128,INICIO_BARRA!$A$6:$R$130,16,FALSE)</f>
        <v>#N/A</v>
      </c>
      <c r="BT128" s="203" t="str">
        <f>IFERROR(VLOOKUP($A128,REPOSICIONES_BARRA!$A$6:$I$130,9,FALSE),"")</f>
        <v/>
      </c>
      <c r="BU128" s="315" t="e">
        <f t="shared" si="82"/>
        <v>#N/A</v>
      </c>
      <c r="BV128" s="316" t="e">
        <f t="shared" si="83"/>
        <v>#N/A</v>
      </c>
      <c r="BW128" s="317" t="str">
        <f>IFERROR(IFERROR(VLOOKUP($A128,VENTAS!$H$2:$O$201,8,FALSE),"")/$C128,"")</f>
        <v/>
      </c>
      <c r="BX128" s="111"/>
      <c r="BY128" s="203" t="e">
        <f>VLOOKUP($A128,INICIO_BARRA!$A$6:$R$130,17,FALSE)</f>
        <v>#N/A</v>
      </c>
      <c r="BZ128" s="203" t="e">
        <f>VLOOKUP($A128,INICIO_BARRA!$A$6:$R$130,18,FALSE)</f>
        <v>#N/A</v>
      </c>
      <c r="CA128" s="11"/>
      <c r="CB128" s="94" t="str">
        <f>IFERROR(IFERROR(IF(CA128&gt;0,"",CA128*VLOOKUP($A128,'VALOR I.'!$B$6:$K$418,10,FALSE)),"")*$C128,"")</f>
        <v/>
      </c>
    </row>
    <row r="129" spans="1:80" s="7" customFormat="1" ht="30" hidden="1" customHeight="1" x14ac:dyDescent="0.45">
      <c r="A129" s="3"/>
      <c r="B129" s="40"/>
      <c r="C129" s="142"/>
      <c r="D129" s="203" t="e">
        <f>VLOOKUP($A129,INICIO_BARRA!$A$6:$R$130,3,FALSE)</f>
        <v>#N/A</v>
      </c>
      <c r="E129" s="203" t="e">
        <f>VLOOKUP($A129,INICIO_BARRA!$A$6:$R$130,4,FALSE)</f>
        <v>#N/A</v>
      </c>
      <c r="F129" s="203" t="str">
        <f>IFERROR(VLOOKUP($A129,REPOSICIONES_BARRA!$A$6:$I$130,3,FALSE),"")</f>
        <v/>
      </c>
      <c r="G129" s="315" t="e">
        <f t="shared" si="80"/>
        <v>#N/A</v>
      </c>
      <c r="H129" s="316" t="e">
        <f t="shared" si="81"/>
        <v>#N/A</v>
      </c>
      <c r="I129" s="317" t="str">
        <f>IFERROR(IFERROR(VLOOKUP($A129,VENTAS!$H$2:$O$201,2,FALSE),"")/$C129,"")</f>
        <v/>
      </c>
      <c r="J129" s="111"/>
      <c r="K129" s="203" t="e">
        <f>VLOOKUP($A129,INICIO_BARRA!$A$6:$R$130,5,FALSE)</f>
        <v>#N/A</v>
      </c>
      <c r="L129" s="203" t="e">
        <f>VLOOKUP($A129,INICIO_BARRA!$A$6:$R$130,6,FALSE)</f>
        <v>#N/A</v>
      </c>
      <c r="M129" s="11"/>
      <c r="N129" s="204" t="str">
        <f>IFERROR(IFERROR(IF(M129&gt;0,"",M129*VLOOKUP($A129,'VALOR I.'!$B$6:$K$418,10,FALSE)),"")*$C129,"")</f>
        <v/>
      </c>
      <c r="O129" s="203" t="e">
        <f>VLOOKUP($A129,INICIO_BARRA!$A$6:$R$130,5,FALSE)</f>
        <v>#N/A</v>
      </c>
      <c r="P129" s="203" t="e">
        <f>VLOOKUP($A129,INICIO_BARRA!$A$6:$R$130,6,FALSE)</f>
        <v>#N/A</v>
      </c>
      <c r="Q129" s="203" t="str">
        <f>IFERROR(VLOOKUP($A129,REPOSICIONES_BARRA!$A$6:$I$130,4,FALSE),"")</f>
        <v/>
      </c>
      <c r="R129" s="315" t="e">
        <f t="shared" si="70"/>
        <v>#N/A</v>
      </c>
      <c r="S129" s="316" t="e">
        <f t="shared" si="71"/>
        <v>#N/A</v>
      </c>
      <c r="T129" s="317" t="str">
        <f>IFERROR(IFERROR(VLOOKUP($A129,VENTAS!$H$2:$O$201,3,FALSE),"")/$C129,"")</f>
        <v/>
      </c>
      <c r="U129" s="111"/>
      <c r="V129" s="203" t="e">
        <f>VLOOKUP($A129,INICIO_BARRA!$A$6:$R$130,7,FALSE)</f>
        <v>#N/A</v>
      </c>
      <c r="W129" s="203" t="e">
        <f>VLOOKUP($A129,INICIO_BARRA!$A$6:$R$130,8,FALSE)</f>
        <v>#N/A</v>
      </c>
      <c r="X129" s="11"/>
      <c r="Y129" s="204" t="str">
        <f>IFERROR(IFERROR(IF(X129&gt;0,"",X129*VLOOKUP($A129,'VALOR I.'!$B$6:$K$418,10,FALSE)),"")*$C129,"")</f>
        <v/>
      </c>
      <c r="Z129" s="203" t="e">
        <f>VLOOKUP($A129,INICIO_BARRA!$A$6:$R$130,7,FALSE)</f>
        <v>#N/A</v>
      </c>
      <c r="AA129" s="203" t="e">
        <f>VLOOKUP($A129,INICIO_BARRA!$A$6:$R$130,8,FALSE)</f>
        <v>#N/A</v>
      </c>
      <c r="AB129" s="203" t="str">
        <f>IFERROR(VLOOKUP($A129,REPOSICIONES_BARRA!$A$6:$I$130,5,FALSE),"")</f>
        <v/>
      </c>
      <c r="AC129" s="315" t="e">
        <f t="shared" si="72"/>
        <v>#N/A</v>
      </c>
      <c r="AD129" s="316" t="e">
        <f t="shared" si="73"/>
        <v>#N/A</v>
      </c>
      <c r="AE129" s="317" t="str">
        <f>IFERROR(IFERROR(VLOOKUP($A129,VENTAS!$H$2:$O$201,4,FALSE),"")/$C129,"")</f>
        <v/>
      </c>
      <c r="AF129" s="111"/>
      <c r="AG129" s="203" t="e">
        <f>VLOOKUP($A129,INICIO_BARRA!$A$6:$R$130,9,FALSE)</f>
        <v>#N/A</v>
      </c>
      <c r="AH129" s="203" t="e">
        <f>VLOOKUP($A129,INICIO_BARRA!$A$6:$R$130,10,FALSE)</f>
        <v>#N/A</v>
      </c>
      <c r="AI129" s="11"/>
      <c r="AJ129" s="94" t="str">
        <f>IFERROR(IFERROR(IF(AI129&gt;0,"",AI129*VLOOKUP($A129,'VALOR I.'!$B$6:$K$418,10,FALSE)),"")*$C129,"")</f>
        <v/>
      </c>
      <c r="AK129" s="203" t="e">
        <f>VLOOKUP($A129,INICIO_BARRA!$A$6:$R$130,9,FALSE)</f>
        <v>#N/A</v>
      </c>
      <c r="AL129" s="203" t="e">
        <f>VLOOKUP($A129,INICIO_BARRA!$A$6:$R$130,10,FALSE)</f>
        <v>#N/A</v>
      </c>
      <c r="AM129" s="203" t="str">
        <f>IFERROR(VLOOKUP($A129,REPOSICIONES_BARRA!$A$6:$I$130,6,FALSE),"")</f>
        <v/>
      </c>
      <c r="AN129" s="315" t="e">
        <f t="shared" si="74"/>
        <v>#N/A</v>
      </c>
      <c r="AO129" s="316" t="e">
        <f t="shared" si="75"/>
        <v>#N/A</v>
      </c>
      <c r="AP129" s="317" t="str">
        <f>IFERROR(IFERROR(VLOOKUP($A129,VENTAS!$H$2:$O$201,5,FALSE),"")/$C129,"")</f>
        <v/>
      </c>
      <c r="AQ129" s="111"/>
      <c r="AR129" s="203" t="e">
        <f>VLOOKUP($A129,INICIO_BARRA!$A$6:$R$130,11,FALSE)</f>
        <v>#N/A</v>
      </c>
      <c r="AS129" s="203" t="e">
        <f>VLOOKUP($A129,INICIO_BARRA!$A$6:$R$130,12,FALSE)</f>
        <v>#N/A</v>
      </c>
      <c r="AT129" s="11"/>
      <c r="AU129" s="94" t="str">
        <f>IFERROR(IFERROR(IF(AT129&gt;0,"",AT129*VLOOKUP($A129,'VALOR I.'!$B$6:$K$418,10,FALSE)),"")*$C129,"")</f>
        <v/>
      </c>
      <c r="AV129" s="203" t="e">
        <f>VLOOKUP($A129,INICIO_BARRA!$A$6:$R$130,11,FALSE)</f>
        <v>#N/A</v>
      </c>
      <c r="AW129" s="203" t="e">
        <f>VLOOKUP($A129,INICIO_BARRA!$A$6:$R$130,12,FALSE)</f>
        <v>#N/A</v>
      </c>
      <c r="AX129" s="203" t="str">
        <f>IFERROR(VLOOKUP($A129,REPOSICIONES_BARRA!$A$6:$I$130,7,FALSE),"")</f>
        <v/>
      </c>
      <c r="AY129" s="315" t="e">
        <f t="shared" si="76"/>
        <v>#N/A</v>
      </c>
      <c r="AZ129" s="316" t="e">
        <f t="shared" si="77"/>
        <v>#N/A</v>
      </c>
      <c r="BA129" s="317" t="str">
        <f>IFERROR(IFERROR(VLOOKUP($A129,VENTAS!$H$2:$O$201,6,FALSE),"")/$C129,"")</f>
        <v/>
      </c>
      <c r="BB129" s="111"/>
      <c r="BC129" s="203" t="e">
        <f>VLOOKUP($A129,INICIO_BARRA!$A$6:$R$130,13,FALSE)</f>
        <v>#N/A</v>
      </c>
      <c r="BD129" s="203" t="e">
        <f>VLOOKUP($A129,INICIO_BARRA!$A$6:$R$130,14,FALSE)</f>
        <v>#N/A</v>
      </c>
      <c r="BE129" s="11"/>
      <c r="BF129" s="94" t="str">
        <f>IFERROR(IFERROR(IF(BE129&gt;0,"",BE129*VLOOKUP($A129,'VALOR I.'!$B$6:$K$418,10,FALSE)),"")*$C129,"")</f>
        <v/>
      </c>
      <c r="BG129" s="203" t="e">
        <f>VLOOKUP($A129,INICIO_BARRA!$A$6:$R$130,13,FALSE)</f>
        <v>#N/A</v>
      </c>
      <c r="BH129" s="203" t="e">
        <f>VLOOKUP($A129,INICIO_BARRA!$A$6:$R$130,14,FALSE)</f>
        <v>#N/A</v>
      </c>
      <c r="BI129" s="203" t="str">
        <f>IFERROR(VLOOKUP($A129,REPOSICIONES_BARRA!$A$6:$I$130,8,FALSE),"")</f>
        <v/>
      </c>
      <c r="BJ129" s="315" t="e">
        <f t="shared" si="78"/>
        <v>#N/A</v>
      </c>
      <c r="BK129" s="316" t="e">
        <f t="shared" si="79"/>
        <v>#N/A</v>
      </c>
      <c r="BL129" s="317" t="str">
        <f>IFERROR(IFERROR(VLOOKUP($A129,VENTAS!$H$2:$O$201,7,FALSE),"")/$C129,"")</f>
        <v/>
      </c>
      <c r="BM129" s="111"/>
      <c r="BN129" s="203" t="e">
        <f>VLOOKUP($A129,INICIO_BARRA!$A$6:$R$130,15,FALSE)</f>
        <v>#N/A</v>
      </c>
      <c r="BO129" s="203" t="e">
        <f>VLOOKUP($A129,INICIO_BARRA!$A$6:$R$130,16,FALSE)</f>
        <v>#N/A</v>
      </c>
      <c r="BP129" s="11"/>
      <c r="BQ129" s="94" t="str">
        <f>IFERROR(IFERROR(IF(BP129&gt;0,"",BP129*VLOOKUP($A129,'VALOR I.'!$B$6:$K$418,10,FALSE)),"")*$C129,"")</f>
        <v/>
      </c>
      <c r="BR129" s="203" t="e">
        <f>VLOOKUP($A129,INICIO_BARRA!$A$6:$R$130,15,FALSE)</f>
        <v>#N/A</v>
      </c>
      <c r="BS129" s="203" t="e">
        <f>VLOOKUP($A129,INICIO_BARRA!$A$6:$R$130,16,FALSE)</f>
        <v>#N/A</v>
      </c>
      <c r="BT129" s="203" t="str">
        <f>IFERROR(VLOOKUP($A129,REPOSICIONES_BARRA!$A$6:$I$130,9,FALSE),"")</f>
        <v/>
      </c>
      <c r="BU129" s="315" t="e">
        <f t="shared" si="82"/>
        <v>#N/A</v>
      </c>
      <c r="BV129" s="316" t="e">
        <f t="shared" si="83"/>
        <v>#N/A</v>
      </c>
      <c r="BW129" s="317" t="str">
        <f>IFERROR(IFERROR(VLOOKUP($A129,VENTAS!$H$2:$O$201,8,FALSE),"")/$C129,"")</f>
        <v/>
      </c>
      <c r="BX129" s="111"/>
      <c r="BY129" s="203" t="e">
        <f>VLOOKUP($A129,INICIO_BARRA!$A$6:$R$130,17,FALSE)</f>
        <v>#N/A</v>
      </c>
      <c r="BZ129" s="203" t="e">
        <f>VLOOKUP($A129,INICIO_BARRA!$A$6:$R$130,18,FALSE)</f>
        <v>#N/A</v>
      </c>
      <c r="CA129" s="11"/>
      <c r="CB129" s="94" t="str">
        <f>IFERROR(IFERROR(IF(CA129&gt;0,"",CA129*VLOOKUP($A129,'VALOR I.'!$B$6:$K$418,10,FALSE)),"")*$C129,"")</f>
        <v/>
      </c>
    </row>
    <row r="130" spans="1:80" s="7" customFormat="1" ht="30" hidden="1" customHeight="1" x14ac:dyDescent="0.45">
      <c r="A130" s="3"/>
      <c r="B130" s="32"/>
      <c r="C130" s="142"/>
      <c r="D130" s="203" t="e">
        <f>VLOOKUP($A130,INICIO_BARRA!$A$6:$R$130,3,FALSE)</f>
        <v>#N/A</v>
      </c>
      <c r="E130" s="203" t="e">
        <f>VLOOKUP($A130,INICIO_BARRA!$A$6:$R$130,4,FALSE)</f>
        <v>#N/A</v>
      </c>
      <c r="F130" s="203" t="str">
        <f>IFERROR(VLOOKUP($A130,REPOSICIONES_BARRA!$A$6:$I$130,3,FALSE),"")</f>
        <v/>
      </c>
      <c r="G130" s="315" t="e">
        <f t="shared" si="80"/>
        <v>#N/A</v>
      </c>
      <c r="H130" s="316" t="e">
        <f t="shared" si="81"/>
        <v>#N/A</v>
      </c>
      <c r="I130" s="317" t="str">
        <f>IFERROR(IFERROR(VLOOKUP($A130,VENTAS!$H$2:$O$201,2,FALSE),"")/$C130,"")</f>
        <v/>
      </c>
      <c r="J130" s="111"/>
      <c r="K130" s="203" t="e">
        <f>VLOOKUP($A130,INICIO_BARRA!$A$6:$R$130,5,FALSE)</f>
        <v>#N/A</v>
      </c>
      <c r="L130" s="203" t="e">
        <f>VLOOKUP($A130,INICIO_BARRA!$A$6:$R$130,6,FALSE)</f>
        <v>#N/A</v>
      </c>
      <c r="M130" s="11"/>
      <c r="N130" s="204" t="str">
        <f>IFERROR(IFERROR(IF(M130&gt;0,"",M130*VLOOKUP($A130,'VALOR I.'!$B$6:$K$418,10,FALSE)),"")*$C130,"")</f>
        <v/>
      </c>
      <c r="O130" s="203" t="e">
        <f>VLOOKUP($A130,INICIO_BARRA!$A$6:$R$130,5,FALSE)</f>
        <v>#N/A</v>
      </c>
      <c r="P130" s="203" t="e">
        <f>VLOOKUP($A130,INICIO_BARRA!$A$6:$R$130,6,FALSE)</f>
        <v>#N/A</v>
      </c>
      <c r="Q130" s="203" t="str">
        <f>IFERROR(VLOOKUP($A130,REPOSICIONES_BARRA!$A$6:$I$130,4,FALSE),"")</f>
        <v/>
      </c>
      <c r="R130" s="315" t="e">
        <f t="shared" si="70"/>
        <v>#N/A</v>
      </c>
      <c r="S130" s="316" t="e">
        <f t="shared" si="71"/>
        <v>#N/A</v>
      </c>
      <c r="T130" s="317" t="str">
        <f>IFERROR(IFERROR(VLOOKUP($A130,VENTAS!$H$2:$O$201,3,FALSE),"")/$C130,"")</f>
        <v/>
      </c>
      <c r="U130" s="111"/>
      <c r="V130" s="203" t="e">
        <f>VLOOKUP($A130,INICIO_BARRA!$A$6:$R$130,7,FALSE)</f>
        <v>#N/A</v>
      </c>
      <c r="W130" s="203" t="e">
        <f>VLOOKUP($A130,INICIO_BARRA!$A$6:$R$130,8,FALSE)</f>
        <v>#N/A</v>
      </c>
      <c r="X130" s="11"/>
      <c r="Y130" s="204" t="str">
        <f>IFERROR(IFERROR(IF(X130&gt;0,"",X130*VLOOKUP($A130,'VALOR I.'!$B$6:$K$418,10,FALSE)),"")*$C130,"")</f>
        <v/>
      </c>
      <c r="Z130" s="203" t="e">
        <f>VLOOKUP($A130,INICIO_BARRA!$A$6:$R$130,7,FALSE)</f>
        <v>#N/A</v>
      </c>
      <c r="AA130" s="203" t="e">
        <f>VLOOKUP($A130,INICIO_BARRA!$A$6:$R$130,8,FALSE)</f>
        <v>#N/A</v>
      </c>
      <c r="AB130" s="203" t="str">
        <f>IFERROR(VLOOKUP($A130,REPOSICIONES_BARRA!$A$6:$I$130,5,FALSE),"")</f>
        <v/>
      </c>
      <c r="AC130" s="315" t="e">
        <f t="shared" si="72"/>
        <v>#N/A</v>
      </c>
      <c r="AD130" s="316" t="e">
        <f t="shared" si="73"/>
        <v>#N/A</v>
      </c>
      <c r="AE130" s="317" t="str">
        <f>IFERROR(IFERROR(VLOOKUP($A130,VENTAS!$H$2:$O$201,4,FALSE),"")/$C130,"")</f>
        <v/>
      </c>
      <c r="AF130" s="111"/>
      <c r="AG130" s="203" t="e">
        <f>VLOOKUP($A130,INICIO_BARRA!$A$6:$R$130,9,FALSE)</f>
        <v>#N/A</v>
      </c>
      <c r="AH130" s="203" t="e">
        <f>VLOOKUP($A130,INICIO_BARRA!$A$6:$R$130,10,FALSE)</f>
        <v>#N/A</v>
      </c>
      <c r="AI130" s="11"/>
      <c r="AJ130" s="94" t="str">
        <f>IFERROR(IFERROR(IF(AI130&gt;0,"",AI130*VLOOKUP($A130,'VALOR I.'!$B$6:$K$418,10,FALSE)),"")*$C130,"")</f>
        <v/>
      </c>
      <c r="AK130" s="203" t="e">
        <f>VLOOKUP($A130,INICIO_BARRA!$A$6:$R$130,9,FALSE)</f>
        <v>#N/A</v>
      </c>
      <c r="AL130" s="203" t="e">
        <f>VLOOKUP($A130,INICIO_BARRA!$A$6:$R$130,10,FALSE)</f>
        <v>#N/A</v>
      </c>
      <c r="AM130" s="203" t="str">
        <f>IFERROR(VLOOKUP($A130,REPOSICIONES_BARRA!$A$6:$I$130,6,FALSE),"")</f>
        <v/>
      </c>
      <c r="AN130" s="315" t="e">
        <f t="shared" si="74"/>
        <v>#N/A</v>
      </c>
      <c r="AO130" s="316" t="e">
        <f t="shared" si="75"/>
        <v>#N/A</v>
      </c>
      <c r="AP130" s="317" t="str">
        <f>IFERROR(IFERROR(VLOOKUP($A130,VENTAS!$H$2:$O$201,5,FALSE),"")/$C130,"")</f>
        <v/>
      </c>
      <c r="AQ130" s="111"/>
      <c r="AR130" s="203" t="e">
        <f>VLOOKUP($A130,INICIO_BARRA!$A$6:$R$130,11,FALSE)</f>
        <v>#N/A</v>
      </c>
      <c r="AS130" s="203" t="e">
        <f>VLOOKUP($A130,INICIO_BARRA!$A$6:$R$130,12,FALSE)</f>
        <v>#N/A</v>
      </c>
      <c r="AT130" s="11"/>
      <c r="AU130" s="94" t="str">
        <f>IFERROR(IFERROR(IF(AT130&gt;0,"",AT130*VLOOKUP($A130,'VALOR I.'!$B$6:$K$418,10,FALSE)),"")*$C130,"")</f>
        <v/>
      </c>
      <c r="AV130" s="203" t="e">
        <f>VLOOKUP($A130,INICIO_BARRA!$A$6:$R$130,11,FALSE)</f>
        <v>#N/A</v>
      </c>
      <c r="AW130" s="203" t="e">
        <f>VLOOKUP($A130,INICIO_BARRA!$A$6:$R$130,12,FALSE)</f>
        <v>#N/A</v>
      </c>
      <c r="AX130" s="203" t="str">
        <f>IFERROR(VLOOKUP($A130,REPOSICIONES_BARRA!$A$6:$I$130,7,FALSE),"")</f>
        <v/>
      </c>
      <c r="AY130" s="315" t="e">
        <f t="shared" si="76"/>
        <v>#N/A</v>
      </c>
      <c r="AZ130" s="316" t="e">
        <f t="shared" si="77"/>
        <v>#N/A</v>
      </c>
      <c r="BA130" s="317" t="str">
        <f>IFERROR(IFERROR(VLOOKUP($A130,VENTAS!$H$2:$O$201,6,FALSE),"")/$C130,"")</f>
        <v/>
      </c>
      <c r="BB130" s="111"/>
      <c r="BC130" s="203" t="e">
        <f>VLOOKUP($A130,INICIO_BARRA!$A$6:$R$130,13,FALSE)</f>
        <v>#N/A</v>
      </c>
      <c r="BD130" s="203" t="e">
        <f>VLOOKUP($A130,INICIO_BARRA!$A$6:$R$130,14,FALSE)</f>
        <v>#N/A</v>
      </c>
      <c r="BE130" s="11"/>
      <c r="BF130" s="94" t="str">
        <f>IFERROR(IFERROR(IF(BE130&gt;0,"",BE130*VLOOKUP($A130,'VALOR I.'!$B$6:$K$418,10,FALSE)),"")*$C130,"")</f>
        <v/>
      </c>
      <c r="BG130" s="203" t="e">
        <f>VLOOKUP($A130,INICIO_BARRA!$A$6:$R$130,13,FALSE)</f>
        <v>#N/A</v>
      </c>
      <c r="BH130" s="203" t="e">
        <f>VLOOKUP($A130,INICIO_BARRA!$A$6:$R$130,14,FALSE)</f>
        <v>#N/A</v>
      </c>
      <c r="BI130" s="203" t="str">
        <f>IFERROR(VLOOKUP($A130,REPOSICIONES_BARRA!$A$6:$I$130,8,FALSE),"")</f>
        <v/>
      </c>
      <c r="BJ130" s="315" t="e">
        <f t="shared" si="78"/>
        <v>#N/A</v>
      </c>
      <c r="BK130" s="316" t="e">
        <f t="shared" si="79"/>
        <v>#N/A</v>
      </c>
      <c r="BL130" s="317" t="str">
        <f>IFERROR(IFERROR(VLOOKUP($A130,VENTAS!$H$2:$O$201,7,FALSE),"")/$C130,"")</f>
        <v/>
      </c>
      <c r="BM130" s="111"/>
      <c r="BN130" s="203" t="e">
        <f>VLOOKUP($A130,INICIO_BARRA!$A$6:$R$130,15,FALSE)</f>
        <v>#N/A</v>
      </c>
      <c r="BO130" s="203" t="e">
        <f>VLOOKUP($A130,INICIO_BARRA!$A$6:$R$130,16,FALSE)</f>
        <v>#N/A</v>
      </c>
      <c r="BP130" s="11"/>
      <c r="BQ130" s="94" t="str">
        <f>IFERROR(IFERROR(IF(BP130&gt;0,"",BP130*VLOOKUP($A130,'VALOR I.'!$B$6:$K$418,10,FALSE)),"")*$C130,"")</f>
        <v/>
      </c>
      <c r="BR130" s="203" t="e">
        <f>VLOOKUP($A130,INICIO_BARRA!$A$6:$R$130,15,FALSE)</f>
        <v>#N/A</v>
      </c>
      <c r="BS130" s="203" t="e">
        <f>VLOOKUP($A130,INICIO_BARRA!$A$6:$R$130,16,FALSE)</f>
        <v>#N/A</v>
      </c>
      <c r="BT130" s="203" t="str">
        <f>IFERROR(VLOOKUP($A130,REPOSICIONES_BARRA!$A$6:$I$130,9,FALSE),"")</f>
        <v/>
      </c>
      <c r="BU130" s="315" t="e">
        <f t="shared" si="82"/>
        <v>#N/A</v>
      </c>
      <c r="BV130" s="316" t="e">
        <f t="shared" si="83"/>
        <v>#N/A</v>
      </c>
      <c r="BW130" s="317" t="str">
        <f>IFERROR(IFERROR(VLOOKUP($A130,VENTAS!$H$2:$O$201,8,FALSE),"")/$C130,"")</f>
        <v/>
      </c>
      <c r="BX130" s="111"/>
      <c r="BY130" s="203" t="e">
        <f>VLOOKUP($A130,INICIO_BARRA!$A$6:$R$130,17,FALSE)</f>
        <v>#N/A</v>
      </c>
      <c r="BZ130" s="203" t="e">
        <f>VLOOKUP($A130,INICIO_BARRA!$A$6:$R$130,18,FALSE)</f>
        <v>#N/A</v>
      </c>
      <c r="CA130" s="11"/>
      <c r="CB130" s="94" t="str">
        <f>IFERROR(IFERROR(IF(CA130&gt;0,"",CA130*VLOOKUP($A130,'VALOR I.'!$B$6:$K$418,10,FALSE)),"")*$C130,"")</f>
        <v/>
      </c>
    </row>
    <row r="131" spans="1:80" s="7" customFormat="1" ht="30" hidden="1" customHeight="1" x14ac:dyDescent="0.45">
      <c r="A131" s="3"/>
      <c r="B131" s="32"/>
      <c r="C131" s="142"/>
      <c r="D131" s="203" t="e">
        <f>VLOOKUP($A131,INICIO_BARRA!$A$6:$R$130,3,FALSE)</f>
        <v>#N/A</v>
      </c>
      <c r="E131" s="203" t="e">
        <f>VLOOKUP($A131,INICIO_BARRA!$A$6:$R$130,4,FALSE)</f>
        <v>#N/A</v>
      </c>
      <c r="F131" s="203" t="str">
        <f>IFERROR(VLOOKUP($A131,REPOSICIONES_BARRA!$A$6:$I$130,3,FALSE),"")</f>
        <v/>
      </c>
      <c r="G131" s="315" t="e">
        <f t="shared" si="80"/>
        <v>#N/A</v>
      </c>
      <c r="H131" s="316" t="e">
        <f t="shared" si="81"/>
        <v>#N/A</v>
      </c>
      <c r="I131" s="317" t="str">
        <f>IFERROR(IFERROR(VLOOKUP($A131,VENTAS!$H$2:$O$201,2,FALSE),"")/$C131,"")</f>
        <v/>
      </c>
      <c r="J131" s="111"/>
      <c r="K131" s="203" t="e">
        <f>VLOOKUP($A131,INICIO_BARRA!$A$6:$R$130,5,FALSE)</f>
        <v>#N/A</v>
      </c>
      <c r="L131" s="203" t="e">
        <f>VLOOKUP($A131,INICIO_BARRA!$A$6:$R$130,6,FALSE)</f>
        <v>#N/A</v>
      </c>
      <c r="M131" s="11"/>
      <c r="N131" s="204" t="str">
        <f>IFERROR(IFERROR(IF(M131&gt;0,"",M131*VLOOKUP($A131,'VALOR I.'!$B$6:$K$418,10,FALSE)),"")*$C131,"")</f>
        <v/>
      </c>
      <c r="O131" s="203" t="e">
        <f>VLOOKUP($A131,INICIO_BARRA!$A$6:$R$130,5,FALSE)</f>
        <v>#N/A</v>
      </c>
      <c r="P131" s="203" t="e">
        <f>VLOOKUP($A131,INICIO_BARRA!$A$6:$R$130,6,FALSE)</f>
        <v>#N/A</v>
      </c>
      <c r="Q131" s="203" t="str">
        <f>IFERROR(VLOOKUP($A131,REPOSICIONES_BARRA!$A$6:$I$130,4,FALSE),"")</f>
        <v/>
      </c>
      <c r="R131" s="315" t="e">
        <f t="shared" si="70"/>
        <v>#N/A</v>
      </c>
      <c r="S131" s="316" t="e">
        <f t="shared" si="71"/>
        <v>#N/A</v>
      </c>
      <c r="T131" s="317" t="str">
        <f>IFERROR(IFERROR(VLOOKUP($A131,VENTAS!$H$2:$O$201,3,FALSE),"")/$C131,"")</f>
        <v/>
      </c>
      <c r="U131" s="111"/>
      <c r="V131" s="203" t="e">
        <f>VLOOKUP($A131,INICIO_BARRA!$A$6:$R$130,7,FALSE)</f>
        <v>#N/A</v>
      </c>
      <c r="W131" s="203" t="e">
        <f>VLOOKUP($A131,INICIO_BARRA!$A$6:$R$130,8,FALSE)</f>
        <v>#N/A</v>
      </c>
      <c r="X131" s="11"/>
      <c r="Y131" s="204" t="str">
        <f>IFERROR(IFERROR(IF(X131&gt;0,"",X131*VLOOKUP($A131,'VALOR I.'!$B$6:$K$418,10,FALSE)),"")*$C131,"")</f>
        <v/>
      </c>
      <c r="Z131" s="203" t="e">
        <f>VLOOKUP($A131,INICIO_BARRA!$A$6:$R$130,7,FALSE)</f>
        <v>#N/A</v>
      </c>
      <c r="AA131" s="203" t="e">
        <f>VLOOKUP($A131,INICIO_BARRA!$A$6:$R$130,8,FALSE)</f>
        <v>#N/A</v>
      </c>
      <c r="AB131" s="203" t="str">
        <f>IFERROR(VLOOKUP($A131,REPOSICIONES_BARRA!$A$6:$I$130,5,FALSE),"")</f>
        <v/>
      </c>
      <c r="AC131" s="315" t="e">
        <f t="shared" si="72"/>
        <v>#N/A</v>
      </c>
      <c r="AD131" s="316" t="e">
        <f t="shared" si="73"/>
        <v>#N/A</v>
      </c>
      <c r="AE131" s="317" t="str">
        <f>IFERROR(IFERROR(VLOOKUP($A131,VENTAS!$H$2:$O$201,4,FALSE),"")/$C131,"")</f>
        <v/>
      </c>
      <c r="AF131" s="111"/>
      <c r="AG131" s="203" t="e">
        <f>VLOOKUP($A131,INICIO_BARRA!$A$6:$R$130,9,FALSE)</f>
        <v>#N/A</v>
      </c>
      <c r="AH131" s="203" t="e">
        <f>VLOOKUP($A131,INICIO_BARRA!$A$6:$R$130,10,FALSE)</f>
        <v>#N/A</v>
      </c>
      <c r="AI131" s="11"/>
      <c r="AJ131" s="94" t="str">
        <f>IFERROR(IFERROR(IF(AI131&gt;0,"",AI131*VLOOKUP($A131,'VALOR I.'!$B$6:$K$418,10,FALSE)),"")*$C131,"")</f>
        <v/>
      </c>
      <c r="AK131" s="203" t="e">
        <f>VLOOKUP($A131,INICIO_BARRA!$A$6:$R$130,9,FALSE)</f>
        <v>#N/A</v>
      </c>
      <c r="AL131" s="203" t="e">
        <f>VLOOKUP($A131,INICIO_BARRA!$A$6:$R$130,10,FALSE)</f>
        <v>#N/A</v>
      </c>
      <c r="AM131" s="203" t="str">
        <f>IFERROR(VLOOKUP($A131,REPOSICIONES_BARRA!$A$6:$I$130,6,FALSE),"")</f>
        <v/>
      </c>
      <c r="AN131" s="315" t="e">
        <f t="shared" si="74"/>
        <v>#N/A</v>
      </c>
      <c r="AO131" s="316" t="e">
        <f t="shared" si="75"/>
        <v>#N/A</v>
      </c>
      <c r="AP131" s="317" t="str">
        <f>IFERROR(IFERROR(VLOOKUP($A131,VENTAS!$H$2:$O$201,5,FALSE),"")/$C131,"")</f>
        <v/>
      </c>
      <c r="AQ131" s="111"/>
      <c r="AR131" s="203" t="e">
        <f>VLOOKUP($A131,INICIO_BARRA!$A$6:$R$130,11,FALSE)</f>
        <v>#N/A</v>
      </c>
      <c r="AS131" s="203" t="e">
        <f>VLOOKUP($A131,INICIO_BARRA!$A$6:$R$130,12,FALSE)</f>
        <v>#N/A</v>
      </c>
      <c r="AT131" s="11"/>
      <c r="AU131" s="94" t="str">
        <f>IFERROR(IFERROR(IF(AT131&gt;0,"",AT131*VLOOKUP($A131,'VALOR I.'!$B$6:$K$418,10,FALSE)),"")*$C131,"")</f>
        <v/>
      </c>
      <c r="AV131" s="203" t="e">
        <f>VLOOKUP($A131,INICIO_BARRA!$A$6:$R$130,11,FALSE)</f>
        <v>#N/A</v>
      </c>
      <c r="AW131" s="203" t="e">
        <f>VLOOKUP($A131,INICIO_BARRA!$A$6:$R$130,12,FALSE)</f>
        <v>#N/A</v>
      </c>
      <c r="AX131" s="203" t="str">
        <f>IFERROR(VLOOKUP($A131,REPOSICIONES_BARRA!$A$6:$I$130,7,FALSE),"")</f>
        <v/>
      </c>
      <c r="AY131" s="315" t="e">
        <f t="shared" si="76"/>
        <v>#N/A</v>
      </c>
      <c r="AZ131" s="316" t="e">
        <f t="shared" si="77"/>
        <v>#N/A</v>
      </c>
      <c r="BA131" s="317" t="str">
        <f>IFERROR(IFERROR(VLOOKUP($A131,VENTAS!$H$2:$O$201,6,FALSE),"")/$C131,"")</f>
        <v/>
      </c>
      <c r="BB131" s="111"/>
      <c r="BC131" s="203" t="e">
        <f>VLOOKUP($A131,INICIO_BARRA!$A$6:$R$130,13,FALSE)</f>
        <v>#N/A</v>
      </c>
      <c r="BD131" s="203" t="e">
        <f>VLOOKUP($A131,INICIO_BARRA!$A$6:$R$130,14,FALSE)</f>
        <v>#N/A</v>
      </c>
      <c r="BE131" s="11"/>
      <c r="BF131" s="94" t="str">
        <f>IFERROR(IFERROR(IF(BE131&gt;0,"",BE131*VLOOKUP($A131,'VALOR I.'!$B$6:$K$418,10,FALSE)),"")*$C131,"")</f>
        <v/>
      </c>
      <c r="BG131" s="203" t="e">
        <f>VLOOKUP($A131,INICIO_BARRA!$A$6:$R$130,13,FALSE)</f>
        <v>#N/A</v>
      </c>
      <c r="BH131" s="203" t="e">
        <f>VLOOKUP($A131,INICIO_BARRA!$A$6:$R$130,14,FALSE)</f>
        <v>#N/A</v>
      </c>
      <c r="BI131" s="203" t="str">
        <f>IFERROR(VLOOKUP($A131,REPOSICIONES_BARRA!$A$6:$I$130,8,FALSE),"")</f>
        <v/>
      </c>
      <c r="BJ131" s="315" t="e">
        <f t="shared" si="78"/>
        <v>#N/A</v>
      </c>
      <c r="BK131" s="316" t="e">
        <f t="shared" si="79"/>
        <v>#N/A</v>
      </c>
      <c r="BL131" s="317" t="str">
        <f>IFERROR(IFERROR(VLOOKUP($A131,VENTAS!$H$2:$O$201,7,FALSE),"")/$C131,"")</f>
        <v/>
      </c>
      <c r="BM131" s="111"/>
      <c r="BN131" s="203" t="e">
        <f>VLOOKUP($A131,INICIO_BARRA!$A$6:$R$130,15,FALSE)</f>
        <v>#N/A</v>
      </c>
      <c r="BO131" s="203" t="e">
        <f>VLOOKUP($A131,INICIO_BARRA!$A$6:$R$130,16,FALSE)</f>
        <v>#N/A</v>
      </c>
      <c r="BP131" s="11"/>
      <c r="BQ131" s="94" t="str">
        <f>IFERROR(IFERROR(IF(BP131&gt;0,"",BP131*VLOOKUP($A131,'VALOR I.'!$B$6:$K$418,10,FALSE)),"")*$C131,"")</f>
        <v/>
      </c>
      <c r="BR131" s="203" t="e">
        <f>VLOOKUP($A131,INICIO_BARRA!$A$6:$R$130,15,FALSE)</f>
        <v>#N/A</v>
      </c>
      <c r="BS131" s="203" t="e">
        <f>VLOOKUP($A131,INICIO_BARRA!$A$6:$R$130,16,FALSE)</f>
        <v>#N/A</v>
      </c>
      <c r="BT131" s="203" t="str">
        <f>IFERROR(VLOOKUP($A131,REPOSICIONES_BARRA!$A$6:$I$130,9,FALSE),"")</f>
        <v/>
      </c>
      <c r="BU131" s="315" t="e">
        <f t="shared" si="82"/>
        <v>#N/A</v>
      </c>
      <c r="BV131" s="316" t="e">
        <f t="shared" si="83"/>
        <v>#N/A</v>
      </c>
      <c r="BW131" s="317" t="str">
        <f>IFERROR(IFERROR(VLOOKUP($A131,VENTAS!$H$2:$O$201,8,FALSE),"")/$C131,"")</f>
        <v/>
      </c>
      <c r="BX131" s="111"/>
      <c r="BY131" s="203" t="e">
        <f>VLOOKUP($A131,INICIO_BARRA!$A$6:$R$130,17,FALSE)</f>
        <v>#N/A</v>
      </c>
      <c r="BZ131" s="203" t="e">
        <f>VLOOKUP($A131,INICIO_BARRA!$A$6:$R$130,18,FALSE)</f>
        <v>#N/A</v>
      </c>
      <c r="CA131" s="11"/>
      <c r="CB131" s="94" t="str">
        <f>IFERROR(IFERROR(IF(CA131&gt;0,"",CA131*VLOOKUP($A131,'VALOR I.'!$B$6:$K$418,10,FALSE)),"")*$C131,"")</f>
        <v/>
      </c>
    </row>
    <row r="132" spans="1:80" s="7" customFormat="1" ht="30" customHeight="1" x14ac:dyDescent="0.3">
      <c r="A132" s="3" t="s">
        <v>237</v>
      </c>
      <c r="B132" s="299" t="s">
        <v>15</v>
      </c>
      <c r="C132" s="142">
        <v>75</v>
      </c>
      <c r="D132" s="203">
        <f>VLOOKUP($A132,INICIO_BARRA!$A$6:$R$130,3,FALSE)</f>
        <v>0</v>
      </c>
      <c r="E132" s="203">
        <f>VLOOKUP($A132,INICIO_BARRA!$A$6:$R$130,4,FALSE)</f>
        <v>0</v>
      </c>
      <c r="F132" s="203">
        <f>IFERROR(VLOOKUP($A132,REPOSICIONES_BARRA!$A$6:$I$130,3,FALSE),"")</f>
        <v>0</v>
      </c>
      <c r="G132" s="315">
        <f t="shared" si="80"/>
        <v>0</v>
      </c>
      <c r="H132" s="316">
        <f t="shared" si="81"/>
        <v>0</v>
      </c>
      <c r="I132" s="317">
        <f>IFERROR(IFERROR(VLOOKUP($A132,VENTAS!$H$2:$O$201,2,FALSE),"")/$C132,"")</f>
        <v>0</v>
      </c>
      <c r="J132" s="318">
        <f t="shared" si="84"/>
        <v>0</v>
      </c>
      <c r="K132" s="203">
        <f>VLOOKUP($A132,INICIO_BARRA!$A$6:$R$130,5,FALSE)</f>
        <v>2</v>
      </c>
      <c r="L132" s="203">
        <f>VLOOKUP($A132,INICIO_BARRA!$A$6:$R$130,6,FALSE)</f>
        <v>5</v>
      </c>
      <c r="M132" s="203">
        <f t="shared" si="85"/>
        <v>15</v>
      </c>
      <c r="N132" s="204" t="str">
        <f>IFERROR(IFERROR(IF(M132&gt;0,"",M132*VLOOKUP($A132,'VALOR I.'!$B$6:$K$418,10,FALSE)),"")*$C132,"")</f>
        <v/>
      </c>
      <c r="O132" s="203">
        <f>VLOOKUP($A132,INICIO_BARRA!$A$6:$R$130,5,FALSE)</f>
        <v>2</v>
      </c>
      <c r="P132" s="203">
        <f>VLOOKUP($A132,INICIO_BARRA!$A$6:$R$130,6,FALSE)</f>
        <v>5</v>
      </c>
      <c r="Q132" s="203">
        <f>IFERROR(VLOOKUP($A132,REPOSICIONES_BARRA!$A$6:$I$130,4,FALSE),"")</f>
        <v>0</v>
      </c>
      <c r="R132" s="315">
        <f t="shared" si="70"/>
        <v>2</v>
      </c>
      <c r="S132" s="316">
        <f t="shared" si="71"/>
        <v>5</v>
      </c>
      <c r="T132" s="317">
        <f>IFERROR(IFERROR(VLOOKUP($A132,VENTAS!$H$2:$O$201,3,FALSE),"")/$C132,"")</f>
        <v>1</v>
      </c>
      <c r="U132" s="318">
        <f t="shared" ref="U132:U134" si="156">IFERROR(((R132*5)+S132)-T132,"")</f>
        <v>14</v>
      </c>
      <c r="V132" s="203">
        <f>VLOOKUP($A132,INICIO_BARRA!$A$6:$R$130,7,FALSE)</f>
        <v>2</v>
      </c>
      <c r="W132" s="203">
        <f>VLOOKUP($A132,INICIO_BARRA!$A$6:$R$130,8,FALSE)</f>
        <v>4</v>
      </c>
      <c r="X132" s="203">
        <f t="shared" ref="X132:X134" si="157">IFERROR(((V132*5)+W132)-U132,"")</f>
        <v>0</v>
      </c>
      <c r="Y132" s="204">
        <f>IFERROR(IFERROR(IF(X132&gt;0,"",X132*VLOOKUP($A132,'VALOR I.'!$B$6:$K$418,10,FALSE)),"")*$C132,"")</f>
        <v>0</v>
      </c>
      <c r="Z132" s="203">
        <f>VLOOKUP($A132,INICIO_BARRA!$A$6:$R$130,7,FALSE)</f>
        <v>2</v>
      </c>
      <c r="AA132" s="203">
        <f>VLOOKUP($A132,INICIO_BARRA!$A$6:$R$130,8,FALSE)</f>
        <v>4</v>
      </c>
      <c r="AB132" s="203">
        <f>IFERROR(VLOOKUP($A132,REPOSICIONES_BARRA!$A$6:$I$130,5,FALSE),"")</f>
        <v>0</v>
      </c>
      <c r="AC132" s="315">
        <f t="shared" si="72"/>
        <v>2</v>
      </c>
      <c r="AD132" s="316">
        <f t="shared" si="73"/>
        <v>4</v>
      </c>
      <c r="AE132" s="317">
        <f>IFERROR(IFERROR(VLOOKUP($A132,VENTAS!$H$2:$O$201,4,FALSE),"")/$C132,"")</f>
        <v>1</v>
      </c>
      <c r="AF132" s="318">
        <f t="shared" ref="AF132:AF134" si="158">IFERROR(((AC132*5)+AD132)-AE132,"")</f>
        <v>13</v>
      </c>
      <c r="AG132" s="203">
        <f>VLOOKUP($A132,INICIO_BARRA!$A$6:$R$130,9,FALSE)</f>
        <v>2</v>
      </c>
      <c r="AH132" s="203">
        <f>VLOOKUP($A132,INICIO_BARRA!$A$6:$R$130,10,FALSE)</f>
        <v>2</v>
      </c>
      <c r="AI132" s="203">
        <f t="shared" ref="AI132:AI134" si="159">IFERROR(((AG132*5)+AH132)-AF132,"")</f>
        <v>-1</v>
      </c>
      <c r="AJ132" s="204">
        <f>IFERROR(IFERROR(IF(AI132&gt;0,"",AI132*VLOOKUP($A132,'VALOR I.'!$B$6:$K$418,10,FALSE)),"")*$C132,"")</f>
        <v>-1028.5170000000001</v>
      </c>
      <c r="AK132" s="203">
        <f>VLOOKUP($A132,INICIO_BARRA!$A$6:$R$130,9,FALSE)</f>
        <v>2</v>
      </c>
      <c r="AL132" s="203">
        <f>VLOOKUP($A132,INICIO_BARRA!$A$6:$R$130,10,FALSE)</f>
        <v>2</v>
      </c>
      <c r="AM132" s="203">
        <f>IFERROR(VLOOKUP($A132,REPOSICIONES_BARRA!$A$6:$I$130,6,FALSE),"")</f>
        <v>0</v>
      </c>
      <c r="AN132" s="315">
        <f t="shared" si="74"/>
        <v>2</v>
      </c>
      <c r="AO132" s="316">
        <f t="shared" si="75"/>
        <v>2</v>
      </c>
      <c r="AP132" s="317">
        <f>IFERROR(IFERROR(VLOOKUP($A132,VENTAS!$H$2:$O$201,5,FALSE),"")/$C132,"")</f>
        <v>0</v>
      </c>
      <c r="AQ132" s="318">
        <f t="shared" ref="AQ132:AQ134" si="160">IFERROR(((AN132*5)+AO132)-AP132,"")</f>
        <v>12</v>
      </c>
      <c r="AR132" s="203">
        <f>VLOOKUP($A132,INICIO_BARRA!$A$6:$R$130,11,FALSE)</f>
        <v>2</v>
      </c>
      <c r="AS132" s="203">
        <f>VLOOKUP($A132,INICIO_BARRA!$A$6:$R$130,12,FALSE)</f>
        <v>1</v>
      </c>
      <c r="AT132" s="203">
        <f t="shared" ref="AT132:AT134" si="161">IFERROR(((AR132*5)+AS132)-AQ132,"")</f>
        <v>-1</v>
      </c>
      <c r="AU132" s="204">
        <f>IFERROR(IFERROR(IF(AT132&gt;0,"",AT132*VLOOKUP($A132,'VALOR I.'!$B$6:$K$418,10,FALSE)),"")*$C132,"")</f>
        <v>-1028.5170000000001</v>
      </c>
      <c r="AV132" s="203">
        <f>VLOOKUP($A132,INICIO_BARRA!$A$6:$R$130,11,FALSE)</f>
        <v>2</v>
      </c>
      <c r="AW132" s="203">
        <f>VLOOKUP($A132,INICIO_BARRA!$A$6:$R$130,12,FALSE)</f>
        <v>1</v>
      </c>
      <c r="AX132" s="203">
        <f>IFERROR(VLOOKUP($A132,REPOSICIONES_BARRA!$A$6:$I$130,7,FALSE),"")</f>
        <v>0</v>
      </c>
      <c r="AY132" s="315">
        <f t="shared" si="76"/>
        <v>2</v>
      </c>
      <c r="AZ132" s="316">
        <f t="shared" si="77"/>
        <v>1</v>
      </c>
      <c r="BA132" s="317">
        <f>IFERROR(IFERROR(VLOOKUP($A132,VENTAS!$H$2:$O$201,6,FALSE),"")/$C132,"")</f>
        <v>2.0266666666666668</v>
      </c>
      <c r="BB132" s="318">
        <f t="shared" ref="BB132:BB134" si="162">IFERROR(((AY132*5)+AZ132)-BA132,"")</f>
        <v>8.9733333333333327</v>
      </c>
      <c r="BC132" s="203">
        <f>VLOOKUP($A132,INICIO_BARRA!$A$6:$R$130,13,FALSE)</f>
        <v>1</v>
      </c>
      <c r="BD132" s="203">
        <f>VLOOKUP($A132,INICIO_BARRA!$A$6:$R$130,14,FALSE)</f>
        <v>12</v>
      </c>
      <c r="BE132" s="203">
        <f t="shared" ref="BE132:BE134" si="163">IFERROR(((BC132*5)+BD132)-BB132,"")</f>
        <v>8.0266666666666673</v>
      </c>
      <c r="BF132" s="204" t="str">
        <f>IFERROR(IFERROR(IF(BE132&gt;0,"",BE132*VLOOKUP($A132,'VALOR I.'!$B$6:$K$418,10,FALSE)),"")*$C132,"")</f>
        <v/>
      </c>
      <c r="BG132" s="203">
        <f>VLOOKUP($A132,INICIO_BARRA!$A$6:$R$130,13,FALSE)</f>
        <v>1</v>
      </c>
      <c r="BH132" s="203">
        <f>VLOOKUP($A132,INICIO_BARRA!$A$6:$R$130,14,FALSE)</f>
        <v>12</v>
      </c>
      <c r="BI132" s="203">
        <f>IFERROR(VLOOKUP($A132,REPOSICIONES_BARRA!$A$6:$I$130,8,FALSE),"")</f>
        <v>0</v>
      </c>
      <c r="BJ132" s="315">
        <f t="shared" si="78"/>
        <v>1</v>
      </c>
      <c r="BK132" s="316">
        <f t="shared" si="79"/>
        <v>12</v>
      </c>
      <c r="BL132" s="317">
        <f>IFERROR(IFERROR(VLOOKUP($A132,VENTAS!$H$2:$O$201,7,FALSE),"")/$C132,"")</f>
        <v>1</v>
      </c>
      <c r="BM132" s="318">
        <f t="shared" ref="BM132:BM134" si="164">IFERROR(((BJ132*5)+BK132)-BL132,"")</f>
        <v>16</v>
      </c>
      <c r="BN132" s="203">
        <f>VLOOKUP($A132,INICIO_BARRA!$A$6:$R$130,15,FALSE)</f>
        <v>1</v>
      </c>
      <c r="BO132" s="203">
        <f>VLOOKUP($A132,INICIO_BARRA!$A$6:$R$130,16,FALSE)</f>
        <v>10</v>
      </c>
      <c r="BP132" s="203">
        <f t="shared" ref="BP132:BP134" si="165">IFERROR(((BN132*5)+BO132)-BM132,"")</f>
        <v>-1</v>
      </c>
      <c r="BQ132" s="204">
        <f>IFERROR(IFERROR(IF(BP132&gt;0,"",BP132*VLOOKUP($A132,'VALOR I.'!$B$6:$K$418,10,FALSE)),"")*$C132,"")</f>
        <v>-1028.5170000000001</v>
      </c>
      <c r="BR132" s="203"/>
      <c r="BS132" s="203"/>
      <c r="BT132" s="203"/>
      <c r="BU132" s="315"/>
      <c r="BV132" s="316"/>
      <c r="BW132" s="317"/>
      <c r="BX132" s="318"/>
      <c r="BY132" s="203"/>
      <c r="BZ132" s="203"/>
      <c r="CA132" s="203"/>
      <c r="CB132" s="204"/>
    </row>
    <row r="133" spans="1:80" s="7" customFormat="1" ht="30" customHeight="1" x14ac:dyDescent="0.3">
      <c r="A133" s="3" t="s">
        <v>267</v>
      </c>
      <c r="B133" s="313" t="s">
        <v>26</v>
      </c>
      <c r="C133" s="142">
        <v>75</v>
      </c>
      <c r="D133" s="203">
        <f>VLOOKUP($A133,INICIO_BARRA!$A$6:$R$130,3,FALSE)</f>
        <v>0</v>
      </c>
      <c r="E133" s="203">
        <f>VLOOKUP($A133,INICIO_BARRA!$A$6:$R$130,4,FALSE)</f>
        <v>0</v>
      </c>
      <c r="F133" s="203">
        <f>IFERROR(VLOOKUP($A133,REPOSICIONES_BARRA!$A$6:$I$130,3,FALSE),"")</f>
        <v>0</v>
      </c>
      <c r="G133" s="315">
        <f t="shared" si="80"/>
        <v>0</v>
      </c>
      <c r="H133" s="316">
        <f t="shared" si="81"/>
        <v>0</v>
      </c>
      <c r="I133" s="317">
        <f>IFERROR(IFERROR(VLOOKUP($A133,VENTAS!$H$2:$O$201,2,FALSE),"")/$C133,"")</f>
        <v>0</v>
      </c>
      <c r="J133" s="318">
        <f t="shared" si="84"/>
        <v>0</v>
      </c>
      <c r="K133" s="203">
        <f>VLOOKUP($A133,INICIO_BARRA!$A$6:$R$130,5,FALSE)</f>
        <v>4</v>
      </c>
      <c r="L133" s="203">
        <f>VLOOKUP($A133,INICIO_BARRA!$A$6:$R$130,6,FALSE)</f>
        <v>5</v>
      </c>
      <c r="M133" s="203">
        <f t="shared" si="85"/>
        <v>25</v>
      </c>
      <c r="N133" s="204" t="str">
        <f>IFERROR(IFERROR(IF(M133&gt;0,"",M133*VLOOKUP($A133,'VALOR I.'!$B$6:$K$418,10,FALSE)),"")*$C133,"")</f>
        <v/>
      </c>
      <c r="O133" s="203">
        <f>VLOOKUP($A133,INICIO_BARRA!$A$6:$R$130,5,FALSE)</f>
        <v>4</v>
      </c>
      <c r="P133" s="203">
        <f>VLOOKUP($A133,INICIO_BARRA!$A$6:$R$130,6,FALSE)</f>
        <v>5</v>
      </c>
      <c r="Q133" s="203">
        <f>IFERROR(VLOOKUP($A133,REPOSICIONES_BARRA!$A$6:$I$130,4,FALSE),"")</f>
        <v>0</v>
      </c>
      <c r="R133" s="315">
        <f t="shared" si="70"/>
        <v>4</v>
      </c>
      <c r="S133" s="316">
        <f t="shared" si="71"/>
        <v>5</v>
      </c>
      <c r="T133" s="317">
        <f>IFERROR(IFERROR(VLOOKUP($A133,VENTAS!$H$2:$O$201,3,FALSE),"")/$C133,"")</f>
        <v>1</v>
      </c>
      <c r="U133" s="318">
        <f t="shared" si="156"/>
        <v>24</v>
      </c>
      <c r="V133" s="203">
        <f>VLOOKUP($A133,INICIO_BARRA!$A$6:$R$130,7,FALSE)</f>
        <v>4</v>
      </c>
      <c r="W133" s="203">
        <f>VLOOKUP($A133,INICIO_BARRA!$A$6:$R$130,8,FALSE)</f>
        <v>3</v>
      </c>
      <c r="X133" s="203">
        <f t="shared" si="157"/>
        <v>-1</v>
      </c>
      <c r="Y133" s="204">
        <f>IFERROR(IFERROR(IF(X133&gt;0,"",X133*VLOOKUP($A133,'VALOR I.'!$B$6:$K$418,10,FALSE)),"")*$C133,"")</f>
        <v>-939.7650000000001</v>
      </c>
      <c r="Z133" s="203">
        <f>VLOOKUP($A133,INICIO_BARRA!$A$6:$R$130,7,FALSE)</f>
        <v>4</v>
      </c>
      <c r="AA133" s="203">
        <f>VLOOKUP($A133,INICIO_BARRA!$A$6:$R$130,8,FALSE)</f>
        <v>3</v>
      </c>
      <c r="AB133" s="203">
        <f>IFERROR(VLOOKUP($A133,REPOSICIONES_BARRA!$A$6:$I$130,5,FALSE),"")</f>
        <v>0</v>
      </c>
      <c r="AC133" s="315">
        <f t="shared" si="72"/>
        <v>4</v>
      </c>
      <c r="AD133" s="316">
        <f t="shared" si="73"/>
        <v>3</v>
      </c>
      <c r="AE133" s="317">
        <f>IFERROR(IFERROR(VLOOKUP($A133,VENTAS!$H$2:$O$201,4,FALSE),"")/$C133,"")</f>
        <v>3</v>
      </c>
      <c r="AF133" s="318">
        <f t="shared" si="158"/>
        <v>20</v>
      </c>
      <c r="AG133" s="203">
        <f>VLOOKUP($A133,INICIO_BARRA!$A$6:$R$130,9,FALSE)</f>
        <v>3</v>
      </c>
      <c r="AH133" s="203">
        <f>VLOOKUP($A133,INICIO_BARRA!$A$6:$R$130,10,FALSE)</f>
        <v>8</v>
      </c>
      <c r="AI133" s="203">
        <f t="shared" si="159"/>
        <v>3</v>
      </c>
      <c r="AJ133" s="204" t="str">
        <f>IFERROR(IFERROR(IF(AI133&gt;0,"",AI133*VLOOKUP($A133,'VALOR I.'!$B$6:$K$418,10,FALSE)),"")*$C133,"")</f>
        <v/>
      </c>
      <c r="AK133" s="203">
        <f>VLOOKUP($A133,INICIO_BARRA!$A$6:$R$130,9,FALSE)</f>
        <v>3</v>
      </c>
      <c r="AL133" s="203">
        <f>VLOOKUP($A133,INICIO_BARRA!$A$6:$R$130,10,FALSE)</f>
        <v>8</v>
      </c>
      <c r="AM133" s="203">
        <f>IFERROR(VLOOKUP($A133,REPOSICIONES_BARRA!$A$6:$I$130,6,FALSE),"")</f>
        <v>0</v>
      </c>
      <c r="AN133" s="315">
        <f t="shared" si="74"/>
        <v>3</v>
      </c>
      <c r="AO133" s="316">
        <f t="shared" si="75"/>
        <v>8</v>
      </c>
      <c r="AP133" s="317">
        <f>IFERROR(IFERROR(VLOOKUP($A133,VENTAS!$H$2:$O$201,5,FALSE),"")/$C133,"")</f>
        <v>1</v>
      </c>
      <c r="AQ133" s="318">
        <f t="shared" si="160"/>
        <v>22</v>
      </c>
      <c r="AR133" s="203">
        <f>VLOOKUP($A133,INICIO_BARRA!$A$6:$R$130,11,FALSE)</f>
        <v>3</v>
      </c>
      <c r="AS133" s="203">
        <f>VLOOKUP($A133,INICIO_BARRA!$A$6:$R$130,12,FALSE)</f>
        <v>7</v>
      </c>
      <c r="AT133" s="203">
        <f t="shared" si="161"/>
        <v>0</v>
      </c>
      <c r="AU133" s="204">
        <f>IFERROR(IFERROR(IF(AT133&gt;0,"",AT133*VLOOKUP($A133,'VALOR I.'!$B$6:$K$418,10,FALSE)),"")*$C133,"")</f>
        <v>0</v>
      </c>
      <c r="AV133" s="203">
        <f>VLOOKUP($A133,INICIO_BARRA!$A$6:$R$130,11,FALSE)</f>
        <v>3</v>
      </c>
      <c r="AW133" s="203">
        <f>VLOOKUP($A133,INICIO_BARRA!$A$6:$R$130,12,FALSE)</f>
        <v>7</v>
      </c>
      <c r="AX133" s="203">
        <f>IFERROR(VLOOKUP($A133,REPOSICIONES_BARRA!$A$6:$I$130,7,FALSE),"")</f>
        <v>0</v>
      </c>
      <c r="AY133" s="315">
        <f t="shared" si="76"/>
        <v>3</v>
      </c>
      <c r="AZ133" s="316">
        <f t="shared" si="77"/>
        <v>7</v>
      </c>
      <c r="BA133" s="317">
        <f>IFERROR(IFERROR(VLOOKUP($A133,VENTAS!$H$2:$O$201,6,FALSE),"")/$C133,"")</f>
        <v>11</v>
      </c>
      <c r="BB133" s="318">
        <f t="shared" si="162"/>
        <v>11</v>
      </c>
      <c r="BC133" s="203">
        <f>VLOOKUP($A133,INICIO_BARRA!$A$6:$R$130,13,FALSE)</f>
        <v>2</v>
      </c>
      <c r="BD133" s="203">
        <f>VLOOKUP($A133,INICIO_BARRA!$A$6:$R$130,14,FALSE)</f>
        <v>4</v>
      </c>
      <c r="BE133" s="203">
        <f t="shared" si="163"/>
        <v>3</v>
      </c>
      <c r="BF133" s="204" t="str">
        <f>IFERROR(IFERROR(IF(BE133&gt;0,"",BE133*VLOOKUP($A133,'VALOR I.'!$B$6:$K$418,10,FALSE)),"")*$C133,"")</f>
        <v/>
      </c>
      <c r="BG133" s="203">
        <f>VLOOKUP($A133,INICIO_BARRA!$A$6:$R$130,13,FALSE)</f>
        <v>2</v>
      </c>
      <c r="BH133" s="203">
        <f>VLOOKUP($A133,INICIO_BARRA!$A$6:$R$130,14,FALSE)</f>
        <v>4</v>
      </c>
      <c r="BI133" s="203">
        <f>IFERROR(VLOOKUP($A133,REPOSICIONES_BARRA!$A$6:$I$130,8,FALSE),"")</f>
        <v>3</v>
      </c>
      <c r="BJ133" s="315">
        <f t="shared" si="78"/>
        <v>5</v>
      </c>
      <c r="BK133" s="316">
        <f t="shared" si="79"/>
        <v>4</v>
      </c>
      <c r="BL133" s="317">
        <f>IFERROR(IFERROR(VLOOKUP($A133,VENTAS!$H$2:$O$201,7,FALSE),"")/$C133,"")</f>
        <v>5</v>
      </c>
      <c r="BM133" s="318">
        <f t="shared" si="164"/>
        <v>24</v>
      </c>
      <c r="BN133" s="203">
        <f>VLOOKUP($A133,INICIO_BARRA!$A$6:$R$130,15,FALSE)</f>
        <v>4</v>
      </c>
      <c r="BO133" s="203">
        <f>VLOOKUP($A133,INICIO_BARRA!$A$6:$R$130,16,FALSE)</f>
        <v>8</v>
      </c>
      <c r="BP133" s="203">
        <f t="shared" si="165"/>
        <v>4</v>
      </c>
      <c r="BQ133" s="204" t="str">
        <f>IFERROR(IFERROR(IF(BP133&gt;0,"",BP133*VLOOKUP($A133,'VALOR I.'!$B$6:$K$418,10,FALSE)),"")*$C133,"")</f>
        <v/>
      </c>
      <c r="BR133" s="203"/>
      <c r="BS133" s="203"/>
      <c r="BT133" s="203"/>
      <c r="BU133" s="315"/>
      <c r="BV133" s="316"/>
      <c r="BW133" s="317"/>
      <c r="BX133" s="318"/>
      <c r="BY133" s="203"/>
      <c r="BZ133" s="203"/>
      <c r="CA133" s="203"/>
      <c r="CB133" s="204"/>
    </row>
    <row r="134" spans="1:80" s="7" customFormat="1" ht="30" customHeight="1" x14ac:dyDescent="0.3">
      <c r="A134" s="3" t="s">
        <v>563</v>
      </c>
      <c r="B134" s="313" t="s">
        <v>58</v>
      </c>
      <c r="C134" s="142">
        <v>75</v>
      </c>
      <c r="D134" s="203">
        <f>VLOOKUP($A134,INICIO_BARRA!$A$6:$R$130,3,FALSE)</f>
        <v>0</v>
      </c>
      <c r="E134" s="203">
        <f>VLOOKUP($A134,INICIO_BARRA!$A$6:$R$130,4,FALSE)</f>
        <v>0</v>
      </c>
      <c r="F134" s="203">
        <f>IFERROR(VLOOKUP($A134,REPOSICIONES_BARRA!$A$6:$I$130,3,FALSE),"")</f>
        <v>0</v>
      </c>
      <c r="G134" s="315">
        <f t="shared" si="80"/>
        <v>0</v>
      </c>
      <c r="H134" s="316">
        <f t="shared" si="81"/>
        <v>0</v>
      </c>
      <c r="I134" s="317" t="str">
        <f>IFERROR(IFERROR(VLOOKUP($A134,VENTAS!$H$2:$O$201,2,FALSE),"")/$C134,"")</f>
        <v/>
      </c>
      <c r="J134" s="318" t="str">
        <f t="shared" si="84"/>
        <v/>
      </c>
      <c r="K134" s="203">
        <f>VLOOKUP($A134,INICIO_BARRA!$A$6:$R$130,5,FALSE)</f>
        <v>1</v>
      </c>
      <c r="L134" s="203">
        <f>VLOOKUP($A134,INICIO_BARRA!$A$6:$R$130,6,FALSE)</f>
        <v>5</v>
      </c>
      <c r="M134" s="203" t="str">
        <f t="shared" ref="M134" si="166">IFERROR(((K134*5)+L134)-J134,"")</f>
        <v/>
      </c>
      <c r="N134" s="204" t="str">
        <f>IFERROR(IFERROR(IF(M134&gt;0,"",M134*VLOOKUP($A134,'VALOR I.'!$B$6:$K$418,10,FALSE)),"")*$C134,"")</f>
        <v/>
      </c>
      <c r="O134" s="203">
        <f>VLOOKUP($A134,INICIO_BARRA!$A$6:$R$130,5,FALSE)</f>
        <v>1</v>
      </c>
      <c r="P134" s="203">
        <f>VLOOKUP($A134,INICIO_BARRA!$A$6:$R$130,6,FALSE)</f>
        <v>5</v>
      </c>
      <c r="Q134" s="203">
        <f>IFERROR(VLOOKUP($A134,REPOSICIONES_BARRA!$A$6:$I$130,4,FALSE),"")</f>
        <v>0</v>
      </c>
      <c r="R134" s="315">
        <f t="shared" si="70"/>
        <v>1</v>
      </c>
      <c r="S134" s="316">
        <f t="shared" si="71"/>
        <v>5</v>
      </c>
      <c r="T134" s="317" t="str">
        <f>IFERROR(IFERROR(VLOOKUP($A134,VENTAS!$H$2:$O$201,3,FALSE),"")/$C134,"")</f>
        <v/>
      </c>
      <c r="U134" s="318" t="str">
        <f t="shared" si="156"/>
        <v/>
      </c>
      <c r="V134" s="203">
        <f>VLOOKUP($A134,INICIO_BARRA!$A$6:$R$130,7,FALSE)</f>
        <v>1</v>
      </c>
      <c r="W134" s="203">
        <f>VLOOKUP($A134,INICIO_BARRA!$A$6:$R$130,8,FALSE)</f>
        <v>5</v>
      </c>
      <c r="X134" s="203" t="str">
        <f t="shared" si="157"/>
        <v/>
      </c>
      <c r="Y134" s="204" t="str">
        <f>IFERROR(IFERROR(IF(X134&gt;0,"",X134*VLOOKUP($A134,'VALOR I.'!$B$6:$K$418,10,FALSE)),"")*$C134,"")</f>
        <v/>
      </c>
      <c r="Z134" s="203">
        <f>VLOOKUP($A134,INICIO_BARRA!$A$6:$R$130,7,FALSE)</f>
        <v>1</v>
      </c>
      <c r="AA134" s="203">
        <f>VLOOKUP($A134,INICIO_BARRA!$A$6:$R$130,8,FALSE)</f>
        <v>5</v>
      </c>
      <c r="AB134" s="203">
        <f>IFERROR(VLOOKUP($A134,REPOSICIONES_BARRA!$A$6:$I$130,5,FALSE),"")</f>
        <v>0</v>
      </c>
      <c r="AC134" s="315">
        <f t="shared" si="72"/>
        <v>1</v>
      </c>
      <c r="AD134" s="316">
        <f t="shared" si="73"/>
        <v>5</v>
      </c>
      <c r="AE134" s="317" t="str">
        <f>IFERROR(IFERROR(VLOOKUP($A134,VENTAS!$H$2:$O$201,4,FALSE),"")/$C134,"")</f>
        <v/>
      </c>
      <c r="AF134" s="318" t="str">
        <f t="shared" si="158"/>
        <v/>
      </c>
      <c r="AG134" s="203">
        <f>VLOOKUP($A134,INICIO_BARRA!$A$6:$R$130,9,FALSE)</f>
        <v>1</v>
      </c>
      <c r="AH134" s="203">
        <f>VLOOKUP($A134,INICIO_BARRA!$A$6:$R$130,10,FALSE)</f>
        <v>5</v>
      </c>
      <c r="AI134" s="203" t="str">
        <f t="shared" si="159"/>
        <v/>
      </c>
      <c r="AJ134" s="204" t="str">
        <f>IFERROR(IFERROR(IF(AI134&gt;0,"",AI134*VLOOKUP($A134,'VALOR I.'!$B$6:$K$418,10,FALSE)),"")*$C134,"")</f>
        <v/>
      </c>
      <c r="AK134" s="203">
        <f>VLOOKUP($A134,INICIO_BARRA!$A$6:$R$130,9,FALSE)</f>
        <v>1</v>
      </c>
      <c r="AL134" s="203">
        <f>VLOOKUP($A134,INICIO_BARRA!$A$6:$R$130,10,FALSE)</f>
        <v>5</v>
      </c>
      <c r="AM134" s="203">
        <f>IFERROR(VLOOKUP($A134,REPOSICIONES_BARRA!$A$6:$I$130,6,FALSE),"")</f>
        <v>0</v>
      </c>
      <c r="AN134" s="315">
        <f t="shared" si="74"/>
        <v>1</v>
      </c>
      <c r="AO134" s="316">
        <f t="shared" si="75"/>
        <v>5</v>
      </c>
      <c r="AP134" s="317" t="str">
        <f>IFERROR(IFERROR(VLOOKUP($A134,VENTAS!$H$2:$O$201,5,FALSE),"")/$C134,"")</f>
        <v/>
      </c>
      <c r="AQ134" s="318" t="str">
        <f t="shared" si="160"/>
        <v/>
      </c>
      <c r="AR134" s="203">
        <f>VLOOKUP($A134,INICIO_BARRA!$A$6:$R$130,11,FALSE)</f>
        <v>1</v>
      </c>
      <c r="AS134" s="203">
        <f>VLOOKUP($A134,INICIO_BARRA!$A$6:$R$130,12,FALSE)</f>
        <v>4</v>
      </c>
      <c r="AT134" s="203" t="str">
        <f t="shared" si="161"/>
        <v/>
      </c>
      <c r="AU134" s="204" t="str">
        <f>IFERROR(IFERROR(IF(AT134&gt;0,"",AT134*VLOOKUP($A134,'VALOR I.'!$B$6:$K$418,10,FALSE)),"")*$C134,"")</f>
        <v/>
      </c>
      <c r="AV134" s="203">
        <f>VLOOKUP($A134,INICIO_BARRA!$A$6:$R$130,11,FALSE)</f>
        <v>1</v>
      </c>
      <c r="AW134" s="203">
        <f>VLOOKUP($A134,INICIO_BARRA!$A$6:$R$130,12,FALSE)</f>
        <v>4</v>
      </c>
      <c r="AX134" s="203">
        <f>IFERROR(VLOOKUP($A134,REPOSICIONES_BARRA!$A$6:$I$130,7,FALSE),"")</f>
        <v>0</v>
      </c>
      <c r="AY134" s="315">
        <f t="shared" si="76"/>
        <v>1</v>
      </c>
      <c r="AZ134" s="316">
        <f t="shared" si="77"/>
        <v>4</v>
      </c>
      <c r="BA134" s="317" t="str">
        <f>IFERROR(IFERROR(VLOOKUP($A134,VENTAS!$H$2:$O$201,6,FALSE),"")/$C134,"")</f>
        <v/>
      </c>
      <c r="BB134" s="318" t="str">
        <f t="shared" si="162"/>
        <v/>
      </c>
      <c r="BC134" s="203">
        <f>VLOOKUP($A134,INICIO_BARRA!$A$6:$R$130,13,FALSE)</f>
        <v>1</v>
      </c>
      <c r="BD134" s="203">
        <f>VLOOKUP($A134,INICIO_BARRA!$A$6:$R$130,14,FALSE)</f>
        <v>2</v>
      </c>
      <c r="BE134" s="203" t="str">
        <f t="shared" si="163"/>
        <v/>
      </c>
      <c r="BF134" s="204" t="str">
        <f>IFERROR(IFERROR(IF(BE134&gt;0,"",BE134*VLOOKUP($A134,'VALOR I.'!$B$6:$K$418,10,FALSE)),"")*$C134,"")</f>
        <v/>
      </c>
      <c r="BG134" s="203">
        <f>VLOOKUP($A134,INICIO_BARRA!$A$6:$R$130,13,FALSE)</f>
        <v>1</v>
      </c>
      <c r="BH134" s="203">
        <f>VLOOKUP($A134,INICIO_BARRA!$A$6:$R$130,14,FALSE)</f>
        <v>2</v>
      </c>
      <c r="BI134" s="203">
        <f>IFERROR(VLOOKUP($A134,REPOSICIONES_BARRA!$A$6:$I$130,8,FALSE),"")</f>
        <v>0</v>
      </c>
      <c r="BJ134" s="315">
        <f t="shared" si="78"/>
        <v>1</v>
      </c>
      <c r="BK134" s="316">
        <f t="shared" si="79"/>
        <v>2</v>
      </c>
      <c r="BL134" s="317" t="str">
        <f>IFERROR(IFERROR(VLOOKUP($A134,VENTAS!$H$2:$O$201,7,FALSE),"")/$C134,"")</f>
        <v/>
      </c>
      <c r="BM134" s="318" t="str">
        <f t="shared" si="164"/>
        <v/>
      </c>
      <c r="BN134" s="203">
        <f>VLOOKUP($A134,INICIO_BARRA!$A$6:$R$130,15,FALSE)</f>
        <v>1</v>
      </c>
      <c r="BO134" s="203">
        <f>VLOOKUP($A134,INICIO_BARRA!$A$6:$R$130,16,FALSE)</f>
        <v>0</v>
      </c>
      <c r="BP134" s="203" t="str">
        <f t="shared" si="165"/>
        <v/>
      </c>
      <c r="BQ134" s="204" t="str">
        <f>IFERROR(IFERROR(IF(BP134&gt;0,"",BP134*VLOOKUP($A134,'VALOR I.'!$B$6:$K$418,10,FALSE)),"")*$C134,"")</f>
        <v/>
      </c>
      <c r="BR134" s="203"/>
      <c r="BS134" s="203"/>
      <c r="BT134" s="203"/>
      <c r="BU134" s="315"/>
      <c r="BV134" s="316"/>
      <c r="BW134" s="317"/>
      <c r="BX134" s="318"/>
      <c r="BY134" s="203"/>
      <c r="BZ134" s="203"/>
      <c r="CA134" s="203"/>
      <c r="CB134" s="204"/>
    </row>
    <row r="135" spans="1:80" s="7" customFormat="1" ht="30" hidden="1" customHeight="1" x14ac:dyDescent="0.3">
      <c r="A135" s="3"/>
      <c r="B135" s="41"/>
      <c r="C135" s="147"/>
      <c r="D135" s="203" t="e">
        <f>VLOOKUP($A135,INICIO_BARRA!$A$6:$R$130,3,FALSE)</f>
        <v>#N/A</v>
      </c>
      <c r="E135" s="203" t="e">
        <f>VLOOKUP($A135,INICIO_BARRA!$A$6:$R$130,4,FALSE)</f>
        <v>#N/A</v>
      </c>
      <c r="F135" s="203" t="str">
        <f>IFERROR(VLOOKUP($A135,REPOSICIONES_BARRA!$A$6:$I$130,3,FALSE),"")</f>
        <v/>
      </c>
      <c r="G135" s="315" t="e">
        <f t="shared" si="80"/>
        <v>#N/A</v>
      </c>
      <c r="H135" s="316" t="e">
        <f t="shared" si="81"/>
        <v>#N/A</v>
      </c>
      <c r="I135" s="317" t="str">
        <f>IFERROR(IFERROR(VLOOKUP($A135,VENTAS!$H$2:$O$201,2,FALSE),"")/$C135,"")</f>
        <v/>
      </c>
      <c r="J135" s="119"/>
      <c r="K135" s="203" t="e">
        <f>VLOOKUP($A135,INICIO_BARRA!$A$6:$R$130,5,FALSE)</f>
        <v>#N/A</v>
      </c>
      <c r="L135" s="203" t="e">
        <f>VLOOKUP($A135,INICIO_BARRA!$A$6:$R$130,6,FALSE)</f>
        <v>#N/A</v>
      </c>
      <c r="M135" s="119"/>
      <c r="N135" s="204" t="str">
        <f>IFERROR(IFERROR(IF(M135&gt;0,"",M135*VLOOKUP($A135,'VALOR I.'!$B$6:$K$418,10,FALSE)),"")*$C135,"")</f>
        <v/>
      </c>
      <c r="O135" s="203" t="e">
        <f>VLOOKUP($A135,INICIO_BARRA!$A$6:$R$130,5,FALSE)</f>
        <v>#N/A</v>
      </c>
      <c r="P135" s="203" t="e">
        <f>VLOOKUP($A135,INICIO_BARRA!$A$6:$R$130,6,FALSE)</f>
        <v>#N/A</v>
      </c>
      <c r="Q135" s="203" t="str">
        <f>IFERROR(VLOOKUP($A135,REPOSICIONES_BARRA!$A$6:$I$130,4,FALSE),"")</f>
        <v/>
      </c>
      <c r="R135" s="315" t="e">
        <f t="shared" si="70"/>
        <v>#N/A</v>
      </c>
      <c r="S135" s="316" t="e">
        <f t="shared" si="71"/>
        <v>#N/A</v>
      </c>
      <c r="T135" s="317" t="str">
        <f>IFERROR(IFERROR(VLOOKUP($A135,VENTAS!$H$2:$O$201,3,FALSE),"")/$C135,"")</f>
        <v/>
      </c>
      <c r="U135" s="119"/>
      <c r="V135" s="203" t="e">
        <f>VLOOKUP($A135,INICIO_BARRA!$A$6:$R$130,7,FALSE)</f>
        <v>#N/A</v>
      </c>
      <c r="W135" s="203" t="e">
        <f>VLOOKUP($A135,INICIO_BARRA!$A$6:$R$130,8,FALSE)</f>
        <v>#N/A</v>
      </c>
      <c r="X135" s="119"/>
      <c r="Y135" s="204" t="str">
        <f>IFERROR(IFERROR(IF(X135&gt;0,"",X135*VLOOKUP($A135,'VALOR I.'!$B$6:$K$418,10,FALSE)),"")*$C135,"")</f>
        <v/>
      </c>
      <c r="Z135" s="203" t="e">
        <f>VLOOKUP($A135,INICIO_BARRA!$A$6:$R$130,7,FALSE)</f>
        <v>#N/A</v>
      </c>
      <c r="AA135" s="203" t="e">
        <f>VLOOKUP($A135,INICIO_BARRA!$A$6:$R$130,8,FALSE)</f>
        <v>#N/A</v>
      </c>
      <c r="AB135" s="203" t="str">
        <f>IFERROR(VLOOKUP($A135,REPOSICIONES_BARRA!$A$6:$I$130,5,FALSE),"")</f>
        <v/>
      </c>
      <c r="AC135" s="315" t="e">
        <f t="shared" si="72"/>
        <v>#N/A</v>
      </c>
      <c r="AD135" s="316" t="e">
        <f t="shared" si="73"/>
        <v>#N/A</v>
      </c>
      <c r="AE135" s="317" t="str">
        <f>IFERROR(IFERROR(VLOOKUP($A135,VENTAS!$H$2:$O$201,4,FALSE),"")/$C135,"")</f>
        <v/>
      </c>
      <c r="AF135" s="119"/>
      <c r="AG135" s="203" t="e">
        <f>VLOOKUP($A135,INICIO_BARRA!$A$6:$R$130,9,FALSE)</f>
        <v>#N/A</v>
      </c>
      <c r="AH135" s="203" t="e">
        <f>VLOOKUP($A135,INICIO_BARRA!$A$6:$R$130,10,FALSE)</f>
        <v>#N/A</v>
      </c>
      <c r="AI135" s="119"/>
      <c r="AJ135" s="119" t="str">
        <f>IFERROR(IFERROR(IF(AI135&gt;0,"",AI135*VLOOKUP($A135,'VALOR I.'!$B$6:$K$418,10,FALSE)),"")*$C135,"")</f>
        <v/>
      </c>
      <c r="AK135" s="203" t="e">
        <f>VLOOKUP($A135,INICIO_BARRA!$A$6:$R$130,9,FALSE)</f>
        <v>#N/A</v>
      </c>
      <c r="AL135" s="203" t="e">
        <f>VLOOKUP($A135,INICIO_BARRA!$A$6:$R$130,10,FALSE)</f>
        <v>#N/A</v>
      </c>
      <c r="AM135" s="203" t="str">
        <f>IFERROR(VLOOKUP($A135,REPOSICIONES_BARRA!$A$6:$I$130,6,FALSE),"")</f>
        <v/>
      </c>
      <c r="AN135" s="315" t="e">
        <f t="shared" si="74"/>
        <v>#N/A</v>
      </c>
      <c r="AO135" s="316" t="e">
        <f t="shared" si="75"/>
        <v>#N/A</v>
      </c>
      <c r="AP135" s="317" t="str">
        <f>IFERROR(IFERROR(VLOOKUP($A135,VENTAS!$H$2:$O$201,5,FALSE),"")/$C135,"")</f>
        <v/>
      </c>
      <c r="AQ135" s="119"/>
      <c r="AR135" s="203" t="e">
        <f>VLOOKUP($A135,INICIO_BARRA!$A$6:$R$130,11,FALSE)</f>
        <v>#N/A</v>
      </c>
      <c r="AS135" s="203" t="e">
        <f>VLOOKUP($A135,INICIO_BARRA!$A$6:$R$130,12,FALSE)</f>
        <v>#N/A</v>
      </c>
      <c r="AT135" s="119"/>
      <c r="AU135" s="119" t="str">
        <f>IFERROR(IFERROR(IF(AT135&gt;0,"",AT135*VLOOKUP($A135,'VALOR I.'!$B$6:$K$418,10,FALSE)),"")*$C135,"")</f>
        <v/>
      </c>
      <c r="AV135" s="203" t="e">
        <f>VLOOKUP($A135,INICIO_BARRA!$A$6:$R$130,11,FALSE)</f>
        <v>#N/A</v>
      </c>
      <c r="AW135" s="203" t="e">
        <f>VLOOKUP($A135,INICIO_BARRA!$A$6:$R$130,12,FALSE)</f>
        <v>#N/A</v>
      </c>
      <c r="AX135" s="203" t="str">
        <f>IFERROR(VLOOKUP($A135,REPOSICIONES_BARRA!$A$6:$I$130,7,FALSE),"")</f>
        <v/>
      </c>
      <c r="AY135" s="315" t="e">
        <f t="shared" si="76"/>
        <v>#N/A</v>
      </c>
      <c r="AZ135" s="316" t="e">
        <f t="shared" si="77"/>
        <v>#N/A</v>
      </c>
      <c r="BA135" s="317" t="str">
        <f>IFERROR(IFERROR(VLOOKUP($A135,VENTAS!$H$2:$O$201,6,FALSE),"")/$C135,"")</f>
        <v/>
      </c>
      <c r="BB135" s="119"/>
      <c r="BC135" s="203" t="e">
        <f>VLOOKUP($A135,INICIO_BARRA!$A$6:$R$130,13,FALSE)</f>
        <v>#N/A</v>
      </c>
      <c r="BD135" s="203" t="e">
        <f>VLOOKUP($A135,INICIO_BARRA!$A$6:$R$130,14,FALSE)</f>
        <v>#N/A</v>
      </c>
      <c r="BE135" s="119"/>
      <c r="BF135" s="119" t="str">
        <f>IFERROR(IFERROR(IF(BE135&gt;0,"",BE135*VLOOKUP($A135,'VALOR I.'!$B$6:$K$418,10,FALSE)),"")*$C135,"")</f>
        <v/>
      </c>
      <c r="BG135" s="203" t="e">
        <f>VLOOKUP($A135,INICIO_BARRA!$A$6:$R$130,13,FALSE)</f>
        <v>#N/A</v>
      </c>
      <c r="BH135" s="203" t="e">
        <f>VLOOKUP($A135,INICIO_BARRA!$A$6:$R$130,14,FALSE)</f>
        <v>#N/A</v>
      </c>
      <c r="BI135" s="203" t="str">
        <f>IFERROR(VLOOKUP($A135,REPOSICIONES_BARRA!$A$6:$I$130,8,FALSE),"")</f>
        <v/>
      </c>
      <c r="BJ135" s="315" t="e">
        <f t="shared" si="78"/>
        <v>#N/A</v>
      </c>
      <c r="BK135" s="316" t="e">
        <f t="shared" si="79"/>
        <v>#N/A</v>
      </c>
      <c r="BL135" s="317" t="str">
        <f>IFERROR(IFERROR(VLOOKUP($A135,VENTAS!$H$2:$O$201,7,FALSE),"")/$C135,"")</f>
        <v/>
      </c>
      <c r="BM135" s="119"/>
      <c r="BN135" s="203" t="e">
        <f>VLOOKUP($A135,INICIO_BARRA!$A$6:$R$130,15,FALSE)</f>
        <v>#N/A</v>
      </c>
      <c r="BO135" s="203" t="e">
        <f>VLOOKUP($A135,INICIO_BARRA!$A$6:$R$130,16,FALSE)</f>
        <v>#N/A</v>
      </c>
      <c r="BP135" s="119"/>
      <c r="BQ135" s="119" t="str">
        <f>IFERROR(IFERROR(IF(BP135&gt;0,"",BP135*VLOOKUP($A135,'VALOR I.'!$B$6:$K$418,10,FALSE)),"")*$C135,"")</f>
        <v/>
      </c>
      <c r="BR135" s="203" t="e">
        <f>VLOOKUP($A135,INICIO_BARRA!$A$6:$R$130,15,FALSE)</f>
        <v>#N/A</v>
      </c>
      <c r="BS135" s="203" t="e">
        <f>VLOOKUP($A135,INICIO_BARRA!$A$6:$R$130,16,FALSE)</f>
        <v>#N/A</v>
      </c>
      <c r="BT135" s="203" t="str">
        <f>IFERROR(VLOOKUP($A135,REPOSICIONES_BARRA!$A$6:$I$130,9,FALSE),"")</f>
        <v/>
      </c>
      <c r="BU135" s="315" t="e">
        <f t="shared" si="82"/>
        <v>#N/A</v>
      </c>
      <c r="BV135" s="316" t="e">
        <f t="shared" si="83"/>
        <v>#N/A</v>
      </c>
      <c r="BW135" s="317" t="str">
        <f>IFERROR(IFERROR(VLOOKUP($A135,VENTAS!$H$2:$O$201,8,FALSE),"")/$C135,"")</f>
        <v/>
      </c>
      <c r="BX135" s="119"/>
      <c r="BY135" s="203" t="e">
        <f>VLOOKUP($A135,INICIO_BARRA!$A$6:$R$130,17,FALSE)</f>
        <v>#N/A</v>
      </c>
      <c r="BZ135" s="203" t="e">
        <f>VLOOKUP($A135,INICIO_BARRA!$A$6:$R$130,18,FALSE)</f>
        <v>#N/A</v>
      </c>
      <c r="CA135" s="119"/>
      <c r="CB135" s="119" t="str">
        <f>IFERROR(IFERROR(IF(CA135&gt;0,"",CA135*VLOOKUP($A135,'VALOR I.'!$B$6:$K$418,10,FALSE)),"")*$C135,"")</f>
        <v/>
      </c>
    </row>
    <row r="136" spans="1:80" s="7" customFormat="1" ht="30" hidden="1" customHeight="1" x14ac:dyDescent="0.45">
      <c r="A136" s="3"/>
      <c r="B136" s="42"/>
      <c r="C136" s="148"/>
      <c r="D136" s="203" t="e">
        <f>VLOOKUP($A136,INICIO_BARRA!$A$6:$R$130,3,FALSE)</f>
        <v>#N/A</v>
      </c>
      <c r="E136" s="203" t="e">
        <f>VLOOKUP($A136,INICIO_BARRA!$A$6:$R$130,4,FALSE)</f>
        <v>#N/A</v>
      </c>
      <c r="F136" s="203" t="str">
        <f>IFERROR(VLOOKUP($A136,REPOSICIONES_BARRA!$A$6:$I$130,3,FALSE),"")</f>
        <v/>
      </c>
      <c r="G136" s="315" t="e">
        <f t="shared" si="80"/>
        <v>#N/A</v>
      </c>
      <c r="H136" s="316" t="e">
        <f t="shared" si="81"/>
        <v>#N/A</v>
      </c>
      <c r="I136" s="317" t="str">
        <f>IFERROR(IFERROR(VLOOKUP($A136,VENTAS!$H$2:$O$201,2,FALSE),"")/$C136,"")</f>
        <v/>
      </c>
      <c r="J136" s="111"/>
      <c r="K136" s="203" t="e">
        <f>VLOOKUP($A136,INICIO_BARRA!$A$6:$R$130,5,FALSE)</f>
        <v>#N/A</v>
      </c>
      <c r="L136" s="203" t="e">
        <f>VLOOKUP($A136,INICIO_BARRA!$A$6:$R$130,6,FALSE)</f>
        <v>#N/A</v>
      </c>
      <c r="M136" s="11"/>
      <c r="N136" s="204" t="str">
        <f>IFERROR(IFERROR(IF(M136&gt;0,"",M136*VLOOKUP($A136,'VALOR I.'!$B$6:$K$418,10,FALSE)),"")*$C136,"")</f>
        <v/>
      </c>
      <c r="O136" s="203" t="e">
        <f>VLOOKUP($A136,INICIO_BARRA!$A$6:$R$130,5,FALSE)</f>
        <v>#N/A</v>
      </c>
      <c r="P136" s="203" t="e">
        <f>VLOOKUP($A136,INICIO_BARRA!$A$6:$R$130,6,FALSE)</f>
        <v>#N/A</v>
      </c>
      <c r="Q136" s="203" t="str">
        <f>IFERROR(VLOOKUP($A136,REPOSICIONES_BARRA!$A$6:$I$130,4,FALSE),"")</f>
        <v/>
      </c>
      <c r="R136" s="315" t="e">
        <f t="shared" ref="R136:R168" si="167">O136+Q136</f>
        <v>#N/A</v>
      </c>
      <c r="S136" s="316" t="e">
        <f t="shared" ref="S136:S168" si="168">P136</f>
        <v>#N/A</v>
      </c>
      <c r="T136" s="317" t="str">
        <f>IFERROR(IFERROR(VLOOKUP($A136,VENTAS!$H$2:$O$201,3,FALSE),"")/$C136,"")</f>
        <v/>
      </c>
      <c r="U136" s="111"/>
      <c r="V136" s="203" t="e">
        <f>VLOOKUP($A136,INICIO_BARRA!$A$6:$R$130,7,FALSE)</f>
        <v>#N/A</v>
      </c>
      <c r="W136" s="203" t="e">
        <f>VLOOKUP($A136,INICIO_BARRA!$A$6:$R$130,8,FALSE)</f>
        <v>#N/A</v>
      </c>
      <c r="X136" s="11"/>
      <c r="Y136" s="204" t="str">
        <f>IFERROR(IFERROR(IF(X136&gt;0,"",X136*VLOOKUP($A136,'VALOR I.'!$B$6:$K$418,10,FALSE)),"")*$C136,"")</f>
        <v/>
      </c>
      <c r="Z136" s="203" t="e">
        <f>VLOOKUP($A136,INICIO_BARRA!$A$6:$R$130,7,FALSE)</f>
        <v>#N/A</v>
      </c>
      <c r="AA136" s="203" t="e">
        <f>VLOOKUP($A136,INICIO_BARRA!$A$6:$R$130,8,FALSE)</f>
        <v>#N/A</v>
      </c>
      <c r="AB136" s="203" t="str">
        <f>IFERROR(VLOOKUP($A136,REPOSICIONES_BARRA!$A$6:$I$130,5,FALSE),"")</f>
        <v/>
      </c>
      <c r="AC136" s="315" t="e">
        <f t="shared" ref="AC136:AC168" si="169">Z136+AB136</f>
        <v>#N/A</v>
      </c>
      <c r="AD136" s="316" t="e">
        <f t="shared" ref="AD136:AD168" si="170">AA136</f>
        <v>#N/A</v>
      </c>
      <c r="AE136" s="317" t="str">
        <f>IFERROR(IFERROR(VLOOKUP($A136,VENTAS!$H$2:$O$201,4,FALSE),"")/$C136,"")</f>
        <v/>
      </c>
      <c r="AF136" s="111"/>
      <c r="AG136" s="203" t="e">
        <f>VLOOKUP($A136,INICIO_BARRA!$A$6:$R$130,9,FALSE)</f>
        <v>#N/A</v>
      </c>
      <c r="AH136" s="203" t="e">
        <f>VLOOKUP($A136,INICIO_BARRA!$A$6:$R$130,10,FALSE)</f>
        <v>#N/A</v>
      </c>
      <c r="AI136" s="11"/>
      <c r="AJ136" s="94" t="str">
        <f>IFERROR(IFERROR(IF(AI136&gt;0,"",AI136*VLOOKUP($A136,'VALOR I.'!$B$6:$K$418,10,FALSE)),"")*$C136,"")</f>
        <v/>
      </c>
      <c r="AK136" s="203" t="e">
        <f>VLOOKUP($A136,INICIO_BARRA!$A$6:$R$130,9,FALSE)</f>
        <v>#N/A</v>
      </c>
      <c r="AL136" s="203" t="e">
        <f>VLOOKUP($A136,INICIO_BARRA!$A$6:$R$130,10,FALSE)</f>
        <v>#N/A</v>
      </c>
      <c r="AM136" s="203" t="str">
        <f>IFERROR(VLOOKUP($A136,REPOSICIONES_BARRA!$A$6:$I$130,6,FALSE),"")</f>
        <v/>
      </c>
      <c r="AN136" s="315" t="e">
        <f t="shared" ref="AN136:AN168" si="171">AK136+AM136</f>
        <v>#N/A</v>
      </c>
      <c r="AO136" s="316" t="e">
        <f t="shared" ref="AO136:AO168" si="172">AL136</f>
        <v>#N/A</v>
      </c>
      <c r="AP136" s="317" t="str">
        <f>IFERROR(IFERROR(VLOOKUP($A136,VENTAS!$H$2:$O$201,5,FALSE),"")/$C136,"")</f>
        <v/>
      </c>
      <c r="AQ136" s="111"/>
      <c r="AR136" s="203" t="e">
        <f>VLOOKUP($A136,INICIO_BARRA!$A$6:$R$130,11,FALSE)</f>
        <v>#N/A</v>
      </c>
      <c r="AS136" s="203" t="e">
        <f>VLOOKUP($A136,INICIO_BARRA!$A$6:$R$130,12,FALSE)</f>
        <v>#N/A</v>
      </c>
      <c r="AT136" s="11"/>
      <c r="AU136" s="94" t="str">
        <f>IFERROR(IFERROR(IF(AT136&gt;0,"",AT136*VLOOKUP($A136,'VALOR I.'!$B$6:$K$418,10,FALSE)),"")*$C136,"")</f>
        <v/>
      </c>
      <c r="AV136" s="203" t="e">
        <f>VLOOKUP($A136,INICIO_BARRA!$A$6:$R$130,11,FALSE)</f>
        <v>#N/A</v>
      </c>
      <c r="AW136" s="203" t="e">
        <f>VLOOKUP($A136,INICIO_BARRA!$A$6:$R$130,12,FALSE)</f>
        <v>#N/A</v>
      </c>
      <c r="AX136" s="203" t="str">
        <f>IFERROR(VLOOKUP($A136,REPOSICIONES_BARRA!$A$6:$I$130,7,FALSE),"")</f>
        <v/>
      </c>
      <c r="AY136" s="315" t="e">
        <f t="shared" ref="AY136:AY168" si="173">AV136+AX136</f>
        <v>#N/A</v>
      </c>
      <c r="AZ136" s="316" t="e">
        <f t="shared" ref="AZ136:AZ168" si="174">AW136</f>
        <v>#N/A</v>
      </c>
      <c r="BA136" s="317" t="str">
        <f>IFERROR(IFERROR(VLOOKUP($A136,VENTAS!$H$2:$O$201,6,FALSE),"")/$C136,"")</f>
        <v/>
      </c>
      <c r="BB136" s="111"/>
      <c r="BC136" s="203" t="e">
        <f>VLOOKUP($A136,INICIO_BARRA!$A$6:$R$130,13,FALSE)</f>
        <v>#N/A</v>
      </c>
      <c r="BD136" s="203" t="e">
        <f>VLOOKUP($A136,INICIO_BARRA!$A$6:$R$130,14,FALSE)</f>
        <v>#N/A</v>
      </c>
      <c r="BE136" s="11"/>
      <c r="BF136" s="94" t="str">
        <f>IFERROR(IFERROR(IF(BE136&gt;0,"",BE136*VLOOKUP($A136,'VALOR I.'!$B$6:$K$418,10,FALSE)),"")*$C136,"")</f>
        <v/>
      </c>
      <c r="BG136" s="203" t="e">
        <f>VLOOKUP($A136,INICIO_BARRA!$A$6:$R$130,13,FALSE)</f>
        <v>#N/A</v>
      </c>
      <c r="BH136" s="203" t="e">
        <f>VLOOKUP($A136,INICIO_BARRA!$A$6:$R$130,14,FALSE)</f>
        <v>#N/A</v>
      </c>
      <c r="BI136" s="203" t="str">
        <f>IFERROR(VLOOKUP($A136,REPOSICIONES_BARRA!$A$6:$I$130,8,FALSE),"")</f>
        <v/>
      </c>
      <c r="BJ136" s="315" t="e">
        <f t="shared" ref="BJ136:BJ168" si="175">BG136+BI136</f>
        <v>#N/A</v>
      </c>
      <c r="BK136" s="316" t="e">
        <f t="shared" ref="BK136:BK168" si="176">BH136</f>
        <v>#N/A</v>
      </c>
      <c r="BL136" s="317" t="str">
        <f>IFERROR(IFERROR(VLOOKUP($A136,VENTAS!$H$2:$O$201,7,FALSE),"")/$C136,"")</f>
        <v/>
      </c>
      <c r="BM136" s="111"/>
      <c r="BN136" s="203" t="e">
        <f>VLOOKUP($A136,INICIO_BARRA!$A$6:$R$130,15,FALSE)</f>
        <v>#N/A</v>
      </c>
      <c r="BO136" s="203" t="e">
        <f>VLOOKUP($A136,INICIO_BARRA!$A$6:$R$130,16,FALSE)</f>
        <v>#N/A</v>
      </c>
      <c r="BP136" s="11"/>
      <c r="BQ136" s="94" t="str">
        <f>IFERROR(IFERROR(IF(BP136&gt;0,"",BP136*VLOOKUP($A136,'VALOR I.'!$B$6:$K$418,10,FALSE)),"")*$C136,"")</f>
        <v/>
      </c>
      <c r="BR136" s="203" t="e">
        <f>VLOOKUP($A136,INICIO_BARRA!$A$6:$R$130,15,FALSE)</f>
        <v>#N/A</v>
      </c>
      <c r="BS136" s="203" t="e">
        <f>VLOOKUP($A136,INICIO_BARRA!$A$6:$R$130,16,FALSE)</f>
        <v>#N/A</v>
      </c>
      <c r="BT136" s="203" t="str">
        <f>IFERROR(VLOOKUP($A136,REPOSICIONES_BARRA!$A$6:$I$130,9,FALSE),"")</f>
        <v/>
      </c>
      <c r="BU136" s="315" t="e">
        <f t="shared" ref="BU136:BU168" si="177">BR136+BT136</f>
        <v>#N/A</v>
      </c>
      <c r="BV136" s="316" t="e">
        <f t="shared" ref="BV136:BV168" si="178">BS136</f>
        <v>#N/A</v>
      </c>
      <c r="BW136" s="317" t="str">
        <f>IFERROR(IFERROR(VLOOKUP($A136,VENTAS!$H$2:$O$201,8,FALSE),"")/$C136,"")</f>
        <v/>
      </c>
      <c r="BX136" s="111"/>
      <c r="BY136" s="203" t="e">
        <f>VLOOKUP($A136,INICIO_BARRA!$A$6:$R$130,17,FALSE)</f>
        <v>#N/A</v>
      </c>
      <c r="BZ136" s="203" t="e">
        <f>VLOOKUP($A136,INICIO_BARRA!$A$6:$R$130,18,FALSE)</f>
        <v>#N/A</v>
      </c>
      <c r="CA136" s="11"/>
      <c r="CB136" s="94" t="str">
        <f>IFERROR(IFERROR(IF(CA136&gt;0,"",CA136*VLOOKUP($A136,'VALOR I.'!$B$6:$K$418,10,FALSE)),"")*$C136,"")</f>
        <v/>
      </c>
    </row>
    <row r="137" spans="1:80" s="7" customFormat="1" ht="30" hidden="1" customHeight="1" x14ac:dyDescent="0.3">
      <c r="A137" s="3"/>
      <c r="B137" s="34"/>
      <c r="C137" s="136"/>
      <c r="D137" s="203" t="e">
        <f>VLOOKUP($A137,INICIO_BARRA!$A$6:$R$130,3,FALSE)</f>
        <v>#N/A</v>
      </c>
      <c r="E137" s="203" t="e">
        <f>VLOOKUP($A137,INICIO_BARRA!$A$6:$R$130,4,FALSE)</f>
        <v>#N/A</v>
      </c>
      <c r="F137" s="203" t="str">
        <f>IFERROR(VLOOKUP($A137,REPOSICIONES_BARRA!$A$6:$I$130,3,FALSE),"")</f>
        <v/>
      </c>
      <c r="G137" s="315" t="e">
        <f t="shared" ref="G137:G168" si="179">D137+F137</f>
        <v>#N/A</v>
      </c>
      <c r="H137" s="316" t="e">
        <f t="shared" ref="H137:H168" si="180">E137</f>
        <v>#N/A</v>
      </c>
      <c r="I137" s="317" t="str">
        <f>IFERROR(IFERROR(VLOOKUP($A137,VENTAS!$H$2:$O$201,2,FALSE),"")/$C137,"")</f>
        <v/>
      </c>
      <c r="J137" s="111"/>
      <c r="K137" s="203" t="e">
        <f>VLOOKUP($A137,INICIO_BARRA!$A$6:$R$130,5,FALSE)</f>
        <v>#N/A</v>
      </c>
      <c r="L137" s="203" t="e">
        <f>VLOOKUP($A137,INICIO_BARRA!$A$6:$R$130,6,FALSE)</f>
        <v>#N/A</v>
      </c>
      <c r="M137" s="11"/>
      <c r="N137" s="204" t="str">
        <f>IFERROR(IFERROR(IF(M137&gt;0,"",M137*VLOOKUP($A137,'VALOR I.'!$B$6:$K$418,10,FALSE)),"")*$C137,"")</f>
        <v/>
      </c>
      <c r="O137" s="203" t="e">
        <f>VLOOKUP($A137,INICIO_BARRA!$A$6:$R$130,5,FALSE)</f>
        <v>#N/A</v>
      </c>
      <c r="P137" s="203" t="e">
        <f>VLOOKUP($A137,INICIO_BARRA!$A$6:$R$130,6,FALSE)</f>
        <v>#N/A</v>
      </c>
      <c r="Q137" s="203" t="str">
        <f>IFERROR(VLOOKUP($A137,REPOSICIONES_BARRA!$A$6:$I$130,4,FALSE),"")</f>
        <v/>
      </c>
      <c r="R137" s="315" t="e">
        <f t="shared" si="167"/>
        <v>#N/A</v>
      </c>
      <c r="S137" s="316" t="e">
        <f t="shared" si="168"/>
        <v>#N/A</v>
      </c>
      <c r="T137" s="317" t="str">
        <f>IFERROR(IFERROR(VLOOKUP($A137,VENTAS!$H$2:$O$201,3,FALSE),"")/$C137,"")</f>
        <v/>
      </c>
      <c r="U137" s="111"/>
      <c r="V137" s="203" t="e">
        <f>VLOOKUP($A137,INICIO_BARRA!$A$6:$R$130,7,FALSE)</f>
        <v>#N/A</v>
      </c>
      <c r="W137" s="203" t="e">
        <f>VLOOKUP($A137,INICIO_BARRA!$A$6:$R$130,8,FALSE)</f>
        <v>#N/A</v>
      </c>
      <c r="X137" s="11"/>
      <c r="Y137" s="204" t="str">
        <f>IFERROR(IFERROR(IF(X137&gt;0,"",X137*VLOOKUP($A137,'VALOR I.'!$B$6:$K$418,10,FALSE)),"")*$C137,"")</f>
        <v/>
      </c>
      <c r="Z137" s="203" t="e">
        <f>VLOOKUP($A137,INICIO_BARRA!$A$6:$R$130,7,FALSE)</f>
        <v>#N/A</v>
      </c>
      <c r="AA137" s="203" t="e">
        <f>VLOOKUP($A137,INICIO_BARRA!$A$6:$R$130,8,FALSE)</f>
        <v>#N/A</v>
      </c>
      <c r="AB137" s="203" t="str">
        <f>IFERROR(VLOOKUP($A137,REPOSICIONES_BARRA!$A$6:$I$130,5,FALSE),"")</f>
        <v/>
      </c>
      <c r="AC137" s="315" t="e">
        <f t="shared" si="169"/>
        <v>#N/A</v>
      </c>
      <c r="AD137" s="316" t="e">
        <f t="shared" si="170"/>
        <v>#N/A</v>
      </c>
      <c r="AE137" s="317" t="str">
        <f>IFERROR(IFERROR(VLOOKUP($A137,VENTAS!$H$2:$O$201,4,FALSE),"")/$C137,"")</f>
        <v/>
      </c>
      <c r="AF137" s="111"/>
      <c r="AG137" s="203" t="e">
        <f>VLOOKUP($A137,INICIO_BARRA!$A$6:$R$130,9,FALSE)</f>
        <v>#N/A</v>
      </c>
      <c r="AH137" s="203" t="e">
        <f>VLOOKUP($A137,INICIO_BARRA!$A$6:$R$130,10,FALSE)</f>
        <v>#N/A</v>
      </c>
      <c r="AI137" s="11"/>
      <c r="AJ137" s="94" t="str">
        <f>IFERROR(IFERROR(IF(AI137&gt;0,"",AI137*VLOOKUP($A137,'VALOR I.'!$B$6:$K$418,10,FALSE)),"")*$C137,"")</f>
        <v/>
      </c>
      <c r="AK137" s="203" t="e">
        <f>VLOOKUP($A137,INICIO_BARRA!$A$6:$R$130,9,FALSE)</f>
        <v>#N/A</v>
      </c>
      <c r="AL137" s="203" t="e">
        <f>VLOOKUP($A137,INICIO_BARRA!$A$6:$R$130,10,FALSE)</f>
        <v>#N/A</v>
      </c>
      <c r="AM137" s="203" t="str">
        <f>IFERROR(VLOOKUP($A137,REPOSICIONES_BARRA!$A$6:$I$130,6,FALSE),"")</f>
        <v/>
      </c>
      <c r="AN137" s="315" t="e">
        <f t="shared" si="171"/>
        <v>#N/A</v>
      </c>
      <c r="AO137" s="316" t="e">
        <f t="shared" si="172"/>
        <v>#N/A</v>
      </c>
      <c r="AP137" s="317" t="str">
        <f>IFERROR(IFERROR(VLOOKUP($A137,VENTAS!$H$2:$O$201,5,FALSE),"")/$C137,"")</f>
        <v/>
      </c>
      <c r="AQ137" s="111"/>
      <c r="AR137" s="203" t="e">
        <f>VLOOKUP($A137,INICIO_BARRA!$A$6:$R$130,11,FALSE)</f>
        <v>#N/A</v>
      </c>
      <c r="AS137" s="203" t="e">
        <f>VLOOKUP($A137,INICIO_BARRA!$A$6:$R$130,12,FALSE)</f>
        <v>#N/A</v>
      </c>
      <c r="AT137" s="11"/>
      <c r="AU137" s="94" t="str">
        <f>IFERROR(IFERROR(IF(AT137&gt;0,"",AT137*VLOOKUP($A137,'VALOR I.'!$B$6:$K$418,10,FALSE)),"")*$C137,"")</f>
        <v/>
      </c>
      <c r="AV137" s="203" t="e">
        <f>VLOOKUP($A137,INICIO_BARRA!$A$6:$R$130,11,FALSE)</f>
        <v>#N/A</v>
      </c>
      <c r="AW137" s="203" t="e">
        <f>VLOOKUP($A137,INICIO_BARRA!$A$6:$R$130,12,FALSE)</f>
        <v>#N/A</v>
      </c>
      <c r="AX137" s="203" t="str">
        <f>IFERROR(VLOOKUP($A137,REPOSICIONES_BARRA!$A$6:$I$130,7,FALSE),"")</f>
        <v/>
      </c>
      <c r="AY137" s="315" t="e">
        <f t="shared" si="173"/>
        <v>#N/A</v>
      </c>
      <c r="AZ137" s="316" t="e">
        <f t="shared" si="174"/>
        <v>#N/A</v>
      </c>
      <c r="BA137" s="317" t="str">
        <f>IFERROR(IFERROR(VLOOKUP($A137,VENTAS!$H$2:$O$201,6,FALSE),"")/$C137,"")</f>
        <v/>
      </c>
      <c r="BB137" s="111"/>
      <c r="BC137" s="203" t="e">
        <f>VLOOKUP($A137,INICIO_BARRA!$A$6:$R$130,13,FALSE)</f>
        <v>#N/A</v>
      </c>
      <c r="BD137" s="203" t="e">
        <f>VLOOKUP($A137,INICIO_BARRA!$A$6:$R$130,14,FALSE)</f>
        <v>#N/A</v>
      </c>
      <c r="BE137" s="11"/>
      <c r="BF137" s="94" t="str">
        <f>IFERROR(IFERROR(IF(BE137&gt;0,"",BE137*VLOOKUP($A137,'VALOR I.'!$B$6:$K$418,10,FALSE)),"")*$C137,"")</f>
        <v/>
      </c>
      <c r="BG137" s="203" t="e">
        <f>VLOOKUP($A137,INICIO_BARRA!$A$6:$R$130,13,FALSE)</f>
        <v>#N/A</v>
      </c>
      <c r="BH137" s="203" t="e">
        <f>VLOOKUP($A137,INICIO_BARRA!$A$6:$R$130,14,FALSE)</f>
        <v>#N/A</v>
      </c>
      <c r="BI137" s="203" t="str">
        <f>IFERROR(VLOOKUP($A137,REPOSICIONES_BARRA!$A$6:$I$130,8,FALSE),"")</f>
        <v/>
      </c>
      <c r="BJ137" s="315" t="e">
        <f t="shared" si="175"/>
        <v>#N/A</v>
      </c>
      <c r="BK137" s="316" t="e">
        <f t="shared" si="176"/>
        <v>#N/A</v>
      </c>
      <c r="BL137" s="317" t="str">
        <f>IFERROR(IFERROR(VLOOKUP($A137,VENTAS!$H$2:$O$201,7,FALSE),"")/$C137,"")</f>
        <v/>
      </c>
      <c r="BM137" s="111"/>
      <c r="BN137" s="203" t="e">
        <f>VLOOKUP($A137,INICIO_BARRA!$A$6:$R$130,15,FALSE)</f>
        <v>#N/A</v>
      </c>
      <c r="BO137" s="203" t="e">
        <f>VLOOKUP($A137,INICIO_BARRA!$A$6:$R$130,16,FALSE)</f>
        <v>#N/A</v>
      </c>
      <c r="BP137" s="11"/>
      <c r="BQ137" s="94" t="str">
        <f>IFERROR(IFERROR(IF(BP137&gt;0,"",BP137*VLOOKUP($A137,'VALOR I.'!$B$6:$K$418,10,FALSE)),"")*$C137,"")</f>
        <v/>
      </c>
      <c r="BR137" s="203" t="e">
        <f>VLOOKUP($A137,INICIO_BARRA!$A$6:$R$130,15,FALSE)</f>
        <v>#N/A</v>
      </c>
      <c r="BS137" s="203" t="e">
        <f>VLOOKUP($A137,INICIO_BARRA!$A$6:$R$130,16,FALSE)</f>
        <v>#N/A</v>
      </c>
      <c r="BT137" s="203" t="str">
        <f>IFERROR(VLOOKUP($A137,REPOSICIONES_BARRA!$A$6:$I$130,9,FALSE),"")</f>
        <v/>
      </c>
      <c r="BU137" s="315" t="e">
        <f t="shared" si="177"/>
        <v>#N/A</v>
      </c>
      <c r="BV137" s="316" t="e">
        <f t="shared" si="178"/>
        <v>#N/A</v>
      </c>
      <c r="BW137" s="317" t="str">
        <f>IFERROR(IFERROR(VLOOKUP($A137,VENTAS!$H$2:$O$201,8,FALSE),"")/$C137,"")</f>
        <v/>
      </c>
      <c r="BX137" s="111"/>
      <c r="BY137" s="203" t="e">
        <f>VLOOKUP($A137,INICIO_BARRA!$A$6:$R$130,17,FALSE)</f>
        <v>#N/A</v>
      </c>
      <c r="BZ137" s="203" t="e">
        <f>VLOOKUP($A137,INICIO_BARRA!$A$6:$R$130,18,FALSE)</f>
        <v>#N/A</v>
      </c>
      <c r="CA137" s="11"/>
      <c r="CB137" s="94" t="str">
        <f>IFERROR(IFERROR(IF(CA137&gt;0,"",CA137*VLOOKUP($A137,'VALOR I.'!$B$6:$K$418,10,FALSE)),"")*$C137,"")</f>
        <v/>
      </c>
    </row>
    <row r="138" spans="1:80" s="7" customFormat="1" ht="30" hidden="1" customHeight="1" x14ac:dyDescent="0.45">
      <c r="A138" s="3"/>
      <c r="B138" s="42"/>
      <c r="C138" s="148"/>
      <c r="D138" s="203" t="e">
        <f>VLOOKUP($A138,INICIO_BARRA!$A$6:$R$130,3,FALSE)</f>
        <v>#N/A</v>
      </c>
      <c r="E138" s="203" t="e">
        <f>VLOOKUP($A138,INICIO_BARRA!$A$6:$R$130,4,FALSE)</f>
        <v>#N/A</v>
      </c>
      <c r="F138" s="203" t="str">
        <f>IFERROR(VLOOKUP($A138,REPOSICIONES_BARRA!$A$6:$I$130,3,FALSE),"")</f>
        <v/>
      </c>
      <c r="G138" s="315" t="e">
        <f t="shared" si="179"/>
        <v>#N/A</v>
      </c>
      <c r="H138" s="316" t="e">
        <f t="shared" si="180"/>
        <v>#N/A</v>
      </c>
      <c r="I138" s="317" t="str">
        <f>IFERROR(IFERROR(VLOOKUP($A138,VENTAS!$H$2:$O$201,2,FALSE),"")/$C138,"")</f>
        <v/>
      </c>
      <c r="J138" s="111"/>
      <c r="K138" s="203" t="e">
        <f>VLOOKUP($A138,INICIO_BARRA!$A$6:$R$130,5,FALSE)</f>
        <v>#N/A</v>
      </c>
      <c r="L138" s="203" t="e">
        <f>VLOOKUP($A138,INICIO_BARRA!$A$6:$R$130,6,FALSE)</f>
        <v>#N/A</v>
      </c>
      <c r="M138" s="11"/>
      <c r="N138" s="204" t="str">
        <f>IFERROR(IFERROR(IF(M138&gt;0,"",M138*VLOOKUP($A138,'VALOR I.'!$B$6:$K$418,10,FALSE)),"")*$C138,"")</f>
        <v/>
      </c>
      <c r="O138" s="203" t="e">
        <f>VLOOKUP($A138,INICIO_BARRA!$A$6:$R$130,5,FALSE)</f>
        <v>#N/A</v>
      </c>
      <c r="P138" s="203" t="e">
        <f>VLOOKUP($A138,INICIO_BARRA!$A$6:$R$130,6,FALSE)</f>
        <v>#N/A</v>
      </c>
      <c r="Q138" s="203" t="str">
        <f>IFERROR(VLOOKUP($A138,REPOSICIONES_BARRA!$A$6:$I$130,4,FALSE),"")</f>
        <v/>
      </c>
      <c r="R138" s="315" t="e">
        <f t="shared" si="167"/>
        <v>#N/A</v>
      </c>
      <c r="S138" s="316" t="e">
        <f t="shared" si="168"/>
        <v>#N/A</v>
      </c>
      <c r="T138" s="317" t="str">
        <f>IFERROR(IFERROR(VLOOKUP($A138,VENTAS!$H$2:$O$201,3,FALSE),"")/$C138,"")</f>
        <v/>
      </c>
      <c r="U138" s="111"/>
      <c r="V138" s="203" t="e">
        <f>VLOOKUP($A138,INICIO_BARRA!$A$6:$R$130,7,FALSE)</f>
        <v>#N/A</v>
      </c>
      <c r="W138" s="203" t="e">
        <f>VLOOKUP($A138,INICIO_BARRA!$A$6:$R$130,8,FALSE)</f>
        <v>#N/A</v>
      </c>
      <c r="X138" s="11"/>
      <c r="Y138" s="204" t="str">
        <f>IFERROR(IFERROR(IF(X138&gt;0,"",X138*VLOOKUP($A138,'VALOR I.'!$B$6:$K$418,10,FALSE)),"")*$C138,"")</f>
        <v/>
      </c>
      <c r="Z138" s="203" t="e">
        <f>VLOOKUP($A138,INICIO_BARRA!$A$6:$R$130,7,FALSE)</f>
        <v>#N/A</v>
      </c>
      <c r="AA138" s="203" t="e">
        <f>VLOOKUP($A138,INICIO_BARRA!$A$6:$R$130,8,FALSE)</f>
        <v>#N/A</v>
      </c>
      <c r="AB138" s="203" t="str">
        <f>IFERROR(VLOOKUP($A138,REPOSICIONES_BARRA!$A$6:$I$130,5,FALSE),"")</f>
        <v/>
      </c>
      <c r="AC138" s="315" t="e">
        <f t="shared" si="169"/>
        <v>#N/A</v>
      </c>
      <c r="AD138" s="316" t="e">
        <f t="shared" si="170"/>
        <v>#N/A</v>
      </c>
      <c r="AE138" s="317" t="str">
        <f>IFERROR(IFERROR(VLOOKUP($A138,VENTAS!$H$2:$O$201,4,FALSE),"")/$C138,"")</f>
        <v/>
      </c>
      <c r="AF138" s="111"/>
      <c r="AG138" s="203" t="e">
        <f>VLOOKUP($A138,INICIO_BARRA!$A$6:$R$130,9,FALSE)</f>
        <v>#N/A</v>
      </c>
      <c r="AH138" s="203" t="e">
        <f>VLOOKUP($A138,INICIO_BARRA!$A$6:$R$130,10,FALSE)</f>
        <v>#N/A</v>
      </c>
      <c r="AI138" s="11"/>
      <c r="AJ138" s="94" t="str">
        <f>IFERROR(IFERROR(IF(AI138&gt;0,"",AI138*VLOOKUP($A138,'VALOR I.'!$B$6:$K$418,10,FALSE)),"")*$C138,"")</f>
        <v/>
      </c>
      <c r="AK138" s="203" t="e">
        <f>VLOOKUP($A138,INICIO_BARRA!$A$6:$R$130,9,FALSE)</f>
        <v>#N/A</v>
      </c>
      <c r="AL138" s="203" t="e">
        <f>VLOOKUP($A138,INICIO_BARRA!$A$6:$R$130,10,FALSE)</f>
        <v>#N/A</v>
      </c>
      <c r="AM138" s="203" t="str">
        <f>IFERROR(VLOOKUP($A138,REPOSICIONES_BARRA!$A$6:$I$130,6,FALSE),"")</f>
        <v/>
      </c>
      <c r="AN138" s="315" t="e">
        <f t="shared" si="171"/>
        <v>#N/A</v>
      </c>
      <c r="AO138" s="316" t="e">
        <f t="shared" si="172"/>
        <v>#N/A</v>
      </c>
      <c r="AP138" s="317" t="str">
        <f>IFERROR(IFERROR(VLOOKUP($A138,VENTAS!$H$2:$O$201,5,FALSE),"")/$C138,"")</f>
        <v/>
      </c>
      <c r="AQ138" s="111"/>
      <c r="AR138" s="203" t="e">
        <f>VLOOKUP($A138,INICIO_BARRA!$A$6:$R$130,11,FALSE)</f>
        <v>#N/A</v>
      </c>
      <c r="AS138" s="203" t="e">
        <f>VLOOKUP($A138,INICIO_BARRA!$A$6:$R$130,12,FALSE)</f>
        <v>#N/A</v>
      </c>
      <c r="AT138" s="11"/>
      <c r="AU138" s="94" t="str">
        <f>IFERROR(IFERROR(IF(AT138&gt;0,"",AT138*VLOOKUP($A138,'VALOR I.'!$B$6:$K$418,10,FALSE)),"")*$C138,"")</f>
        <v/>
      </c>
      <c r="AV138" s="203" t="e">
        <f>VLOOKUP($A138,INICIO_BARRA!$A$6:$R$130,11,FALSE)</f>
        <v>#N/A</v>
      </c>
      <c r="AW138" s="203" t="e">
        <f>VLOOKUP($A138,INICIO_BARRA!$A$6:$R$130,12,FALSE)</f>
        <v>#N/A</v>
      </c>
      <c r="AX138" s="203" t="str">
        <f>IFERROR(VLOOKUP($A138,REPOSICIONES_BARRA!$A$6:$I$130,7,FALSE),"")</f>
        <v/>
      </c>
      <c r="AY138" s="315" t="e">
        <f t="shared" si="173"/>
        <v>#N/A</v>
      </c>
      <c r="AZ138" s="316" t="e">
        <f t="shared" si="174"/>
        <v>#N/A</v>
      </c>
      <c r="BA138" s="317" t="str">
        <f>IFERROR(IFERROR(VLOOKUP($A138,VENTAS!$H$2:$O$201,6,FALSE),"")/$C138,"")</f>
        <v/>
      </c>
      <c r="BB138" s="111"/>
      <c r="BC138" s="203" t="e">
        <f>VLOOKUP($A138,INICIO_BARRA!$A$6:$R$130,13,FALSE)</f>
        <v>#N/A</v>
      </c>
      <c r="BD138" s="203" t="e">
        <f>VLOOKUP($A138,INICIO_BARRA!$A$6:$R$130,14,FALSE)</f>
        <v>#N/A</v>
      </c>
      <c r="BE138" s="11"/>
      <c r="BF138" s="94" t="str">
        <f>IFERROR(IFERROR(IF(BE138&gt;0,"",BE138*VLOOKUP($A138,'VALOR I.'!$B$6:$K$418,10,FALSE)),"")*$C138,"")</f>
        <v/>
      </c>
      <c r="BG138" s="203" t="e">
        <f>VLOOKUP($A138,INICIO_BARRA!$A$6:$R$130,13,FALSE)</f>
        <v>#N/A</v>
      </c>
      <c r="BH138" s="203" t="e">
        <f>VLOOKUP($A138,INICIO_BARRA!$A$6:$R$130,14,FALSE)</f>
        <v>#N/A</v>
      </c>
      <c r="BI138" s="203" t="str">
        <f>IFERROR(VLOOKUP($A138,REPOSICIONES_BARRA!$A$6:$I$130,8,FALSE),"")</f>
        <v/>
      </c>
      <c r="BJ138" s="315" t="e">
        <f t="shared" si="175"/>
        <v>#N/A</v>
      </c>
      <c r="BK138" s="316" t="e">
        <f t="shared" si="176"/>
        <v>#N/A</v>
      </c>
      <c r="BL138" s="317" t="str">
        <f>IFERROR(IFERROR(VLOOKUP($A138,VENTAS!$H$2:$O$201,7,FALSE),"")/$C138,"")</f>
        <v/>
      </c>
      <c r="BM138" s="111"/>
      <c r="BN138" s="203" t="e">
        <f>VLOOKUP($A138,INICIO_BARRA!$A$6:$R$130,15,FALSE)</f>
        <v>#N/A</v>
      </c>
      <c r="BO138" s="203" t="e">
        <f>VLOOKUP($A138,INICIO_BARRA!$A$6:$R$130,16,FALSE)</f>
        <v>#N/A</v>
      </c>
      <c r="BP138" s="11"/>
      <c r="BQ138" s="94" t="str">
        <f>IFERROR(IFERROR(IF(BP138&gt;0,"",BP138*VLOOKUP($A138,'VALOR I.'!$B$6:$K$418,10,FALSE)),"")*$C138,"")</f>
        <v/>
      </c>
      <c r="BR138" s="203" t="e">
        <f>VLOOKUP($A138,INICIO_BARRA!$A$6:$R$130,15,FALSE)</f>
        <v>#N/A</v>
      </c>
      <c r="BS138" s="203" t="e">
        <f>VLOOKUP($A138,INICIO_BARRA!$A$6:$R$130,16,FALSE)</f>
        <v>#N/A</v>
      </c>
      <c r="BT138" s="203" t="str">
        <f>IFERROR(VLOOKUP($A138,REPOSICIONES_BARRA!$A$6:$I$130,9,FALSE),"")</f>
        <v/>
      </c>
      <c r="BU138" s="315" t="e">
        <f t="shared" si="177"/>
        <v>#N/A</v>
      </c>
      <c r="BV138" s="316" t="e">
        <f t="shared" si="178"/>
        <v>#N/A</v>
      </c>
      <c r="BW138" s="317" t="str">
        <f>IFERROR(IFERROR(VLOOKUP($A138,VENTAS!$H$2:$O$201,8,FALSE),"")/$C138,"")</f>
        <v/>
      </c>
      <c r="BX138" s="111"/>
      <c r="BY138" s="203" t="e">
        <f>VLOOKUP($A138,INICIO_BARRA!$A$6:$R$130,17,FALSE)</f>
        <v>#N/A</v>
      </c>
      <c r="BZ138" s="203" t="e">
        <f>VLOOKUP($A138,INICIO_BARRA!$A$6:$R$130,18,FALSE)</f>
        <v>#N/A</v>
      </c>
      <c r="CA138" s="11"/>
      <c r="CB138" s="94" t="str">
        <f>IFERROR(IFERROR(IF(CA138&gt;0,"",CA138*VLOOKUP($A138,'VALOR I.'!$B$6:$K$418,10,FALSE)),"")*$C138,"")</f>
        <v/>
      </c>
    </row>
    <row r="139" spans="1:80" s="7" customFormat="1" ht="30" hidden="1" customHeight="1" x14ac:dyDescent="0.45">
      <c r="A139" s="3"/>
      <c r="B139" s="43"/>
      <c r="C139" s="149"/>
      <c r="D139" s="203" t="e">
        <f>VLOOKUP($A139,INICIO_BARRA!$A$6:$R$130,3,FALSE)</f>
        <v>#N/A</v>
      </c>
      <c r="E139" s="203" t="e">
        <f>VLOOKUP($A139,INICIO_BARRA!$A$6:$R$130,4,FALSE)</f>
        <v>#N/A</v>
      </c>
      <c r="F139" s="203" t="str">
        <f>IFERROR(VLOOKUP($A139,REPOSICIONES_BARRA!$A$6:$I$130,3,FALSE),"")</f>
        <v/>
      </c>
      <c r="G139" s="315" t="e">
        <f t="shared" si="179"/>
        <v>#N/A</v>
      </c>
      <c r="H139" s="316" t="e">
        <f t="shared" si="180"/>
        <v>#N/A</v>
      </c>
      <c r="I139" s="317" t="str">
        <f>IFERROR(IFERROR(VLOOKUP($A139,VENTAS!$H$2:$O$201,2,FALSE),"")/$C139,"")</f>
        <v/>
      </c>
      <c r="J139" s="111"/>
      <c r="K139" s="203" t="e">
        <f>VLOOKUP($A139,INICIO_BARRA!$A$6:$R$130,5,FALSE)</f>
        <v>#N/A</v>
      </c>
      <c r="L139" s="203" t="e">
        <f>VLOOKUP($A139,INICIO_BARRA!$A$6:$R$130,6,FALSE)</f>
        <v>#N/A</v>
      </c>
      <c r="M139" s="11"/>
      <c r="N139" s="204" t="str">
        <f>IFERROR(IFERROR(IF(M139&gt;0,"",M139*VLOOKUP($A139,'VALOR I.'!$B$6:$K$418,10,FALSE)),"")*$C139,"")</f>
        <v/>
      </c>
      <c r="O139" s="203" t="e">
        <f>VLOOKUP($A139,INICIO_BARRA!$A$6:$R$130,5,FALSE)</f>
        <v>#N/A</v>
      </c>
      <c r="P139" s="203" t="e">
        <f>VLOOKUP($A139,INICIO_BARRA!$A$6:$R$130,6,FALSE)</f>
        <v>#N/A</v>
      </c>
      <c r="Q139" s="203" t="str">
        <f>IFERROR(VLOOKUP($A139,REPOSICIONES_BARRA!$A$6:$I$130,4,FALSE),"")</f>
        <v/>
      </c>
      <c r="R139" s="315" t="e">
        <f t="shared" si="167"/>
        <v>#N/A</v>
      </c>
      <c r="S139" s="316" t="e">
        <f t="shared" si="168"/>
        <v>#N/A</v>
      </c>
      <c r="T139" s="317" t="str">
        <f>IFERROR(IFERROR(VLOOKUP($A139,VENTAS!$H$2:$O$201,3,FALSE),"")/$C139,"")</f>
        <v/>
      </c>
      <c r="U139" s="111"/>
      <c r="V139" s="203" t="e">
        <f>VLOOKUP($A139,INICIO_BARRA!$A$6:$R$130,7,FALSE)</f>
        <v>#N/A</v>
      </c>
      <c r="W139" s="203" t="e">
        <f>VLOOKUP($A139,INICIO_BARRA!$A$6:$R$130,8,FALSE)</f>
        <v>#N/A</v>
      </c>
      <c r="X139" s="11"/>
      <c r="Y139" s="204" t="str">
        <f>IFERROR(IFERROR(IF(X139&gt;0,"",X139*VLOOKUP($A139,'VALOR I.'!$B$6:$K$418,10,FALSE)),"")*$C139,"")</f>
        <v/>
      </c>
      <c r="Z139" s="203" t="e">
        <f>VLOOKUP($A139,INICIO_BARRA!$A$6:$R$130,7,FALSE)</f>
        <v>#N/A</v>
      </c>
      <c r="AA139" s="203" t="e">
        <f>VLOOKUP($A139,INICIO_BARRA!$A$6:$R$130,8,FALSE)</f>
        <v>#N/A</v>
      </c>
      <c r="AB139" s="203" t="str">
        <f>IFERROR(VLOOKUP($A139,REPOSICIONES_BARRA!$A$6:$I$130,5,FALSE),"")</f>
        <v/>
      </c>
      <c r="AC139" s="315" t="e">
        <f t="shared" si="169"/>
        <v>#N/A</v>
      </c>
      <c r="AD139" s="316" t="e">
        <f t="shared" si="170"/>
        <v>#N/A</v>
      </c>
      <c r="AE139" s="317" t="str">
        <f>IFERROR(IFERROR(VLOOKUP($A139,VENTAS!$H$2:$O$201,4,FALSE),"")/$C139,"")</f>
        <v/>
      </c>
      <c r="AF139" s="111"/>
      <c r="AG139" s="203" t="e">
        <f>VLOOKUP($A139,INICIO_BARRA!$A$6:$R$130,9,FALSE)</f>
        <v>#N/A</v>
      </c>
      <c r="AH139" s="203" t="e">
        <f>VLOOKUP($A139,INICIO_BARRA!$A$6:$R$130,10,FALSE)</f>
        <v>#N/A</v>
      </c>
      <c r="AI139" s="11"/>
      <c r="AJ139" s="94" t="str">
        <f>IFERROR(IFERROR(IF(AI139&gt;0,"",AI139*VLOOKUP($A139,'VALOR I.'!$B$6:$K$418,10,FALSE)),"")*$C139,"")</f>
        <v/>
      </c>
      <c r="AK139" s="203" t="e">
        <f>VLOOKUP($A139,INICIO_BARRA!$A$6:$R$130,9,FALSE)</f>
        <v>#N/A</v>
      </c>
      <c r="AL139" s="203" t="e">
        <f>VLOOKUP($A139,INICIO_BARRA!$A$6:$R$130,10,FALSE)</f>
        <v>#N/A</v>
      </c>
      <c r="AM139" s="203" t="str">
        <f>IFERROR(VLOOKUP($A139,REPOSICIONES_BARRA!$A$6:$I$130,6,FALSE),"")</f>
        <v/>
      </c>
      <c r="AN139" s="315" t="e">
        <f t="shared" si="171"/>
        <v>#N/A</v>
      </c>
      <c r="AO139" s="316" t="e">
        <f t="shared" si="172"/>
        <v>#N/A</v>
      </c>
      <c r="AP139" s="317" t="str">
        <f>IFERROR(IFERROR(VLOOKUP($A139,VENTAS!$H$2:$O$201,5,FALSE),"")/$C139,"")</f>
        <v/>
      </c>
      <c r="AQ139" s="111"/>
      <c r="AR139" s="203" t="e">
        <f>VLOOKUP($A139,INICIO_BARRA!$A$6:$R$130,11,FALSE)</f>
        <v>#N/A</v>
      </c>
      <c r="AS139" s="203" t="e">
        <f>VLOOKUP($A139,INICIO_BARRA!$A$6:$R$130,12,FALSE)</f>
        <v>#N/A</v>
      </c>
      <c r="AT139" s="11"/>
      <c r="AU139" s="94" t="str">
        <f>IFERROR(IFERROR(IF(AT139&gt;0,"",AT139*VLOOKUP($A139,'VALOR I.'!$B$6:$K$418,10,FALSE)),"")*$C139,"")</f>
        <v/>
      </c>
      <c r="AV139" s="203" t="e">
        <f>VLOOKUP($A139,INICIO_BARRA!$A$6:$R$130,11,FALSE)</f>
        <v>#N/A</v>
      </c>
      <c r="AW139" s="203" t="e">
        <f>VLOOKUP($A139,INICIO_BARRA!$A$6:$R$130,12,FALSE)</f>
        <v>#N/A</v>
      </c>
      <c r="AX139" s="203" t="str">
        <f>IFERROR(VLOOKUP($A139,REPOSICIONES_BARRA!$A$6:$I$130,7,FALSE),"")</f>
        <v/>
      </c>
      <c r="AY139" s="315" t="e">
        <f t="shared" si="173"/>
        <v>#N/A</v>
      </c>
      <c r="AZ139" s="316" t="e">
        <f t="shared" si="174"/>
        <v>#N/A</v>
      </c>
      <c r="BA139" s="317" t="str">
        <f>IFERROR(IFERROR(VLOOKUP($A139,VENTAS!$H$2:$O$201,6,FALSE),"")/$C139,"")</f>
        <v/>
      </c>
      <c r="BB139" s="111"/>
      <c r="BC139" s="203" t="e">
        <f>VLOOKUP($A139,INICIO_BARRA!$A$6:$R$130,13,FALSE)</f>
        <v>#N/A</v>
      </c>
      <c r="BD139" s="203" t="e">
        <f>VLOOKUP($A139,INICIO_BARRA!$A$6:$R$130,14,FALSE)</f>
        <v>#N/A</v>
      </c>
      <c r="BE139" s="11"/>
      <c r="BF139" s="94" t="str">
        <f>IFERROR(IFERROR(IF(BE139&gt;0,"",BE139*VLOOKUP($A139,'VALOR I.'!$B$6:$K$418,10,FALSE)),"")*$C139,"")</f>
        <v/>
      </c>
      <c r="BG139" s="203" t="e">
        <f>VLOOKUP($A139,INICIO_BARRA!$A$6:$R$130,13,FALSE)</f>
        <v>#N/A</v>
      </c>
      <c r="BH139" s="203" t="e">
        <f>VLOOKUP($A139,INICIO_BARRA!$A$6:$R$130,14,FALSE)</f>
        <v>#N/A</v>
      </c>
      <c r="BI139" s="203" t="str">
        <f>IFERROR(VLOOKUP($A139,REPOSICIONES_BARRA!$A$6:$I$130,8,FALSE),"")</f>
        <v/>
      </c>
      <c r="BJ139" s="315" t="e">
        <f t="shared" si="175"/>
        <v>#N/A</v>
      </c>
      <c r="BK139" s="316" t="e">
        <f t="shared" si="176"/>
        <v>#N/A</v>
      </c>
      <c r="BL139" s="317" t="str">
        <f>IFERROR(IFERROR(VLOOKUP($A139,VENTAS!$H$2:$O$201,7,FALSE),"")/$C139,"")</f>
        <v/>
      </c>
      <c r="BM139" s="111"/>
      <c r="BN139" s="203" t="e">
        <f>VLOOKUP($A139,INICIO_BARRA!$A$6:$R$130,15,FALSE)</f>
        <v>#N/A</v>
      </c>
      <c r="BO139" s="203" t="e">
        <f>VLOOKUP($A139,INICIO_BARRA!$A$6:$R$130,16,FALSE)</f>
        <v>#N/A</v>
      </c>
      <c r="BP139" s="11"/>
      <c r="BQ139" s="94" t="str">
        <f>IFERROR(IFERROR(IF(BP139&gt;0,"",BP139*VLOOKUP($A139,'VALOR I.'!$B$6:$K$418,10,FALSE)),"")*$C139,"")</f>
        <v/>
      </c>
      <c r="BR139" s="203" t="e">
        <f>VLOOKUP($A139,INICIO_BARRA!$A$6:$R$130,15,FALSE)</f>
        <v>#N/A</v>
      </c>
      <c r="BS139" s="203" t="e">
        <f>VLOOKUP($A139,INICIO_BARRA!$A$6:$R$130,16,FALSE)</f>
        <v>#N/A</v>
      </c>
      <c r="BT139" s="203" t="str">
        <f>IFERROR(VLOOKUP($A139,REPOSICIONES_BARRA!$A$6:$I$130,9,FALSE),"")</f>
        <v/>
      </c>
      <c r="BU139" s="315" t="e">
        <f t="shared" si="177"/>
        <v>#N/A</v>
      </c>
      <c r="BV139" s="316" t="e">
        <f t="shared" si="178"/>
        <v>#N/A</v>
      </c>
      <c r="BW139" s="317" t="str">
        <f>IFERROR(IFERROR(VLOOKUP($A139,VENTAS!$H$2:$O$201,8,FALSE),"")/$C139,"")</f>
        <v/>
      </c>
      <c r="BX139" s="111"/>
      <c r="BY139" s="203" t="e">
        <f>VLOOKUP($A139,INICIO_BARRA!$A$6:$R$130,17,FALSE)</f>
        <v>#N/A</v>
      </c>
      <c r="BZ139" s="203" t="e">
        <f>VLOOKUP($A139,INICIO_BARRA!$A$6:$R$130,18,FALSE)</f>
        <v>#N/A</v>
      </c>
      <c r="CA139" s="11"/>
      <c r="CB139" s="94" t="str">
        <f>IFERROR(IFERROR(IF(CA139&gt;0,"",CA139*VLOOKUP($A139,'VALOR I.'!$B$6:$K$418,10,FALSE)),"")*$C139,"")</f>
        <v/>
      </c>
    </row>
    <row r="140" spans="1:80" s="7" customFormat="1" ht="30" hidden="1" customHeight="1" x14ac:dyDescent="0.3">
      <c r="A140" s="3"/>
      <c r="B140" s="34"/>
      <c r="C140" s="136"/>
      <c r="D140" s="203" t="e">
        <f>VLOOKUP($A140,INICIO_BARRA!$A$6:$R$130,3,FALSE)</f>
        <v>#N/A</v>
      </c>
      <c r="E140" s="203" t="e">
        <f>VLOOKUP($A140,INICIO_BARRA!$A$6:$R$130,4,FALSE)</f>
        <v>#N/A</v>
      </c>
      <c r="F140" s="203" t="str">
        <f>IFERROR(VLOOKUP($A140,REPOSICIONES_BARRA!$A$6:$I$130,3,FALSE),"")</f>
        <v/>
      </c>
      <c r="G140" s="315" t="e">
        <f t="shared" si="179"/>
        <v>#N/A</v>
      </c>
      <c r="H140" s="316" t="e">
        <f t="shared" si="180"/>
        <v>#N/A</v>
      </c>
      <c r="I140" s="317" t="str">
        <f>IFERROR(IFERROR(VLOOKUP($A140,VENTAS!$H$2:$O$201,2,FALSE),"")/$C140,"")</f>
        <v/>
      </c>
      <c r="J140" s="111"/>
      <c r="K140" s="203" t="e">
        <f>VLOOKUP($A140,INICIO_BARRA!$A$6:$R$130,5,FALSE)</f>
        <v>#N/A</v>
      </c>
      <c r="L140" s="203" t="e">
        <f>VLOOKUP($A140,INICIO_BARRA!$A$6:$R$130,6,FALSE)</f>
        <v>#N/A</v>
      </c>
      <c r="M140" s="11"/>
      <c r="N140" s="204" t="str">
        <f>IFERROR(IFERROR(IF(M140&gt;0,"",M140*VLOOKUP($A140,'VALOR I.'!$B$6:$K$418,10,FALSE)),"")*$C140,"")</f>
        <v/>
      </c>
      <c r="O140" s="203" t="e">
        <f>VLOOKUP($A140,INICIO_BARRA!$A$6:$R$130,5,FALSE)</f>
        <v>#N/A</v>
      </c>
      <c r="P140" s="203" t="e">
        <f>VLOOKUP($A140,INICIO_BARRA!$A$6:$R$130,6,FALSE)</f>
        <v>#N/A</v>
      </c>
      <c r="Q140" s="203" t="str">
        <f>IFERROR(VLOOKUP($A140,REPOSICIONES_BARRA!$A$6:$I$130,4,FALSE),"")</f>
        <v/>
      </c>
      <c r="R140" s="315" t="e">
        <f t="shared" si="167"/>
        <v>#N/A</v>
      </c>
      <c r="S140" s="316" t="e">
        <f t="shared" si="168"/>
        <v>#N/A</v>
      </c>
      <c r="T140" s="317" t="str">
        <f>IFERROR(IFERROR(VLOOKUP($A140,VENTAS!$H$2:$O$201,3,FALSE),"")/$C140,"")</f>
        <v/>
      </c>
      <c r="U140" s="111"/>
      <c r="V140" s="203" t="e">
        <f>VLOOKUP($A140,INICIO_BARRA!$A$6:$R$130,7,FALSE)</f>
        <v>#N/A</v>
      </c>
      <c r="W140" s="203" t="e">
        <f>VLOOKUP($A140,INICIO_BARRA!$A$6:$R$130,8,FALSE)</f>
        <v>#N/A</v>
      </c>
      <c r="X140" s="11"/>
      <c r="Y140" s="204" t="str">
        <f>IFERROR(IFERROR(IF(X140&gt;0,"",X140*VLOOKUP($A140,'VALOR I.'!$B$6:$K$418,10,FALSE)),"")*$C140,"")</f>
        <v/>
      </c>
      <c r="Z140" s="203" t="e">
        <f>VLOOKUP($A140,INICIO_BARRA!$A$6:$R$130,7,FALSE)</f>
        <v>#N/A</v>
      </c>
      <c r="AA140" s="203" t="e">
        <f>VLOOKUP($A140,INICIO_BARRA!$A$6:$R$130,8,FALSE)</f>
        <v>#N/A</v>
      </c>
      <c r="AB140" s="203" t="str">
        <f>IFERROR(VLOOKUP($A140,REPOSICIONES_BARRA!$A$6:$I$130,5,FALSE),"")</f>
        <v/>
      </c>
      <c r="AC140" s="315" t="e">
        <f t="shared" si="169"/>
        <v>#N/A</v>
      </c>
      <c r="AD140" s="316" t="e">
        <f t="shared" si="170"/>
        <v>#N/A</v>
      </c>
      <c r="AE140" s="317" t="str">
        <f>IFERROR(IFERROR(VLOOKUP($A140,VENTAS!$H$2:$O$201,4,FALSE),"")/$C140,"")</f>
        <v/>
      </c>
      <c r="AF140" s="111"/>
      <c r="AG140" s="203" t="e">
        <f>VLOOKUP($A140,INICIO_BARRA!$A$6:$R$130,9,FALSE)</f>
        <v>#N/A</v>
      </c>
      <c r="AH140" s="203" t="e">
        <f>VLOOKUP($A140,INICIO_BARRA!$A$6:$R$130,10,FALSE)</f>
        <v>#N/A</v>
      </c>
      <c r="AI140" s="11"/>
      <c r="AJ140" s="94" t="str">
        <f>IFERROR(IFERROR(IF(AI140&gt;0,"",AI140*VLOOKUP($A140,'VALOR I.'!$B$6:$K$418,10,FALSE)),"")*$C140,"")</f>
        <v/>
      </c>
      <c r="AK140" s="203" t="e">
        <f>VLOOKUP($A140,INICIO_BARRA!$A$6:$R$130,9,FALSE)</f>
        <v>#N/A</v>
      </c>
      <c r="AL140" s="203" t="e">
        <f>VLOOKUP($A140,INICIO_BARRA!$A$6:$R$130,10,FALSE)</f>
        <v>#N/A</v>
      </c>
      <c r="AM140" s="203" t="str">
        <f>IFERROR(VLOOKUP($A140,REPOSICIONES_BARRA!$A$6:$I$130,6,FALSE),"")</f>
        <v/>
      </c>
      <c r="AN140" s="315" t="e">
        <f t="shared" si="171"/>
        <v>#N/A</v>
      </c>
      <c r="AO140" s="316" t="e">
        <f t="shared" si="172"/>
        <v>#N/A</v>
      </c>
      <c r="AP140" s="317" t="str">
        <f>IFERROR(IFERROR(VLOOKUP($A140,VENTAS!$H$2:$O$201,5,FALSE),"")/$C140,"")</f>
        <v/>
      </c>
      <c r="AQ140" s="111"/>
      <c r="AR140" s="203" t="e">
        <f>VLOOKUP($A140,INICIO_BARRA!$A$6:$R$130,11,FALSE)</f>
        <v>#N/A</v>
      </c>
      <c r="AS140" s="203" t="e">
        <f>VLOOKUP($A140,INICIO_BARRA!$A$6:$R$130,12,FALSE)</f>
        <v>#N/A</v>
      </c>
      <c r="AT140" s="11"/>
      <c r="AU140" s="94" t="str">
        <f>IFERROR(IFERROR(IF(AT140&gt;0,"",AT140*VLOOKUP($A140,'VALOR I.'!$B$6:$K$418,10,FALSE)),"")*$C140,"")</f>
        <v/>
      </c>
      <c r="AV140" s="203" t="e">
        <f>VLOOKUP($A140,INICIO_BARRA!$A$6:$R$130,11,FALSE)</f>
        <v>#N/A</v>
      </c>
      <c r="AW140" s="203" t="e">
        <f>VLOOKUP($A140,INICIO_BARRA!$A$6:$R$130,12,FALSE)</f>
        <v>#N/A</v>
      </c>
      <c r="AX140" s="203" t="str">
        <f>IFERROR(VLOOKUP($A140,REPOSICIONES_BARRA!$A$6:$I$130,7,FALSE),"")</f>
        <v/>
      </c>
      <c r="AY140" s="315" t="e">
        <f t="shared" si="173"/>
        <v>#N/A</v>
      </c>
      <c r="AZ140" s="316" t="e">
        <f t="shared" si="174"/>
        <v>#N/A</v>
      </c>
      <c r="BA140" s="317" t="str">
        <f>IFERROR(IFERROR(VLOOKUP($A140,VENTAS!$H$2:$O$201,6,FALSE),"")/$C140,"")</f>
        <v/>
      </c>
      <c r="BB140" s="111"/>
      <c r="BC140" s="203" t="e">
        <f>VLOOKUP($A140,INICIO_BARRA!$A$6:$R$130,13,FALSE)</f>
        <v>#N/A</v>
      </c>
      <c r="BD140" s="203" t="e">
        <f>VLOOKUP($A140,INICIO_BARRA!$A$6:$R$130,14,FALSE)</f>
        <v>#N/A</v>
      </c>
      <c r="BE140" s="11"/>
      <c r="BF140" s="94" t="str">
        <f>IFERROR(IFERROR(IF(BE140&gt;0,"",BE140*VLOOKUP($A140,'VALOR I.'!$B$6:$K$418,10,FALSE)),"")*$C140,"")</f>
        <v/>
      </c>
      <c r="BG140" s="203" t="e">
        <f>VLOOKUP($A140,INICIO_BARRA!$A$6:$R$130,13,FALSE)</f>
        <v>#N/A</v>
      </c>
      <c r="BH140" s="203" t="e">
        <f>VLOOKUP($A140,INICIO_BARRA!$A$6:$R$130,14,FALSE)</f>
        <v>#N/A</v>
      </c>
      <c r="BI140" s="203" t="str">
        <f>IFERROR(VLOOKUP($A140,REPOSICIONES_BARRA!$A$6:$I$130,8,FALSE),"")</f>
        <v/>
      </c>
      <c r="BJ140" s="315" t="e">
        <f t="shared" si="175"/>
        <v>#N/A</v>
      </c>
      <c r="BK140" s="316" t="e">
        <f t="shared" si="176"/>
        <v>#N/A</v>
      </c>
      <c r="BL140" s="317" t="str">
        <f>IFERROR(IFERROR(VLOOKUP($A140,VENTAS!$H$2:$O$201,7,FALSE),"")/$C140,"")</f>
        <v/>
      </c>
      <c r="BM140" s="111"/>
      <c r="BN140" s="203" t="e">
        <f>VLOOKUP($A140,INICIO_BARRA!$A$6:$R$130,15,FALSE)</f>
        <v>#N/A</v>
      </c>
      <c r="BO140" s="203" t="e">
        <f>VLOOKUP($A140,INICIO_BARRA!$A$6:$R$130,16,FALSE)</f>
        <v>#N/A</v>
      </c>
      <c r="BP140" s="11"/>
      <c r="BQ140" s="94" t="str">
        <f>IFERROR(IFERROR(IF(BP140&gt;0,"",BP140*VLOOKUP($A140,'VALOR I.'!$B$6:$K$418,10,FALSE)),"")*$C140,"")</f>
        <v/>
      </c>
      <c r="BR140" s="203" t="e">
        <f>VLOOKUP($A140,INICIO_BARRA!$A$6:$R$130,15,FALSE)</f>
        <v>#N/A</v>
      </c>
      <c r="BS140" s="203" t="e">
        <f>VLOOKUP($A140,INICIO_BARRA!$A$6:$R$130,16,FALSE)</f>
        <v>#N/A</v>
      </c>
      <c r="BT140" s="203" t="str">
        <f>IFERROR(VLOOKUP($A140,REPOSICIONES_BARRA!$A$6:$I$130,9,FALSE),"")</f>
        <v/>
      </c>
      <c r="BU140" s="315" t="e">
        <f t="shared" si="177"/>
        <v>#N/A</v>
      </c>
      <c r="BV140" s="316" t="e">
        <f t="shared" si="178"/>
        <v>#N/A</v>
      </c>
      <c r="BW140" s="317" t="str">
        <f>IFERROR(IFERROR(VLOOKUP($A140,VENTAS!$H$2:$O$201,8,FALSE),"")/$C140,"")</f>
        <v/>
      </c>
      <c r="BX140" s="111"/>
      <c r="BY140" s="203" t="e">
        <f>VLOOKUP($A140,INICIO_BARRA!$A$6:$R$130,17,FALSE)</f>
        <v>#N/A</v>
      </c>
      <c r="BZ140" s="203" t="e">
        <f>VLOOKUP($A140,INICIO_BARRA!$A$6:$R$130,18,FALSE)</f>
        <v>#N/A</v>
      </c>
      <c r="CA140" s="11"/>
      <c r="CB140" s="94" t="str">
        <f>IFERROR(IFERROR(IF(CA140&gt;0,"",CA140*VLOOKUP($A140,'VALOR I.'!$B$6:$K$418,10,FALSE)),"")*$C140,"")</f>
        <v/>
      </c>
    </row>
    <row r="141" spans="1:80" s="7" customFormat="1" ht="30" hidden="1" customHeight="1" x14ac:dyDescent="0.45">
      <c r="A141" s="3"/>
      <c r="B141" s="42"/>
      <c r="C141" s="148"/>
      <c r="D141" s="203" t="e">
        <f>VLOOKUP($A141,INICIO_BARRA!$A$6:$R$130,3,FALSE)</f>
        <v>#N/A</v>
      </c>
      <c r="E141" s="203" t="e">
        <f>VLOOKUP($A141,INICIO_BARRA!$A$6:$R$130,4,FALSE)</f>
        <v>#N/A</v>
      </c>
      <c r="F141" s="203" t="str">
        <f>IFERROR(VLOOKUP($A141,REPOSICIONES_BARRA!$A$6:$I$130,3,FALSE),"")</f>
        <v/>
      </c>
      <c r="G141" s="315" t="e">
        <f t="shared" si="179"/>
        <v>#N/A</v>
      </c>
      <c r="H141" s="316" t="e">
        <f t="shared" si="180"/>
        <v>#N/A</v>
      </c>
      <c r="I141" s="317" t="str">
        <f>IFERROR(IFERROR(VLOOKUP($A141,VENTAS!$H$2:$O$201,2,FALSE),"")/$C141,"")</f>
        <v/>
      </c>
      <c r="J141" s="111"/>
      <c r="K141" s="203" t="e">
        <f>VLOOKUP($A141,INICIO_BARRA!$A$6:$R$130,5,FALSE)</f>
        <v>#N/A</v>
      </c>
      <c r="L141" s="203" t="e">
        <f>VLOOKUP($A141,INICIO_BARRA!$A$6:$R$130,6,FALSE)</f>
        <v>#N/A</v>
      </c>
      <c r="M141" s="11"/>
      <c r="N141" s="204" t="str">
        <f>IFERROR(IFERROR(IF(M141&gt;0,"",M141*VLOOKUP($A141,'VALOR I.'!$B$6:$K$418,10,FALSE)),"")*$C141,"")</f>
        <v/>
      </c>
      <c r="O141" s="203" t="e">
        <f>VLOOKUP($A141,INICIO_BARRA!$A$6:$R$130,5,FALSE)</f>
        <v>#N/A</v>
      </c>
      <c r="P141" s="203" t="e">
        <f>VLOOKUP($A141,INICIO_BARRA!$A$6:$R$130,6,FALSE)</f>
        <v>#N/A</v>
      </c>
      <c r="Q141" s="203" t="str">
        <f>IFERROR(VLOOKUP($A141,REPOSICIONES_BARRA!$A$6:$I$130,4,FALSE),"")</f>
        <v/>
      </c>
      <c r="R141" s="315" t="e">
        <f t="shared" si="167"/>
        <v>#N/A</v>
      </c>
      <c r="S141" s="316" t="e">
        <f t="shared" si="168"/>
        <v>#N/A</v>
      </c>
      <c r="T141" s="317" t="str">
        <f>IFERROR(IFERROR(VLOOKUP($A141,VENTAS!$H$2:$O$201,3,FALSE),"")/$C141,"")</f>
        <v/>
      </c>
      <c r="U141" s="111"/>
      <c r="V141" s="203" t="e">
        <f>VLOOKUP($A141,INICIO_BARRA!$A$6:$R$130,7,FALSE)</f>
        <v>#N/A</v>
      </c>
      <c r="W141" s="203" t="e">
        <f>VLOOKUP($A141,INICIO_BARRA!$A$6:$R$130,8,FALSE)</f>
        <v>#N/A</v>
      </c>
      <c r="X141" s="11"/>
      <c r="Y141" s="204" t="str">
        <f>IFERROR(IFERROR(IF(X141&gt;0,"",X141*VLOOKUP($A141,'VALOR I.'!$B$6:$K$418,10,FALSE)),"")*$C141,"")</f>
        <v/>
      </c>
      <c r="Z141" s="203" t="e">
        <f>VLOOKUP($A141,INICIO_BARRA!$A$6:$R$130,7,FALSE)</f>
        <v>#N/A</v>
      </c>
      <c r="AA141" s="203" t="e">
        <f>VLOOKUP($A141,INICIO_BARRA!$A$6:$R$130,8,FALSE)</f>
        <v>#N/A</v>
      </c>
      <c r="AB141" s="203" t="str">
        <f>IFERROR(VLOOKUP($A141,REPOSICIONES_BARRA!$A$6:$I$130,5,FALSE),"")</f>
        <v/>
      </c>
      <c r="AC141" s="315" t="e">
        <f t="shared" si="169"/>
        <v>#N/A</v>
      </c>
      <c r="AD141" s="316" t="e">
        <f t="shared" si="170"/>
        <v>#N/A</v>
      </c>
      <c r="AE141" s="317" t="str">
        <f>IFERROR(IFERROR(VLOOKUP($A141,VENTAS!$H$2:$O$201,4,FALSE),"")/$C141,"")</f>
        <v/>
      </c>
      <c r="AF141" s="111"/>
      <c r="AG141" s="203" t="e">
        <f>VLOOKUP($A141,INICIO_BARRA!$A$6:$R$130,9,FALSE)</f>
        <v>#N/A</v>
      </c>
      <c r="AH141" s="203" t="e">
        <f>VLOOKUP($A141,INICIO_BARRA!$A$6:$R$130,10,FALSE)</f>
        <v>#N/A</v>
      </c>
      <c r="AI141" s="11"/>
      <c r="AJ141" s="94" t="str">
        <f>IFERROR(IFERROR(IF(AI141&gt;0,"",AI141*VLOOKUP($A141,'VALOR I.'!$B$6:$K$418,10,FALSE)),"")*$C141,"")</f>
        <v/>
      </c>
      <c r="AK141" s="203" t="e">
        <f>VLOOKUP($A141,INICIO_BARRA!$A$6:$R$130,9,FALSE)</f>
        <v>#N/A</v>
      </c>
      <c r="AL141" s="203" t="e">
        <f>VLOOKUP($A141,INICIO_BARRA!$A$6:$R$130,10,FALSE)</f>
        <v>#N/A</v>
      </c>
      <c r="AM141" s="203" t="str">
        <f>IFERROR(VLOOKUP($A141,REPOSICIONES_BARRA!$A$6:$I$130,6,FALSE),"")</f>
        <v/>
      </c>
      <c r="AN141" s="315" t="e">
        <f t="shared" si="171"/>
        <v>#N/A</v>
      </c>
      <c r="AO141" s="316" t="e">
        <f t="shared" si="172"/>
        <v>#N/A</v>
      </c>
      <c r="AP141" s="317" t="str">
        <f>IFERROR(IFERROR(VLOOKUP($A141,VENTAS!$H$2:$O$201,5,FALSE),"")/$C141,"")</f>
        <v/>
      </c>
      <c r="AQ141" s="111"/>
      <c r="AR141" s="203" t="e">
        <f>VLOOKUP($A141,INICIO_BARRA!$A$6:$R$130,11,FALSE)</f>
        <v>#N/A</v>
      </c>
      <c r="AS141" s="203" t="e">
        <f>VLOOKUP($A141,INICIO_BARRA!$A$6:$R$130,12,FALSE)</f>
        <v>#N/A</v>
      </c>
      <c r="AT141" s="11"/>
      <c r="AU141" s="94" t="str">
        <f>IFERROR(IFERROR(IF(AT141&gt;0,"",AT141*VLOOKUP($A141,'VALOR I.'!$B$6:$K$418,10,FALSE)),"")*$C141,"")</f>
        <v/>
      </c>
      <c r="AV141" s="203" t="e">
        <f>VLOOKUP($A141,INICIO_BARRA!$A$6:$R$130,11,FALSE)</f>
        <v>#N/A</v>
      </c>
      <c r="AW141" s="203" t="e">
        <f>VLOOKUP($A141,INICIO_BARRA!$A$6:$R$130,12,FALSE)</f>
        <v>#N/A</v>
      </c>
      <c r="AX141" s="203" t="str">
        <f>IFERROR(VLOOKUP($A141,REPOSICIONES_BARRA!$A$6:$I$130,7,FALSE),"")</f>
        <v/>
      </c>
      <c r="AY141" s="315" t="e">
        <f t="shared" si="173"/>
        <v>#N/A</v>
      </c>
      <c r="AZ141" s="316" t="e">
        <f t="shared" si="174"/>
        <v>#N/A</v>
      </c>
      <c r="BA141" s="317" t="str">
        <f>IFERROR(IFERROR(VLOOKUP($A141,VENTAS!$H$2:$O$201,6,FALSE),"")/$C141,"")</f>
        <v/>
      </c>
      <c r="BB141" s="111"/>
      <c r="BC141" s="203" t="e">
        <f>VLOOKUP($A141,INICIO_BARRA!$A$6:$R$130,13,FALSE)</f>
        <v>#N/A</v>
      </c>
      <c r="BD141" s="203" t="e">
        <f>VLOOKUP($A141,INICIO_BARRA!$A$6:$R$130,14,FALSE)</f>
        <v>#N/A</v>
      </c>
      <c r="BE141" s="11"/>
      <c r="BF141" s="94" t="str">
        <f>IFERROR(IFERROR(IF(BE141&gt;0,"",BE141*VLOOKUP($A141,'VALOR I.'!$B$6:$K$418,10,FALSE)),"")*$C141,"")</f>
        <v/>
      </c>
      <c r="BG141" s="203" t="e">
        <f>VLOOKUP($A141,INICIO_BARRA!$A$6:$R$130,13,FALSE)</f>
        <v>#N/A</v>
      </c>
      <c r="BH141" s="203" t="e">
        <f>VLOOKUP($A141,INICIO_BARRA!$A$6:$R$130,14,FALSE)</f>
        <v>#N/A</v>
      </c>
      <c r="BI141" s="203" t="str">
        <f>IFERROR(VLOOKUP($A141,REPOSICIONES_BARRA!$A$6:$I$130,8,FALSE),"")</f>
        <v/>
      </c>
      <c r="BJ141" s="315" t="e">
        <f t="shared" si="175"/>
        <v>#N/A</v>
      </c>
      <c r="BK141" s="316" t="e">
        <f t="shared" si="176"/>
        <v>#N/A</v>
      </c>
      <c r="BL141" s="317" t="str">
        <f>IFERROR(IFERROR(VLOOKUP($A141,VENTAS!$H$2:$O$201,7,FALSE),"")/$C141,"")</f>
        <v/>
      </c>
      <c r="BM141" s="111"/>
      <c r="BN141" s="203" t="e">
        <f>VLOOKUP($A141,INICIO_BARRA!$A$6:$R$130,15,FALSE)</f>
        <v>#N/A</v>
      </c>
      <c r="BO141" s="203" t="e">
        <f>VLOOKUP($A141,INICIO_BARRA!$A$6:$R$130,16,FALSE)</f>
        <v>#N/A</v>
      </c>
      <c r="BP141" s="11"/>
      <c r="BQ141" s="94" t="str">
        <f>IFERROR(IFERROR(IF(BP141&gt;0,"",BP141*VLOOKUP($A141,'VALOR I.'!$B$6:$K$418,10,FALSE)),"")*$C141,"")</f>
        <v/>
      </c>
      <c r="BR141" s="203" t="e">
        <f>VLOOKUP($A141,INICIO_BARRA!$A$6:$R$130,15,FALSE)</f>
        <v>#N/A</v>
      </c>
      <c r="BS141" s="203" t="e">
        <f>VLOOKUP($A141,INICIO_BARRA!$A$6:$R$130,16,FALSE)</f>
        <v>#N/A</v>
      </c>
      <c r="BT141" s="203" t="str">
        <f>IFERROR(VLOOKUP($A141,REPOSICIONES_BARRA!$A$6:$I$130,9,FALSE),"")</f>
        <v/>
      </c>
      <c r="BU141" s="315" t="e">
        <f t="shared" si="177"/>
        <v>#N/A</v>
      </c>
      <c r="BV141" s="316" t="e">
        <f t="shared" si="178"/>
        <v>#N/A</v>
      </c>
      <c r="BW141" s="317" t="str">
        <f>IFERROR(IFERROR(VLOOKUP($A141,VENTAS!$H$2:$O$201,8,FALSE),"")/$C141,"")</f>
        <v/>
      </c>
      <c r="BX141" s="111"/>
      <c r="BY141" s="203" t="e">
        <f>VLOOKUP($A141,INICIO_BARRA!$A$6:$R$130,17,FALSE)</f>
        <v>#N/A</v>
      </c>
      <c r="BZ141" s="203" t="e">
        <f>VLOOKUP($A141,INICIO_BARRA!$A$6:$R$130,18,FALSE)</f>
        <v>#N/A</v>
      </c>
      <c r="CA141" s="11"/>
      <c r="CB141" s="94" t="str">
        <f>IFERROR(IFERROR(IF(CA141&gt;0,"",CA141*VLOOKUP($A141,'VALOR I.'!$B$6:$K$418,10,FALSE)),"")*$C141,"")</f>
        <v/>
      </c>
    </row>
    <row r="142" spans="1:80" s="7" customFormat="1" ht="30" hidden="1" customHeight="1" x14ac:dyDescent="0.3">
      <c r="A142" s="3"/>
      <c r="B142" s="34"/>
      <c r="C142" s="136"/>
      <c r="D142" s="203" t="e">
        <f>VLOOKUP($A142,INICIO_BARRA!$A$6:$R$130,3,FALSE)</f>
        <v>#N/A</v>
      </c>
      <c r="E142" s="203" t="e">
        <f>VLOOKUP($A142,INICIO_BARRA!$A$6:$R$130,4,FALSE)</f>
        <v>#N/A</v>
      </c>
      <c r="F142" s="203" t="str">
        <f>IFERROR(VLOOKUP($A142,REPOSICIONES_BARRA!$A$6:$I$130,3,FALSE),"")</f>
        <v/>
      </c>
      <c r="G142" s="315" t="e">
        <f t="shared" si="179"/>
        <v>#N/A</v>
      </c>
      <c r="H142" s="316" t="e">
        <f t="shared" si="180"/>
        <v>#N/A</v>
      </c>
      <c r="I142" s="317" t="str">
        <f>IFERROR(IFERROR(VLOOKUP($A142,VENTAS!$H$2:$O$201,2,FALSE),"")/$C142,"")</f>
        <v/>
      </c>
      <c r="J142" s="111"/>
      <c r="K142" s="203" t="e">
        <f>VLOOKUP($A142,INICIO_BARRA!$A$6:$R$130,5,FALSE)</f>
        <v>#N/A</v>
      </c>
      <c r="L142" s="203" t="e">
        <f>VLOOKUP($A142,INICIO_BARRA!$A$6:$R$130,6,FALSE)</f>
        <v>#N/A</v>
      </c>
      <c r="M142" s="11"/>
      <c r="N142" s="204" t="str">
        <f>IFERROR(IFERROR(IF(M142&gt;0,"",M142*VLOOKUP($A142,'VALOR I.'!$B$6:$K$418,10,FALSE)),"")*$C142,"")</f>
        <v/>
      </c>
      <c r="O142" s="203" t="e">
        <f>VLOOKUP($A142,INICIO_BARRA!$A$6:$R$130,5,FALSE)</f>
        <v>#N/A</v>
      </c>
      <c r="P142" s="203" t="e">
        <f>VLOOKUP($A142,INICIO_BARRA!$A$6:$R$130,6,FALSE)</f>
        <v>#N/A</v>
      </c>
      <c r="Q142" s="203" t="str">
        <f>IFERROR(VLOOKUP($A142,REPOSICIONES_BARRA!$A$6:$I$130,4,FALSE),"")</f>
        <v/>
      </c>
      <c r="R142" s="315" t="e">
        <f t="shared" si="167"/>
        <v>#N/A</v>
      </c>
      <c r="S142" s="316" t="e">
        <f t="shared" si="168"/>
        <v>#N/A</v>
      </c>
      <c r="T142" s="317" t="str">
        <f>IFERROR(IFERROR(VLOOKUP($A142,VENTAS!$H$2:$O$201,3,FALSE),"")/$C142,"")</f>
        <v/>
      </c>
      <c r="U142" s="111"/>
      <c r="V142" s="203" t="e">
        <f>VLOOKUP($A142,INICIO_BARRA!$A$6:$R$130,7,FALSE)</f>
        <v>#N/A</v>
      </c>
      <c r="W142" s="203" t="e">
        <f>VLOOKUP($A142,INICIO_BARRA!$A$6:$R$130,8,FALSE)</f>
        <v>#N/A</v>
      </c>
      <c r="X142" s="11"/>
      <c r="Y142" s="204" t="str">
        <f>IFERROR(IFERROR(IF(X142&gt;0,"",X142*VLOOKUP($A142,'VALOR I.'!$B$6:$K$418,10,FALSE)),"")*$C142,"")</f>
        <v/>
      </c>
      <c r="Z142" s="203" t="e">
        <f>VLOOKUP($A142,INICIO_BARRA!$A$6:$R$130,7,FALSE)</f>
        <v>#N/A</v>
      </c>
      <c r="AA142" s="203" t="e">
        <f>VLOOKUP($A142,INICIO_BARRA!$A$6:$R$130,8,FALSE)</f>
        <v>#N/A</v>
      </c>
      <c r="AB142" s="203" t="str">
        <f>IFERROR(VLOOKUP($A142,REPOSICIONES_BARRA!$A$6:$I$130,5,FALSE),"")</f>
        <v/>
      </c>
      <c r="AC142" s="315" t="e">
        <f t="shared" si="169"/>
        <v>#N/A</v>
      </c>
      <c r="AD142" s="316" t="e">
        <f t="shared" si="170"/>
        <v>#N/A</v>
      </c>
      <c r="AE142" s="317" t="str">
        <f>IFERROR(IFERROR(VLOOKUP($A142,VENTAS!$H$2:$O$201,4,FALSE),"")/$C142,"")</f>
        <v/>
      </c>
      <c r="AF142" s="111"/>
      <c r="AG142" s="203" t="e">
        <f>VLOOKUP($A142,INICIO_BARRA!$A$6:$R$130,9,FALSE)</f>
        <v>#N/A</v>
      </c>
      <c r="AH142" s="203" t="e">
        <f>VLOOKUP($A142,INICIO_BARRA!$A$6:$R$130,10,FALSE)</f>
        <v>#N/A</v>
      </c>
      <c r="AI142" s="11"/>
      <c r="AJ142" s="94" t="str">
        <f>IFERROR(IFERROR(IF(AI142&gt;0,"",AI142*VLOOKUP($A142,'VALOR I.'!$B$6:$K$418,10,FALSE)),"")*$C142,"")</f>
        <v/>
      </c>
      <c r="AK142" s="203" t="e">
        <f>VLOOKUP($A142,INICIO_BARRA!$A$6:$R$130,9,FALSE)</f>
        <v>#N/A</v>
      </c>
      <c r="AL142" s="203" t="e">
        <f>VLOOKUP($A142,INICIO_BARRA!$A$6:$R$130,10,FALSE)</f>
        <v>#N/A</v>
      </c>
      <c r="AM142" s="203" t="str">
        <f>IFERROR(VLOOKUP($A142,REPOSICIONES_BARRA!$A$6:$I$130,6,FALSE),"")</f>
        <v/>
      </c>
      <c r="AN142" s="315" t="e">
        <f t="shared" si="171"/>
        <v>#N/A</v>
      </c>
      <c r="AO142" s="316" t="e">
        <f t="shared" si="172"/>
        <v>#N/A</v>
      </c>
      <c r="AP142" s="317" t="str">
        <f>IFERROR(IFERROR(VLOOKUP($A142,VENTAS!$H$2:$O$201,5,FALSE),"")/$C142,"")</f>
        <v/>
      </c>
      <c r="AQ142" s="111"/>
      <c r="AR142" s="203" t="e">
        <f>VLOOKUP($A142,INICIO_BARRA!$A$6:$R$130,11,FALSE)</f>
        <v>#N/A</v>
      </c>
      <c r="AS142" s="203" t="e">
        <f>VLOOKUP($A142,INICIO_BARRA!$A$6:$R$130,12,FALSE)</f>
        <v>#N/A</v>
      </c>
      <c r="AT142" s="11"/>
      <c r="AU142" s="94" t="str">
        <f>IFERROR(IFERROR(IF(AT142&gt;0,"",AT142*VLOOKUP($A142,'VALOR I.'!$B$6:$K$418,10,FALSE)),"")*$C142,"")</f>
        <v/>
      </c>
      <c r="AV142" s="203" t="e">
        <f>VLOOKUP($A142,INICIO_BARRA!$A$6:$R$130,11,FALSE)</f>
        <v>#N/A</v>
      </c>
      <c r="AW142" s="203" t="e">
        <f>VLOOKUP($A142,INICIO_BARRA!$A$6:$R$130,12,FALSE)</f>
        <v>#N/A</v>
      </c>
      <c r="AX142" s="203" t="str">
        <f>IFERROR(VLOOKUP($A142,REPOSICIONES_BARRA!$A$6:$I$130,7,FALSE),"")</f>
        <v/>
      </c>
      <c r="AY142" s="315" t="e">
        <f t="shared" si="173"/>
        <v>#N/A</v>
      </c>
      <c r="AZ142" s="316" t="e">
        <f t="shared" si="174"/>
        <v>#N/A</v>
      </c>
      <c r="BA142" s="317" t="str">
        <f>IFERROR(IFERROR(VLOOKUP($A142,VENTAS!$H$2:$O$201,6,FALSE),"")/$C142,"")</f>
        <v/>
      </c>
      <c r="BB142" s="111"/>
      <c r="BC142" s="203" t="e">
        <f>VLOOKUP($A142,INICIO_BARRA!$A$6:$R$130,13,FALSE)</f>
        <v>#N/A</v>
      </c>
      <c r="BD142" s="203" t="e">
        <f>VLOOKUP($A142,INICIO_BARRA!$A$6:$R$130,14,FALSE)</f>
        <v>#N/A</v>
      </c>
      <c r="BE142" s="11"/>
      <c r="BF142" s="94" t="str">
        <f>IFERROR(IFERROR(IF(BE142&gt;0,"",BE142*VLOOKUP($A142,'VALOR I.'!$B$6:$K$418,10,FALSE)),"")*$C142,"")</f>
        <v/>
      </c>
      <c r="BG142" s="203" t="e">
        <f>VLOOKUP($A142,INICIO_BARRA!$A$6:$R$130,13,FALSE)</f>
        <v>#N/A</v>
      </c>
      <c r="BH142" s="203" t="e">
        <f>VLOOKUP($A142,INICIO_BARRA!$A$6:$R$130,14,FALSE)</f>
        <v>#N/A</v>
      </c>
      <c r="BI142" s="203" t="str">
        <f>IFERROR(VLOOKUP($A142,REPOSICIONES_BARRA!$A$6:$I$130,8,FALSE),"")</f>
        <v/>
      </c>
      <c r="BJ142" s="315" t="e">
        <f t="shared" si="175"/>
        <v>#N/A</v>
      </c>
      <c r="BK142" s="316" t="e">
        <f t="shared" si="176"/>
        <v>#N/A</v>
      </c>
      <c r="BL142" s="317" t="str">
        <f>IFERROR(IFERROR(VLOOKUP($A142,VENTAS!$H$2:$O$201,7,FALSE),"")/$C142,"")</f>
        <v/>
      </c>
      <c r="BM142" s="111"/>
      <c r="BN142" s="203" t="e">
        <f>VLOOKUP($A142,INICIO_BARRA!$A$6:$R$130,15,FALSE)</f>
        <v>#N/A</v>
      </c>
      <c r="BO142" s="203" t="e">
        <f>VLOOKUP($A142,INICIO_BARRA!$A$6:$R$130,16,FALSE)</f>
        <v>#N/A</v>
      </c>
      <c r="BP142" s="11"/>
      <c r="BQ142" s="94" t="str">
        <f>IFERROR(IFERROR(IF(BP142&gt;0,"",BP142*VLOOKUP($A142,'VALOR I.'!$B$6:$K$418,10,FALSE)),"")*$C142,"")</f>
        <v/>
      </c>
      <c r="BR142" s="203" t="e">
        <f>VLOOKUP($A142,INICIO_BARRA!$A$6:$R$130,15,FALSE)</f>
        <v>#N/A</v>
      </c>
      <c r="BS142" s="203" t="e">
        <f>VLOOKUP($A142,INICIO_BARRA!$A$6:$R$130,16,FALSE)</f>
        <v>#N/A</v>
      </c>
      <c r="BT142" s="203" t="str">
        <f>IFERROR(VLOOKUP($A142,REPOSICIONES_BARRA!$A$6:$I$130,9,FALSE),"")</f>
        <v/>
      </c>
      <c r="BU142" s="315" t="e">
        <f t="shared" si="177"/>
        <v>#N/A</v>
      </c>
      <c r="BV142" s="316" t="e">
        <f t="shared" si="178"/>
        <v>#N/A</v>
      </c>
      <c r="BW142" s="317" t="str">
        <f>IFERROR(IFERROR(VLOOKUP($A142,VENTAS!$H$2:$O$201,8,FALSE),"")/$C142,"")</f>
        <v/>
      </c>
      <c r="BX142" s="111"/>
      <c r="BY142" s="203" t="e">
        <f>VLOOKUP($A142,INICIO_BARRA!$A$6:$R$130,17,FALSE)</f>
        <v>#N/A</v>
      </c>
      <c r="BZ142" s="203" t="e">
        <f>VLOOKUP($A142,INICIO_BARRA!$A$6:$R$130,18,FALSE)</f>
        <v>#N/A</v>
      </c>
      <c r="CA142" s="11"/>
      <c r="CB142" s="94" t="str">
        <f>IFERROR(IFERROR(IF(CA142&gt;0,"",CA142*VLOOKUP($A142,'VALOR I.'!$B$6:$K$418,10,FALSE)),"")*$C142,"")</f>
        <v/>
      </c>
    </row>
    <row r="143" spans="1:80" s="7" customFormat="1" ht="30" hidden="1" customHeight="1" x14ac:dyDescent="0.3">
      <c r="A143" s="3"/>
      <c r="B143" s="34"/>
      <c r="C143" s="136"/>
      <c r="D143" s="203" t="e">
        <f>VLOOKUP($A143,INICIO_BARRA!$A$6:$R$130,3,FALSE)</f>
        <v>#N/A</v>
      </c>
      <c r="E143" s="203" t="e">
        <f>VLOOKUP($A143,INICIO_BARRA!$A$6:$R$130,4,FALSE)</f>
        <v>#N/A</v>
      </c>
      <c r="F143" s="203" t="str">
        <f>IFERROR(VLOOKUP($A143,REPOSICIONES_BARRA!$A$6:$I$130,3,FALSE),"")</f>
        <v/>
      </c>
      <c r="G143" s="315" t="e">
        <f t="shared" si="179"/>
        <v>#N/A</v>
      </c>
      <c r="H143" s="316" t="e">
        <f t="shared" si="180"/>
        <v>#N/A</v>
      </c>
      <c r="I143" s="317" t="str">
        <f>IFERROR(IFERROR(VLOOKUP($A143,VENTAS!$H$2:$O$201,2,FALSE),"")/$C143,"")</f>
        <v/>
      </c>
      <c r="J143" s="111"/>
      <c r="K143" s="203" t="e">
        <f>VLOOKUP($A143,INICIO_BARRA!$A$6:$R$130,5,FALSE)</f>
        <v>#N/A</v>
      </c>
      <c r="L143" s="203" t="e">
        <f>VLOOKUP($A143,INICIO_BARRA!$A$6:$R$130,6,FALSE)</f>
        <v>#N/A</v>
      </c>
      <c r="M143" s="11"/>
      <c r="N143" s="204" t="str">
        <f>IFERROR(IFERROR(IF(M143&gt;0,"",M143*VLOOKUP($A143,'VALOR I.'!$B$6:$K$418,10,FALSE)),"")*$C143,"")</f>
        <v/>
      </c>
      <c r="O143" s="203" t="e">
        <f>VLOOKUP($A143,INICIO_BARRA!$A$6:$R$130,5,FALSE)</f>
        <v>#N/A</v>
      </c>
      <c r="P143" s="203" t="e">
        <f>VLOOKUP($A143,INICIO_BARRA!$A$6:$R$130,6,FALSE)</f>
        <v>#N/A</v>
      </c>
      <c r="Q143" s="203" t="str">
        <f>IFERROR(VLOOKUP($A143,REPOSICIONES_BARRA!$A$6:$I$130,4,FALSE),"")</f>
        <v/>
      </c>
      <c r="R143" s="315" t="e">
        <f t="shared" si="167"/>
        <v>#N/A</v>
      </c>
      <c r="S143" s="316" t="e">
        <f t="shared" si="168"/>
        <v>#N/A</v>
      </c>
      <c r="T143" s="317" t="str">
        <f>IFERROR(IFERROR(VLOOKUP($A143,VENTAS!$H$2:$O$201,3,FALSE),"")/$C143,"")</f>
        <v/>
      </c>
      <c r="U143" s="111"/>
      <c r="V143" s="203" t="e">
        <f>VLOOKUP($A143,INICIO_BARRA!$A$6:$R$130,7,FALSE)</f>
        <v>#N/A</v>
      </c>
      <c r="W143" s="203" t="e">
        <f>VLOOKUP($A143,INICIO_BARRA!$A$6:$R$130,8,FALSE)</f>
        <v>#N/A</v>
      </c>
      <c r="X143" s="11"/>
      <c r="Y143" s="204" t="str">
        <f>IFERROR(IFERROR(IF(X143&gt;0,"",X143*VLOOKUP($A143,'VALOR I.'!$B$6:$K$418,10,FALSE)),"")*$C143,"")</f>
        <v/>
      </c>
      <c r="Z143" s="203" t="e">
        <f>VLOOKUP($A143,INICIO_BARRA!$A$6:$R$130,7,FALSE)</f>
        <v>#N/A</v>
      </c>
      <c r="AA143" s="203" t="e">
        <f>VLOOKUP($A143,INICIO_BARRA!$A$6:$R$130,8,FALSE)</f>
        <v>#N/A</v>
      </c>
      <c r="AB143" s="203" t="str">
        <f>IFERROR(VLOOKUP($A143,REPOSICIONES_BARRA!$A$6:$I$130,5,FALSE),"")</f>
        <v/>
      </c>
      <c r="AC143" s="315" t="e">
        <f t="shared" si="169"/>
        <v>#N/A</v>
      </c>
      <c r="AD143" s="316" t="e">
        <f t="shared" si="170"/>
        <v>#N/A</v>
      </c>
      <c r="AE143" s="317" t="str">
        <f>IFERROR(IFERROR(VLOOKUP($A143,VENTAS!$H$2:$O$201,4,FALSE),"")/$C143,"")</f>
        <v/>
      </c>
      <c r="AF143" s="111"/>
      <c r="AG143" s="203" t="e">
        <f>VLOOKUP($A143,INICIO_BARRA!$A$6:$R$130,9,FALSE)</f>
        <v>#N/A</v>
      </c>
      <c r="AH143" s="203" t="e">
        <f>VLOOKUP($A143,INICIO_BARRA!$A$6:$R$130,10,FALSE)</f>
        <v>#N/A</v>
      </c>
      <c r="AI143" s="11"/>
      <c r="AJ143" s="94" t="str">
        <f>IFERROR(IFERROR(IF(AI143&gt;0,"",AI143*VLOOKUP($A143,'VALOR I.'!$B$6:$K$418,10,FALSE)),"")*$C143,"")</f>
        <v/>
      </c>
      <c r="AK143" s="203" t="e">
        <f>VLOOKUP($A143,INICIO_BARRA!$A$6:$R$130,9,FALSE)</f>
        <v>#N/A</v>
      </c>
      <c r="AL143" s="203" t="e">
        <f>VLOOKUP($A143,INICIO_BARRA!$A$6:$R$130,10,FALSE)</f>
        <v>#N/A</v>
      </c>
      <c r="AM143" s="203" t="str">
        <f>IFERROR(VLOOKUP($A143,REPOSICIONES_BARRA!$A$6:$I$130,6,FALSE),"")</f>
        <v/>
      </c>
      <c r="AN143" s="315" t="e">
        <f t="shared" si="171"/>
        <v>#N/A</v>
      </c>
      <c r="AO143" s="316" t="e">
        <f t="shared" si="172"/>
        <v>#N/A</v>
      </c>
      <c r="AP143" s="317" t="str">
        <f>IFERROR(IFERROR(VLOOKUP($A143,VENTAS!$H$2:$O$201,5,FALSE),"")/$C143,"")</f>
        <v/>
      </c>
      <c r="AQ143" s="111"/>
      <c r="AR143" s="203" t="e">
        <f>VLOOKUP($A143,INICIO_BARRA!$A$6:$R$130,11,FALSE)</f>
        <v>#N/A</v>
      </c>
      <c r="AS143" s="203" t="e">
        <f>VLOOKUP($A143,INICIO_BARRA!$A$6:$R$130,12,FALSE)</f>
        <v>#N/A</v>
      </c>
      <c r="AT143" s="11"/>
      <c r="AU143" s="94" t="str">
        <f>IFERROR(IFERROR(IF(AT143&gt;0,"",AT143*VLOOKUP($A143,'VALOR I.'!$B$6:$K$418,10,FALSE)),"")*$C143,"")</f>
        <v/>
      </c>
      <c r="AV143" s="203" t="e">
        <f>VLOOKUP($A143,INICIO_BARRA!$A$6:$R$130,11,FALSE)</f>
        <v>#N/A</v>
      </c>
      <c r="AW143" s="203" t="e">
        <f>VLOOKUP($A143,INICIO_BARRA!$A$6:$R$130,12,FALSE)</f>
        <v>#N/A</v>
      </c>
      <c r="AX143" s="203" t="str">
        <f>IFERROR(VLOOKUP($A143,REPOSICIONES_BARRA!$A$6:$I$130,7,FALSE),"")</f>
        <v/>
      </c>
      <c r="AY143" s="315" t="e">
        <f t="shared" si="173"/>
        <v>#N/A</v>
      </c>
      <c r="AZ143" s="316" t="e">
        <f t="shared" si="174"/>
        <v>#N/A</v>
      </c>
      <c r="BA143" s="317" t="str">
        <f>IFERROR(IFERROR(VLOOKUP($A143,VENTAS!$H$2:$O$201,6,FALSE),"")/$C143,"")</f>
        <v/>
      </c>
      <c r="BB143" s="111"/>
      <c r="BC143" s="203" t="e">
        <f>VLOOKUP($A143,INICIO_BARRA!$A$6:$R$130,13,FALSE)</f>
        <v>#N/A</v>
      </c>
      <c r="BD143" s="203" t="e">
        <f>VLOOKUP($A143,INICIO_BARRA!$A$6:$R$130,14,FALSE)</f>
        <v>#N/A</v>
      </c>
      <c r="BE143" s="11"/>
      <c r="BF143" s="94" t="str">
        <f>IFERROR(IFERROR(IF(BE143&gt;0,"",BE143*VLOOKUP($A143,'VALOR I.'!$B$6:$K$418,10,FALSE)),"")*$C143,"")</f>
        <v/>
      </c>
      <c r="BG143" s="203" t="e">
        <f>VLOOKUP($A143,INICIO_BARRA!$A$6:$R$130,13,FALSE)</f>
        <v>#N/A</v>
      </c>
      <c r="BH143" s="203" t="e">
        <f>VLOOKUP($A143,INICIO_BARRA!$A$6:$R$130,14,FALSE)</f>
        <v>#N/A</v>
      </c>
      <c r="BI143" s="203" t="str">
        <f>IFERROR(VLOOKUP($A143,REPOSICIONES_BARRA!$A$6:$I$130,8,FALSE),"")</f>
        <v/>
      </c>
      <c r="BJ143" s="315" t="e">
        <f t="shared" si="175"/>
        <v>#N/A</v>
      </c>
      <c r="BK143" s="316" t="e">
        <f t="shared" si="176"/>
        <v>#N/A</v>
      </c>
      <c r="BL143" s="317" t="str">
        <f>IFERROR(IFERROR(VLOOKUP($A143,VENTAS!$H$2:$O$201,7,FALSE),"")/$C143,"")</f>
        <v/>
      </c>
      <c r="BM143" s="111"/>
      <c r="BN143" s="203" t="e">
        <f>VLOOKUP($A143,INICIO_BARRA!$A$6:$R$130,15,FALSE)</f>
        <v>#N/A</v>
      </c>
      <c r="BO143" s="203" t="e">
        <f>VLOOKUP($A143,INICIO_BARRA!$A$6:$R$130,16,FALSE)</f>
        <v>#N/A</v>
      </c>
      <c r="BP143" s="11"/>
      <c r="BQ143" s="94" t="str">
        <f>IFERROR(IFERROR(IF(BP143&gt;0,"",BP143*VLOOKUP($A143,'VALOR I.'!$B$6:$K$418,10,FALSE)),"")*$C143,"")</f>
        <v/>
      </c>
      <c r="BR143" s="203" t="e">
        <f>VLOOKUP($A143,INICIO_BARRA!$A$6:$R$130,15,FALSE)</f>
        <v>#N/A</v>
      </c>
      <c r="BS143" s="203" t="e">
        <f>VLOOKUP($A143,INICIO_BARRA!$A$6:$R$130,16,FALSE)</f>
        <v>#N/A</v>
      </c>
      <c r="BT143" s="203" t="str">
        <f>IFERROR(VLOOKUP($A143,REPOSICIONES_BARRA!$A$6:$I$130,9,FALSE),"")</f>
        <v/>
      </c>
      <c r="BU143" s="315" t="e">
        <f t="shared" si="177"/>
        <v>#N/A</v>
      </c>
      <c r="BV143" s="316" t="e">
        <f t="shared" si="178"/>
        <v>#N/A</v>
      </c>
      <c r="BW143" s="317" t="str">
        <f>IFERROR(IFERROR(VLOOKUP($A143,VENTAS!$H$2:$O$201,8,FALSE),"")/$C143,"")</f>
        <v/>
      </c>
      <c r="BX143" s="111"/>
      <c r="BY143" s="203" t="e">
        <f>VLOOKUP($A143,INICIO_BARRA!$A$6:$R$130,17,FALSE)</f>
        <v>#N/A</v>
      </c>
      <c r="BZ143" s="203" t="e">
        <f>VLOOKUP($A143,INICIO_BARRA!$A$6:$R$130,18,FALSE)</f>
        <v>#N/A</v>
      </c>
      <c r="CA143" s="11"/>
      <c r="CB143" s="94" t="str">
        <f>IFERROR(IFERROR(IF(CA143&gt;0,"",CA143*VLOOKUP($A143,'VALOR I.'!$B$6:$K$418,10,FALSE)),"")*$C143,"")</f>
        <v/>
      </c>
    </row>
    <row r="144" spans="1:80" s="7" customFormat="1" ht="30" hidden="1" customHeight="1" x14ac:dyDescent="0.45">
      <c r="A144" s="3"/>
      <c r="B144" s="43"/>
      <c r="C144" s="149"/>
      <c r="D144" s="203" t="e">
        <f>VLOOKUP($A144,INICIO_BARRA!$A$6:$R$130,3,FALSE)</f>
        <v>#N/A</v>
      </c>
      <c r="E144" s="203" t="e">
        <f>VLOOKUP($A144,INICIO_BARRA!$A$6:$R$130,4,FALSE)</f>
        <v>#N/A</v>
      </c>
      <c r="F144" s="203" t="str">
        <f>IFERROR(VLOOKUP($A144,REPOSICIONES_BARRA!$A$6:$I$130,3,FALSE),"")</f>
        <v/>
      </c>
      <c r="G144" s="315" t="e">
        <f t="shared" si="179"/>
        <v>#N/A</v>
      </c>
      <c r="H144" s="316" t="e">
        <f t="shared" si="180"/>
        <v>#N/A</v>
      </c>
      <c r="I144" s="317" t="str">
        <f>IFERROR(IFERROR(VLOOKUP($A144,VENTAS!$H$2:$O$201,2,FALSE),"")/$C144,"")</f>
        <v/>
      </c>
      <c r="J144" s="111"/>
      <c r="K144" s="203" t="e">
        <f>VLOOKUP($A144,INICIO_BARRA!$A$6:$R$130,5,FALSE)</f>
        <v>#N/A</v>
      </c>
      <c r="L144" s="203" t="e">
        <f>VLOOKUP($A144,INICIO_BARRA!$A$6:$R$130,6,FALSE)</f>
        <v>#N/A</v>
      </c>
      <c r="M144" s="11"/>
      <c r="N144" s="204" t="str">
        <f>IFERROR(IFERROR(IF(M144&gt;0,"",M144*VLOOKUP($A144,'VALOR I.'!$B$6:$K$418,10,FALSE)),"")*$C144,"")</f>
        <v/>
      </c>
      <c r="O144" s="203" t="e">
        <f>VLOOKUP($A144,INICIO_BARRA!$A$6:$R$130,5,FALSE)</f>
        <v>#N/A</v>
      </c>
      <c r="P144" s="203" t="e">
        <f>VLOOKUP($A144,INICIO_BARRA!$A$6:$R$130,6,FALSE)</f>
        <v>#N/A</v>
      </c>
      <c r="Q144" s="203" t="str">
        <f>IFERROR(VLOOKUP($A144,REPOSICIONES_BARRA!$A$6:$I$130,4,FALSE),"")</f>
        <v/>
      </c>
      <c r="R144" s="315" t="e">
        <f t="shared" si="167"/>
        <v>#N/A</v>
      </c>
      <c r="S144" s="316" t="e">
        <f t="shared" si="168"/>
        <v>#N/A</v>
      </c>
      <c r="T144" s="317" t="str">
        <f>IFERROR(IFERROR(VLOOKUP($A144,VENTAS!$H$2:$O$201,3,FALSE),"")/$C144,"")</f>
        <v/>
      </c>
      <c r="U144" s="111"/>
      <c r="V144" s="203" t="e">
        <f>VLOOKUP($A144,INICIO_BARRA!$A$6:$R$130,7,FALSE)</f>
        <v>#N/A</v>
      </c>
      <c r="W144" s="203" t="e">
        <f>VLOOKUP($A144,INICIO_BARRA!$A$6:$R$130,8,FALSE)</f>
        <v>#N/A</v>
      </c>
      <c r="X144" s="11"/>
      <c r="Y144" s="204" t="str">
        <f>IFERROR(IFERROR(IF(X144&gt;0,"",X144*VLOOKUP($A144,'VALOR I.'!$B$6:$K$418,10,FALSE)),"")*$C144,"")</f>
        <v/>
      </c>
      <c r="Z144" s="203" t="e">
        <f>VLOOKUP($A144,INICIO_BARRA!$A$6:$R$130,7,FALSE)</f>
        <v>#N/A</v>
      </c>
      <c r="AA144" s="203" t="e">
        <f>VLOOKUP($A144,INICIO_BARRA!$A$6:$R$130,8,FALSE)</f>
        <v>#N/A</v>
      </c>
      <c r="AB144" s="203" t="str">
        <f>IFERROR(VLOOKUP($A144,REPOSICIONES_BARRA!$A$6:$I$130,5,FALSE),"")</f>
        <v/>
      </c>
      <c r="AC144" s="315" t="e">
        <f t="shared" si="169"/>
        <v>#N/A</v>
      </c>
      <c r="AD144" s="316" t="e">
        <f t="shared" si="170"/>
        <v>#N/A</v>
      </c>
      <c r="AE144" s="317" t="str">
        <f>IFERROR(IFERROR(VLOOKUP($A144,VENTAS!$H$2:$O$201,4,FALSE),"")/$C144,"")</f>
        <v/>
      </c>
      <c r="AF144" s="111"/>
      <c r="AG144" s="203" t="e">
        <f>VLOOKUP($A144,INICIO_BARRA!$A$6:$R$130,9,FALSE)</f>
        <v>#N/A</v>
      </c>
      <c r="AH144" s="203" t="e">
        <f>VLOOKUP($A144,INICIO_BARRA!$A$6:$R$130,10,FALSE)</f>
        <v>#N/A</v>
      </c>
      <c r="AI144" s="11"/>
      <c r="AJ144" s="94" t="str">
        <f>IFERROR(IFERROR(IF(AI144&gt;0,"",AI144*VLOOKUP($A144,'VALOR I.'!$B$6:$K$418,10,FALSE)),"")*$C144,"")</f>
        <v/>
      </c>
      <c r="AK144" s="203" t="e">
        <f>VLOOKUP($A144,INICIO_BARRA!$A$6:$R$130,9,FALSE)</f>
        <v>#N/A</v>
      </c>
      <c r="AL144" s="203" t="e">
        <f>VLOOKUP($A144,INICIO_BARRA!$A$6:$R$130,10,FALSE)</f>
        <v>#N/A</v>
      </c>
      <c r="AM144" s="203" t="str">
        <f>IFERROR(VLOOKUP($A144,REPOSICIONES_BARRA!$A$6:$I$130,6,FALSE),"")</f>
        <v/>
      </c>
      <c r="AN144" s="315" t="e">
        <f t="shared" si="171"/>
        <v>#N/A</v>
      </c>
      <c r="AO144" s="316" t="e">
        <f t="shared" si="172"/>
        <v>#N/A</v>
      </c>
      <c r="AP144" s="317" t="str">
        <f>IFERROR(IFERROR(VLOOKUP($A144,VENTAS!$H$2:$O$201,5,FALSE),"")/$C144,"")</f>
        <v/>
      </c>
      <c r="AQ144" s="111"/>
      <c r="AR144" s="203" t="e">
        <f>VLOOKUP($A144,INICIO_BARRA!$A$6:$R$130,11,FALSE)</f>
        <v>#N/A</v>
      </c>
      <c r="AS144" s="203" t="e">
        <f>VLOOKUP($A144,INICIO_BARRA!$A$6:$R$130,12,FALSE)</f>
        <v>#N/A</v>
      </c>
      <c r="AT144" s="11"/>
      <c r="AU144" s="94" t="str">
        <f>IFERROR(IFERROR(IF(AT144&gt;0,"",AT144*VLOOKUP($A144,'VALOR I.'!$B$6:$K$418,10,FALSE)),"")*$C144,"")</f>
        <v/>
      </c>
      <c r="AV144" s="203" t="e">
        <f>VLOOKUP($A144,INICIO_BARRA!$A$6:$R$130,11,FALSE)</f>
        <v>#N/A</v>
      </c>
      <c r="AW144" s="203" t="e">
        <f>VLOOKUP($A144,INICIO_BARRA!$A$6:$R$130,12,FALSE)</f>
        <v>#N/A</v>
      </c>
      <c r="AX144" s="203" t="str">
        <f>IFERROR(VLOOKUP($A144,REPOSICIONES_BARRA!$A$6:$I$130,7,FALSE),"")</f>
        <v/>
      </c>
      <c r="AY144" s="315" t="e">
        <f t="shared" si="173"/>
        <v>#N/A</v>
      </c>
      <c r="AZ144" s="316" t="e">
        <f t="shared" si="174"/>
        <v>#N/A</v>
      </c>
      <c r="BA144" s="317" t="str">
        <f>IFERROR(IFERROR(VLOOKUP($A144,VENTAS!$H$2:$O$201,6,FALSE),"")/$C144,"")</f>
        <v/>
      </c>
      <c r="BB144" s="111"/>
      <c r="BC144" s="203" t="e">
        <f>VLOOKUP($A144,INICIO_BARRA!$A$6:$R$130,13,FALSE)</f>
        <v>#N/A</v>
      </c>
      <c r="BD144" s="203" t="e">
        <f>VLOOKUP($A144,INICIO_BARRA!$A$6:$R$130,14,FALSE)</f>
        <v>#N/A</v>
      </c>
      <c r="BE144" s="11"/>
      <c r="BF144" s="94" t="str">
        <f>IFERROR(IFERROR(IF(BE144&gt;0,"",BE144*VLOOKUP($A144,'VALOR I.'!$B$6:$K$418,10,FALSE)),"")*$C144,"")</f>
        <v/>
      </c>
      <c r="BG144" s="203" t="e">
        <f>VLOOKUP($A144,INICIO_BARRA!$A$6:$R$130,13,FALSE)</f>
        <v>#N/A</v>
      </c>
      <c r="BH144" s="203" t="e">
        <f>VLOOKUP($A144,INICIO_BARRA!$A$6:$R$130,14,FALSE)</f>
        <v>#N/A</v>
      </c>
      <c r="BI144" s="203" t="str">
        <f>IFERROR(VLOOKUP($A144,REPOSICIONES_BARRA!$A$6:$I$130,8,FALSE),"")</f>
        <v/>
      </c>
      <c r="BJ144" s="315" t="e">
        <f t="shared" si="175"/>
        <v>#N/A</v>
      </c>
      <c r="BK144" s="316" t="e">
        <f t="shared" si="176"/>
        <v>#N/A</v>
      </c>
      <c r="BL144" s="317" t="str">
        <f>IFERROR(IFERROR(VLOOKUP($A144,VENTAS!$H$2:$O$201,7,FALSE),"")/$C144,"")</f>
        <v/>
      </c>
      <c r="BM144" s="111"/>
      <c r="BN144" s="203" t="e">
        <f>VLOOKUP($A144,INICIO_BARRA!$A$6:$R$130,15,FALSE)</f>
        <v>#N/A</v>
      </c>
      <c r="BO144" s="203" t="e">
        <f>VLOOKUP($A144,INICIO_BARRA!$A$6:$R$130,16,FALSE)</f>
        <v>#N/A</v>
      </c>
      <c r="BP144" s="11"/>
      <c r="BQ144" s="94" t="str">
        <f>IFERROR(IFERROR(IF(BP144&gt;0,"",BP144*VLOOKUP($A144,'VALOR I.'!$B$6:$K$418,10,FALSE)),"")*$C144,"")</f>
        <v/>
      </c>
      <c r="BR144" s="203" t="e">
        <f>VLOOKUP($A144,INICIO_BARRA!$A$6:$R$130,15,FALSE)</f>
        <v>#N/A</v>
      </c>
      <c r="BS144" s="203" t="e">
        <f>VLOOKUP($A144,INICIO_BARRA!$A$6:$R$130,16,FALSE)</f>
        <v>#N/A</v>
      </c>
      <c r="BT144" s="203" t="str">
        <f>IFERROR(VLOOKUP($A144,REPOSICIONES_BARRA!$A$6:$I$130,9,FALSE),"")</f>
        <v/>
      </c>
      <c r="BU144" s="315" t="e">
        <f t="shared" si="177"/>
        <v>#N/A</v>
      </c>
      <c r="BV144" s="316" t="e">
        <f t="shared" si="178"/>
        <v>#N/A</v>
      </c>
      <c r="BW144" s="317" t="str">
        <f>IFERROR(IFERROR(VLOOKUP($A144,VENTAS!$H$2:$O$201,8,FALSE),"")/$C144,"")</f>
        <v/>
      </c>
      <c r="BX144" s="111"/>
      <c r="BY144" s="203" t="e">
        <f>VLOOKUP($A144,INICIO_BARRA!$A$6:$R$130,17,FALSE)</f>
        <v>#N/A</v>
      </c>
      <c r="BZ144" s="203" t="e">
        <f>VLOOKUP($A144,INICIO_BARRA!$A$6:$R$130,18,FALSE)</f>
        <v>#N/A</v>
      </c>
      <c r="CA144" s="11"/>
      <c r="CB144" s="94" t="str">
        <f>IFERROR(IFERROR(IF(CA144&gt;0,"",CA144*VLOOKUP($A144,'VALOR I.'!$B$6:$K$418,10,FALSE)),"")*$C144,"")</f>
        <v/>
      </c>
    </row>
    <row r="145" spans="1:80" s="7" customFormat="1" ht="30" hidden="1" customHeight="1" x14ac:dyDescent="0.45">
      <c r="A145" s="3"/>
      <c r="B145" s="42"/>
      <c r="C145" s="148"/>
      <c r="D145" s="203" t="e">
        <f>VLOOKUP($A145,INICIO_BARRA!$A$6:$R$130,3,FALSE)</f>
        <v>#N/A</v>
      </c>
      <c r="E145" s="203" t="e">
        <f>VLOOKUP($A145,INICIO_BARRA!$A$6:$R$130,4,FALSE)</f>
        <v>#N/A</v>
      </c>
      <c r="F145" s="203" t="str">
        <f>IFERROR(VLOOKUP($A145,REPOSICIONES_BARRA!$A$6:$I$130,3,FALSE),"")</f>
        <v/>
      </c>
      <c r="G145" s="315" t="e">
        <f t="shared" si="179"/>
        <v>#N/A</v>
      </c>
      <c r="H145" s="316" t="e">
        <f t="shared" si="180"/>
        <v>#N/A</v>
      </c>
      <c r="I145" s="317" t="str">
        <f>IFERROR(IFERROR(VLOOKUP($A145,VENTAS!$H$2:$O$201,2,FALSE),"")/$C145,"")</f>
        <v/>
      </c>
      <c r="J145" s="111"/>
      <c r="K145" s="203" t="e">
        <f>VLOOKUP($A145,INICIO_BARRA!$A$6:$R$130,5,FALSE)</f>
        <v>#N/A</v>
      </c>
      <c r="L145" s="203" t="e">
        <f>VLOOKUP($A145,INICIO_BARRA!$A$6:$R$130,6,FALSE)</f>
        <v>#N/A</v>
      </c>
      <c r="M145" s="11"/>
      <c r="N145" s="204" t="str">
        <f>IFERROR(IFERROR(IF(M145&gt;0,"",M145*VLOOKUP($A145,'VALOR I.'!$B$6:$K$418,10,FALSE)),"")*$C145,"")</f>
        <v/>
      </c>
      <c r="O145" s="203" t="e">
        <f>VLOOKUP($A145,INICIO_BARRA!$A$6:$R$130,5,FALSE)</f>
        <v>#N/A</v>
      </c>
      <c r="P145" s="203" t="e">
        <f>VLOOKUP($A145,INICIO_BARRA!$A$6:$R$130,6,FALSE)</f>
        <v>#N/A</v>
      </c>
      <c r="Q145" s="203" t="str">
        <f>IFERROR(VLOOKUP($A145,REPOSICIONES_BARRA!$A$6:$I$130,4,FALSE),"")</f>
        <v/>
      </c>
      <c r="R145" s="315" t="e">
        <f t="shared" si="167"/>
        <v>#N/A</v>
      </c>
      <c r="S145" s="316" t="e">
        <f t="shared" si="168"/>
        <v>#N/A</v>
      </c>
      <c r="T145" s="317" t="str">
        <f>IFERROR(IFERROR(VLOOKUP($A145,VENTAS!$H$2:$O$201,3,FALSE),"")/$C145,"")</f>
        <v/>
      </c>
      <c r="U145" s="111"/>
      <c r="V145" s="203" t="e">
        <f>VLOOKUP($A145,INICIO_BARRA!$A$6:$R$130,7,FALSE)</f>
        <v>#N/A</v>
      </c>
      <c r="W145" s="203" t="e">
        <f>VLOOKUP($A145,INICIO_BARRA!$A$6:$R$130,8,FALSE)</f>
        <v>#N/A</v>
      </c>
      <c r="X145" s="11"/>
      <c r="Y145" s="204" t="str">
        <f>IFERROR(IFERROR(IF(X145&gt;0,"",X145*VLOOKUP($A145,'VALOR I.'!$B$6:$K$418,10,FALSE)),"")*$C145,"")</f>
        <v/>
      </c>
      <c r="Z145" s="203" t="e">
        <f>VLOOKUP($A145,INICIO_BARRA!$A$6:$R$130,7,FALSE)</f>
        <v>#N/A</v>
      </c>
      <c r="AA145" s="203" t="e">
        <f>VLOOKUP($A145,INICIO_BARRA!$A$6:$R$130,8,FALSE)</f>
        <v>#N/A</v>
      </c>
      <c r="AB145" s="203" t="str">
        <f>IFERROR(VLOOKUP($A145,REPOSICIONES_BARRA!$A$6:$I$130,5,FALSE),"")</f>
        <v/>
      </c>
      <c r="AC145" s="315" t="e">
        <f t="shared" si="169"/>
        <v>#N/A</v>
      </c>
      <c r="AD145" s="316" t="e">
        <f t="shared" si="170"/>
        <v>#N/A</v>
      </c>
      <c r="AE145" s="317" t="str">
        <f>IFERROR(IFERROR(VLOOKUP($A145,VENTAS!$H$2:$O$201,4,FALSE),"")/$C145,"")</f>
        <v/>
      </c>
      <c r="AF145" s="111"/>
      <c r="AG145" s="203" t="e">
        <f>VLOOKUP($A145,INICIO_BARRA!$A$6:$R$130,9,FALSE)</f>
        <v>#N/A</v>
      </c>
      <c r="AH145" s="203" t="e">
        <f>VLOOKUP($A145,INICIO_BARRA!$A$6:$R$130,10,FALSE)</f>
        <v>#N/A</v>
      </c>
      <c r="AI145" s="11"/>
      <c r="AJ145" s="94" t="str">
        <f>IFERROR(IFERROR(IF(AI145&gt;0,"",AI145*VLOOKUP($A145,'VALOR I.'!$B$6:$K$418,10,FALSE)),"")*$C145,"")</f>
        <v/>
      </c>
      <c r="AK145" s="203" t="e">
        <f>VLOOKUP($A145,INICIO_BARRA!$A$6:$R$130,9,FALSE)</f>
        <v>#N/A</v>
      </c>
      <c r="AL145" s="203" t="e">
        <f>VLOOKUP($A145,INICIO_BARRA!$A$6:$R$130,10,FALSE)</f>
        <v>#N/A</v>
      </c>
      <c r="AM145" s="203" t="str">
        <f>IFERROR(VLOOKUP($A145,REPOSICIONES_BARRA!$A$6:$I$130,6,FALSE),"")</f>
        <v/>
      </c>
      <c r="AN145" s="315" t="e">
        <f t="shared" si="171"/>
        <v>#N/A</v>
      </c>
      <c r="AO145" s="316" t="e">
        <f t="shared" si="172"/>
        <v>#N/A</v>
      </c>
      <c r="AP145" s="317" t="str">
        <f>IFERROR(IFERROR(VLOOKUP($A145,VENTAS!$H$2:$O$201,5,FALSE),"")/$C145,"")</f>
        <v/>
      </c>
      <c r="AQ145" s="111"/>
      <c r="AR145" s="203" t="e">
        <f>VLOOKUP($A145,INICIO_BARRA!$A$6:$R$130,11,FALSE)</f>
        <v>#N/A</v>
      </c>
      <c r="AS145" s="203" t="e">
        <f>VLOOKUP($A145,INICIO_BARRA!$A$6:$R$130,12,FALSE)</f>
        <v>#N/A</v>
      </c>
      <c r="AT145" s="11"/>
      <c r="AU145" s="94" t="str">
        <f>IFERROR(IFERROR(IF(AT145&gt;0,"",AT145*VLOOKUP($A145,'VALOR I.'!$B$6:$K$418,10,FALSE)),"")*$C145,"")</f>
        <v/>
      </c>
      <c r="AV145" s="203" t="e">
        <f>VLOOKUP($A145,INICIO_BARRA!$A$6:$R$130,11,FALSE)</f>
        <v>#N/A</v>
      </c>
      <c r="AW145" s="203" t="e">
        <f>VLOOKUP($A145,INICIO_BARRA!$A$6:$R$130,12,FALSE)</f>
        <v>#N/A</v>
      </c>
      <c r="AX145" s="203" t="str">
        <f>IFERROR(VLOOKUP($A145,REPOSICIONES_BARRA!$A$6:$I$130,7,FALSE),"")</f>
        <v/>
      </c>
      <c r="AY145" s="315" t="e">
        <f t="shared" si="173"/>
        <v>#N/A</v>
      </c>
      <c r="AZ145" s="316" t="e">
        <f t="shared" si="174"/>
        <v>#N/A</v>
      </c>
      <c r="BA145" s="317" t="str">
        <f>IFERROR(IFERROR(VLOOKUP($A145,VENTAS!$H$2:$O$201,6,FALSE),"")/$C145,"")</f>
        <v/>
      </c>
      <c r="BB145" s="111"/>
      <c r="BC145" s="203" t="e">
        <f>VLOOKUP($A145,INICIO_BARRA!$A$6:$R$130,13,FALSE)</f>
        <v>#N/A</v>
      </c>
      <c r="BD145" s="203" t="e">
        <f>VLOOKUP($A145,INICIO_BARRA!$A$6:$R$130,14,FALSE)</f>
        <v>#N/A</v>
      </c>
      <c r="BE145" s="11"/>
      <c r="BF145" s="94" t="str">
        <f>IFERROR(IFERROR(IF(BE145&gt;0,"",BE145*VLOOKUP($A145,'VALOR I.'!$B$6:$K$418,10,FALSE)),"")*$C145,"")</f>
        <v/>
      </c>
      <c r="BG145" s="203" t="e">
        <f>VLOOKUP($A145,INICIO_BARRA!$A$6:$R$130,13,FALSE)</f>
        <v>#N/A</v>
      </c>
      <c r="BH145" s="203" t="e">
        <f>VLOOKUP($A145,INICIO_BARRA!$A$6:$R$130,14,FALSE)</f>
        <v>#N/A</v>
      </c>
      <c r="BI145" s="203" t="str">
        <f>IFERROR(VLOOKUP($A145,REPOSICIONES_BARRA!$A$6:$I$130,8,FALSE),"")</f>
        <v/>
      </c>
      <c r="BJ145" s="315" t="e">
        <f t="shared" si="175"/>
        <v>#N/A</v>
      </c>
      <c r="BK145" s="316" t="e">
        <f t="shared" si="176"/>
        <v>#N/A</v>
      </c>
      <c r="BL145" s="317" t="str">
        <f>IFERROR(IFERROR(VLOOKUP($A145,VENTAS!$H$2:$O$201,7,FALSE),"")/$C145,"")</f>
        <v/>
      </c>
      <c r="BM145" s="111"/>
      <c r="BN145" s="203" t="e">
        <f>VLOOKUP($A145,INICIO_BARRA!$A$6:$R$130,15,FALSE)</f>
        <v>#N/A</v>
      </c>
      <c r="BO145" s="203" t="e">
        <f>VLOOKUP($A145,INICIO_BARRA!$A$6:$R$130,16,FALSE)</f>
        <v>#N/A</v>
      </c>
      <c r="BP145" s="11"/>
      <c r="BQ145" s="94" t="str">
        <f>IFERROR(IFERROR(IF(BP145&gt;0,"",BP145*VLOOKUP($A145,'VALOR I.'!$B$6:$K$418,10,FALSE)),"")*$C145,"")</f>
        <v/>
      </c>
      <c r="BR145" s="203" t="e">
        <f>VLOOKUP($A145,INICIO_BARRA!$A$6:$R$130,15,FALSE)</f>
        <v>#N/A</v>
      </c>
      <c r="BS145" s="203" t="e">
        <f>VLOOKUP($A145,INICIO_BARRA!$A$6:$R$130,16,FALSE)</f>
        <v>#N/A</v>
      </c>
      <c r="BT145" s="203" t="str">
        <f>IFERROR(VLOOKUP($A145,REPOSICIONES_BARRA!$A$6:$I$130,9,FALSE),"")</f>
        <v/>
      </c>
      <c r="BU145" s="315" t="e">
        <f t="shared" si="177"/>
        <v>#N/A</v>
      </c>
      <c r="BV145" s="316" t="e">
        <f t="shared" si="178"/>
        <v>#N/A</v>
      </c>
      <c r="BW145" s="317" t="str">
        <f>IFERROR(IFERROR(VLOOKUP($A145,VENTAS!$H$2:$O$201,8,FALSE),"")/$C145,"")</f>
        <v/>
      </c>
      <c r="BX145" s="111"/>
      <c r="BY145" s="203" t="e">
        <f>VLOOKUP($A145,INICIO_BARRA!$A$6:$R$130,17,FALSE)</f>
        <v>#N/A</v>
      </c>
      <c r="BZ145" s="203" t="e">
        <f>VLOOKUP($A145,INICIO_BARRA!$A$6:$R$130,18,FALSE)</f>
        <v>#N/A</v>
      </c>
      <c r="CA145" s="11"/>
      <c r="CB145" s="94" t="str">
        <f>IFERROR(IFERROR(IF(CA145&gt;0,"",CA145*VLOOKUP($A145,'VALOR I.'!$B$6:$K$418,10,FALSE)),"")*$C145,"")</f>
        <v/>
      </c>
    </row>
    <row r="146" spans="1:80" s="7" customFormat="1" ht="30" hidden="1" customHeight="1" x14ac:dyDescent="0.45">
      <c r="A146" s="3"/>
      <c r="B146" s="42"/>
      <c r="C146" s="148"/>
      <c r="D146" s="203" t="e">
        <f>VLOOKUP($A146,INICIO_BARRA!$A$6:$R$130,3,FALSE)</f>
        <v>#N/A</v>
      </c>
      <c r="E146" s="203" t="e">
        <f>VLOOKUP($A146,INICIO_BARRA!$A$6:$R$130,4,FALSE)</f>
        <v>#N/A</v>
      </c>
      <c r="F146" s="203" t="str">
        <f>IFERROR(VLOOKUP($A146,REPOSICIONES_BARRA!$A$6:$I$130,3,FALSE),"")</f>
        <v/>
      </c>
      <c r="G146" s="315" t="e">
        <f t="shared" si="179"/>
        <v>#N/A</v>
      </c>
      <c r="H146" s="316" t="e">
        <f t="shared" si="180"/>
        <v>#N/A</v>
      </c>
      <c r="I146" s="317" t="str">
        <f>IFERROR(IFERROR(VLOOKUP($A146,VENTAS!$H$2:$O$201,2,FALSE),"")/$C146,"")</f>
        <v/>
      </c>
      <c r="J146" s="111"/>
      <c r="K146" s="203" t="e">
        <f>VLOOKUP($A146,INICIO_BARRA!$A$6:$R$130,5,FALSE)</f>
        <v>#N/A</v>
      </c>
      <c r="L146" s="203" t="e">
        <f>VLOOKUP($A146,INICIO_BARRA!$A$6:$R$130,6,FALSE)</f>
        <v>#N/A</v>
      </c>
      <c r="M146" s="11"/>
      <c r="N146" s="204" t="str">
        <f>IFERROR(IFERROR(IF(M146&gt;0,"",M146*VLOOKUP($A146,'VALOR I.'!$B$6:$K$418,10,FALSE)),"")*$C146,"")</f>
        <v/>
      </c>
      <c r="O146" s="203" t="e">
        <f>VLOOKUP($A146,INICIO_BARRA!$A$6:$R$130,5,FALSE)</f>
        <v>#N/A</v>
      </c>
      <c r="P146" s="203" t="e">
        <f>VLOOKUP($A146,INICIO_BARRA!$A$6:$R$130,6,FALSE)</f>
        <v>#N/A</v>
      </c>
      <c r="Q146" s="203" t="str">
        <f>IFERROR(VLOOKUP($A146,REPOSICIONES_BARRA!$A$6:$I$130,4,FALSE),"")</f>
        <v/>
      </c>
      <c r="R146" s="315" t="e">
        <f t="shared" si="167"/>
        <v>#N/A</v>
      </c>
      <c r="S146" s="316" t="e">
        <f t="shared" si="168"/>
        <v>#N/A</v>
      </c>
      <c r="T146" s="317" t="str">
        <f>IFERROR(IFERROR(VLOOKUP($A146,VENTAS!$H$2:$O$201,3,FALSE),"")/$C146,"")</f>
        <v/>
      </c>
      <c r="U146" s="111"/>
      <c r="V146" s="203" t="e">
        <f>VLOOKUP($A146,INICIO_BARRA!$A$6:$R$130,7,FALSE)</f>
        <v>#N/A</v>
      </c>
      <c r="W146" s="203" t="e">
        <f>VLOOKUP($A146,INICIO_BARRA!$A$6:$R$130,8,FALSE)</f>
        <v>#N/A</v>
      </c>
      <c r="X146" s="11"/>
      <c r="Y146" s="204" t="str">
        <f>IFERROR(IFERROR(IF(X146&gt;0,"",X146*VLOOKUP($A146,'VALOR I.'!$B$6:$K$418,10,FALSE)),"")*$C146,"")</f>
        <v/>
      </c>
      <c r="Z146" s="203" t="e">
        <f>VLOOKUP($A146,INICIO_BARRA!$A$6:$R$130,7,FALSE)</f>
        <v>#N/A</v>
      </c>
      <c r="AA146" s="203" t="e">
        <f>VLOOKUP($A146,INICIO_BARRA!$A$6:$R$130,8,FALSE)</f>
        <v>#N/A</v>
      </c>
      <c r="AB146" s="203" t="str">
        <f>IFERROR(VLOOKUP($A146,REPOSICIONES_BARRA!$A$6:$I$130,5,FALSE),"")</f>
        <v/>
      </c>
      <c r="AC146" s="315" t="e">
        <f t="shared" si="169"/>
        <v>#N/A</v>
      </c>
      <c r="AD146" s="316" t="e">
        <f t="shared" si="170"/>
        <v>#N/A</v>
      </c>
      <c r="AE146" s="317" t="str">
        <f>IFERROR(IFERROR(VLOOKUP($A146,VENTAS!$H$2:$O$201,4,FALSE),"")/$C146,"")</f>
        <v/>
      </c>
      <c r="AF146" s="111"/>
      <c r="AG146" s="203" t="e">
        <f>VLOOKUP($A146,INICIO_BARRA!$A$6:$R$130,9,FALSE)</f>
        <v>#N/A</v>
      </c>
      <c r="AH146" s="203" t="e">
        <f>VLOOKUP($A146,INICIO_BARRA!$A$6:$R$130,10,FALSE)</f>
        <v>#N/A</v>
      </c>
      <c r="AI146" s="11"/>
      <c r="AJ146" s="94" t="str">
        <f>IFERROR(IFERROR(IF(AI146&gt;0,"",AI146*VLOOKUP($A146,'VALOR I.'!$B$6:$K$418,10,FALSE)),"")*$C146,"")</f>
        <v/>
      </c>
      <c r="AK146" s="203" t="e">
        <f>VLOOKUP($A146,INICIO_BARRA!$A$6:$R$130,9,FALSE)</f>
        <v>#N/A</v>
      </c>
      <c r="AL146" s="203" t="e">
        <f>VLOOKUP($A146,INICIO_BARRA!$A$6:$R$130,10,FALSE)</f>
        <v>#N/A</v>
      </c>
      <c r="AM146" s="203" t="str">
        <f>IFERROR(VLOOKUP($A146,REPOSICIONES_BARRA!$A$6:$I$130,6,FALSE),"")</f>
        <v/>
      </c>
      <c r="AN146" s="315" t="e">
        <f t="shared" si="171"/>
        <v>#N/A</v>
      </c>
      <c r="AO146" s="316" t="e">
        <f t="shared" si="172"/>
        <v>#N/A</v>
      </c>
      <c r="AP146" s="317" t="str">
        <f>IFERROR(IFERROR(VLOOKUP($A146,VENTAS!$H$2:$O$201,5,FALSE),"")/$C146,"")</f>
        <v/>
      </c>
      <c r="AQ146" s="111"/>
      <c r="AR146" s="203" t="e">
        <f>VLOOKUP($A146,INICIO_BARRA!$A$6:$R$130,11,FALSE)</f>
        <v>#N/A</v>
      </c>
      <c r="AS146" s="203" t="e">
        <f>VLOOKUP($A146,INICIO_BARRA!$A$6:$R$130,12,FALSE)</f>
        <v>#N/A</v>
      </c>
      <c r="AT146" s="11"/>
      <c r="AU146" s="94" t="str">
        <f>IFERROR(IFERROR(IF(AT146&gt;0,"",AT146*VLOOKUP($A146,'VALOR I.'!$B$6:$K$418,10,FALSE)),"")*$C146,"")</f>
        <v/>
      </c>
      <c r="AV146" s="203" t="e">
        <f>VLOOKUP($A146,INICIO_BARRA!$A$6:$R$130,11,FALSE)</f>
        <v>#N/A</v>
      </c>
      <c r="AW146" s="203" t="e">
        <f>VLOOKUP($A146,INICIO_BARRA!$A$6:$R$130,12,FALSE)</f>
        <v>#N/A</v>
      </c>
      <c r="AX146" s="203" t="str">
        <f>IFERROR(VLOOKUP($A146,REPOSICIONES_BARRA!$A$6:$I$130,7,FALSE),"")</f>
        <v/>
      </c>
      <c r="AY146" s="315" t="e">
        <f t="shared" si="173"/>
        <v>#N/A</v>
      </c>
      <c r="AZ146" s="316" t="e">
        <f t="shared" si="174"/>
        <v>#N/A</v>
      </c>
      <c r="BA146" s="317" t="str">
        <f>IFERROR(IFERROR(VLOOKUP($A146,VENTAS!$H$2:$O$201,6,FALSE),"")/$C146,"")</f>
        <v/>
      </c>
      <c r="BB146" s="111"/>
      <c r="BC146" s="203" t="e">
        <f>VLOOKUP($A146,INICIO_BARRA!$A$6:$R$130,13,FALSE)</f>
        <v>#N/A</v>
      </c>
      <c r="BD146" s="203" t="e">
        <f>VLOOKUP($A146,INICIO_BARRA!$A$6:$R$130,14,FALSE)</f>
        <v>#N/A</v>
      </c>
      <c r="BE146" s="11"/>
      <c r="BF146" s="94" t="str">
        <f>IFERROR(IFERROR(IF(BE146&gt;0,"",BE146*VLOOKUP($A146,'VALOR I.'!$B$6:$K$418,10,FALSE)),"")*$C146,"")</f>
        <v/>
      </c>
      <c r="BG146" s="203" t="e">
        <f>VLOOKUP($A146,INICIO_BARRA!$A$6:$R$130,13,FALSE)</f>
        <v>#N/A</v>
      </c>
      <c r="BH146" s="203" t="e">
        <f>VLOOKUP($A146,INICIO_BARRA!$A$6:$R$130,14,FALSE)</f>
        <v>#N/A</v>
      </c>
      <c r="BI146" s="203" t="str">
        <f>IFERROR(VLOOKUP($A146,REPOSICIONES_BARRA!$A$6:$I$130,8,FALSE),"")</f>
        <v/>
      </c>
      <c r="BJ146" s="315" t="e">
        <f t="shared" si="175"/>
        <v>#N/A</v>
      </c>
      <c r="BK146" s="316" t="e">
        <f t="shared" si="176"/>
        <v>#N/A</v>
      </c>
      <c r="BL146" s="317" t="str">
        <f>IFERROR(IFERROR(VLOOKUP($A146,VENTAS!$H$2:$O$201,7,FALSE),"")/$C146,"")</f>
        <v/>
      </c>
      <c r="BM146" s="111"/>
      <c r="BN146" s="203" t="e">
        <f>VLOOKUP($A146,INICIO_BARRA!$A$6:$R$130,15,FALSE)</f>
        <v>#N/A</v>
      </c>
      <c r="BO146" s="203" t="e">
        <f>VLOOKUP($A146,INICIO_BARRA!$A$6:$R$130,16,FALSE)</f>
        <v>#N/A</v>
      </c>
      <c r="BP146" s="11"/>
      <c r="BQ146" s="94" t="str">
        <f>IFERROR(IFERROR(IF(BP146&gt;0,"",BP146*VLOOKUP($A146,'VALOR I.'!$B$6:$K$418,10,FALSE)),"")*$C146,"")</f>
        <v/>
      </c>
      <c r="BR146" s="203" t="e">
        <f>VLOOKUP($A146,INICIO_BARRA!$A$6:$R$130,15,FALSE)</f>
        <v>#N/A</v>
      </c>
      <c r="BS146" s="203" t="e">
        <f>VLOOKUP($A146,INICIO_BARRA!$A$6:$R$130,16,FALSE)</f>
        <v>#N/A</v>
      </c>
      <c r="BT146" s="203" t="str">
        <f>IFERROR(VLOOKUP($A146,REPOSICIONES_BARRA!$A$6:$I$130,9,FALSE),"")</f>
        <v/>
      </c>
      <c r="BU146" s="315" t="e">
        <f t="shared" si="177"/>
        <v>#N/A</v>
      </c>
      <c r="BV146" s="316" t="e">
        <f t="shared" si="178"/>
        <v>#N/A</v>
      </c>
      <c r="BW146" s="317" t="str">
        <f>IFERROR(IFERROR(VLOOKUP($A146,VENTAS!$H$2:$O$201,8,FALSE),"")/$C146,"")</f>
        <v/>
      </c>
      <c r="BX146" s="111"/>
      <c r="BY146" s="203" t="e">
        <f>VLOOKUP($A146,INICIO_BARRA!$A$6:$R$130,17,FALSE)</f>
        <v>#N/A</v>
      </c>
      <c r="BZ146" s="203" t="e">
        <f>VLOOKUP($A146,INICIO_BARRA!$A$6:$R$130,18,FALSE)</f>
        <v>#N/A</v>
      </c>
      <c r="CA146" s="11"/>
      <c r="CB146" s="94" t="str">
        <f>IFERROR(IFERROR(IF(CA146&gt;0,"",CA146*VLOOKUP($A146,'VALOR I.'!$B$6:$K$418,10,FALSE)),"")*$C146,"")</f>
        <v/>
      </c>
    </row>
    <row r="147" spans="1:80" s="7" customFormat="1" ht="30" hidden="1" customHeight="1" x14ac:dyDescent="0.3">
      <c r="A147" s="3"/>
      <c r="B147" s="21"/>
      <c r="C147" s="150"/>
      <c r="D147" s="203" t="e">
        <f>VLOOKUP($A147,INICIO_BARRA!$A$6:$R$130,3,FALSE)</f>
        <v>#N/A</v>
      </c>
      <c r="E147" s="203" t="e">
        <f>VLOOKUP($A147,INICIO_BARRA!$A$6:$R$130,4,FALSE)</f>
        <v>#N/A</v>
      </c>
      <c r="F147" s="203" t="str">
        <f>IFERROR(VLOOKUP($A147,REPOSICIONES_BARRA!$A$6:$I$130,3,FALSE),"")</f>
        <v/>
      </c>
      <c r="G147" s="315" t="e">
        <f t="shared" si="179"/>
        <v>#N/A</v>
      </c>
      <c r="H147" s="316" t="e">
        <f t="shared" si="180"/>
        <v>#N/A</v>
      </c>
      <c r="I147" s="317" t="str">
        <f>IFERROR(IFERROR(VLOOKUP($A147,VENTAS!$H$2:$O$201,2,FALSE),"")/$C147,"")</f>
        <v/>
      </c>
      <c r="J147" s="111"/>
      <c r="K147" s="203" t="e">
        <f>VLOOKUP($A147,INICIO_BARRA!$A$6:$R$130,5,FALSE)</f>
        <v>#N/A</v>
      </c>
      <c r="L147" s="203" t="e">
        <f>VLOOKUP($A147,INICIO_BARRA!$A$6:$R$130,6,FALSE)</f>
        <v>#N/A</v>
      </c>
      <c r="M147" s="11"/>
      <c r="N147" s="204" t="str">
        <f>IFERROR(IFERROR(IF(M147&gt;0,"",M147*VLOOKUP($A147,'VALOR I.'!$B$6:$K$418,10,FALSE)),"")*$C147,"")</f>
        <v/>
      </c>
      <c r="O147" s="203" t="e">
        <f>VLOOKUP($A147,INICIO_BARRA!$A$6:$R$130,5,FALSE)</f>
        <v>#N/A</v>
      </c>
      <c r="P147" s="203" t="e">
        <f>VLOOKUP($A147,INICIO_BARRA!$A$6:$R$130,6,FALSE)</f>
        <v>#N/A</v>
      </c>
      <c r="Q147" s="203" t="str">
        <f>IFERROR(VLOOKUP($A147,REPOSICIONES_BARRA!$A$6:$I$130,4,FALSE),"")</f>
        <v/>
      </c>
      <c r="R147" s="315" t="e">
        <f t="shared" si="167"/>
        <v>#N/A</v>
      </c>
      <c r="S147" s="316" t="e">
        <f t="shared" si="168"/>
        <v>#N/A</v>
      </c>
      <c r="T147" s="317" t="str">
        <f>IFERROR(IFERROR(VLOOKUP($A147,VENTAS!$H$2:$O$201,3,FALSE),"")/$C147,"")</f>
        <v/>
      </c>
      <c r="U147" s="111"/>
      <c r="V147" s="203" t="e">
        <f>VLOOKUP($A147,INICIO_BARRA!$A$6:$R$130,7,FALSE)</f>
        <v>#N/A</v>
      </c>
      <c r="W147" s="203" t="e">
        <f>VLOOKUP($A147,INICIO_BARRA!$A$6:$R$130,8,FALSE)</f>
        <v>#N/A</v>
      </c>
      <c r="X147" s="11"/>
      <c r="Y147" s="204" t="str">
        <f>IFERROR(IFERROR(IF(X147&gt;0,"",X147*VLOOKUP($A147,'VALOR I.'!$B$6:$K$418,10,FALSE)),"")*$C147,"")</f>
        <v/>
      </c>
      <c r="Z147" s="203" t="e">
        <f>VLOOKUP($A147,INICIO_BARRA!$A$6:$R$130,7,FALSE)</f>
        <v>#N/A</v>
      </c>
      <c r="AA147" s="203" t="e">
        <f>VLOOKUP($A147,INICIO_BARRA!$A$6:$R$130,8,FALSE)</f>
        <v>#N/A</v>
      </c>
      <c r="AB147" s="203" t="str">
        <f>IFERROR(VLOOKUP($A147,REPOSICIONES_BARRA!$A$6:$I$130,5,FALSE),"")</f>
        <v/>
      </c>
      <c r="AC147" s="315" t="e">
        <f t="shared" si="169"/>
        <v>#N/A</v>
      </c>
      <c r="AD147" s="316" t="e">
        <f t="shared" si="170"/>
        <v>#N/A</v>
      </c>
      <c r="AE147" s="317" t="str">
        <f>IFERROR(IFERROR(VLOOKUP($A147,VENTAS!$H$2:$O$201,4,FALSE),"")/$C147,"")</f>
        <v/>
      </c>
      <c r="AF147" s="111"/>
      <c r="AG147" s="203" t="e">
        <f>VLOOKUP($A147,INICIO_BARRA!$A$6:$R$130,9,FALSE)</f>
        <v>#N/A</v>
      </c>
      <c r="AH147" s="203" t="e">
        <f>VLOOKUP($A147,INICIO_BARRA!$A$6:$R$130,10,FALSE)</f>
        <v>#N/A</v>
      </c>
      <c r="AI147" s="11"/>
      <c r="AJ147" s="94" t="str">
        <f>IFERROR(IFERROR(IF(AI147&gt;0,"",AI147*VLOOKUP($A147,'VALOR I.'!$B$6:$K$418,10,FALSE)),"")*$C147,"")</f>
        <v/>
      </c>
      <c r="AK147" s="203" t="e">
        <f>VLOOKUP($A147,INICIO_BARRA!$A$6:$R$130,9,FALSE)</f>
        <v>#N/A</v>
      </c>
      <c r="AL147" s="203" t="e">
        <f>VLOOKUP($A147,INICIO_BARRA!$A$6:$R$130,10,FALSE)</f>
        <v>#N/A</v>
      </c>
      <c r="AM147" s="203" t="str">
        <f>IFERROR(VLOOKUP($A147,REPOSICIONES_BARRA!$A$6:$I$130,6,FALSE),"")</f>
        <v/>
      </c>
      <c r="AN147" s="315" t="e">
        <f t="shared" si="171"/>
        <v>#N/A</v>
      </c>
      <c r="AO147" s="316" t="e">
        <f t="shared" si="172"/>
        <v>#N/A</v>
      </c>
      <c r="AP147" s="317" t="str">
        <f>IFERROR(IFERROR(VLOOKUP($A147,VENTAS!$H$2:$O$201,5,FALSE),"")/$C147,"")</f>
        <v/>
      </c>
      <c r="AQ147" s="111"/>
      <c r="AR147" s="203" t="e">
        <f>VLOOKUP($A147,INICIO_BARRA!$A$6:$R$130,11,FALSE)</f>
        <v>#N/A</v>
      </c>
      <c r="AS147" s="203" t="e">
        <f>VLOOKUP($A147,INICIO_BARRA!$A$6:$R$130,12,FALSE)</f>
        <v>#N/A</v>
      </c>
      <c r="AT147" s="11"/>
      <c r="AU147" s="94" t="str">
        <f>IFERROR(IFERROR(IF(AT147&gt;0,"",AT147*VLOOKUP($A147,'VALOR I.'!$B$6:$K$418,10,FALSE)),"")*$C147,"")</f>
        <v/>
      </c>
      <c r="AV147" s="203" t="e">
        <f>VLOOKUP($A147,INICIO_BARRA!$A$6:$R$130,11,FALSE)</f>
        <v>#N/A</v>
      </c>
      <c r="AW147" s="203" t="e">
        <f>VLOOKUP($A147,INICIO_BARRA!$A$6:$R$130,12,FALSE)</f>
        <v>#N/A</v>
      </c>
      <c r="AX147" s="203" t="str">
        <f>IFERROR(VLOOKUP($A147,REPOSICIONES_BARRA!$A$6:$I$130,7,FALSE),"")</f>
        <v/>
      </c>
      <c r="AY147" s="315" t="e">
        <f t="shared" si="173"/>
        <v>#N/A</v>
      </c>
      <c r="AZ147" s="316" t="e">
        <f t="shared" si="174"/>
        <v>#N/A</v>
      </c>
      <c r="BA147" s="317" t="str">
        <f>IFERROR(IFERROR(VLOOKUP($A147,VENTAS!$H$2:$O$201,6,FALSE),"")/$C147,"")</f>
        <v/>
      </c>
      <c r="BB147" s="111"/>
      <c r="BC147" s="203" t="e">
        <f>VLOOKUP($A147,INICIO_BARRA!$A$6:$R$130,13,FALSE)</f>
        <v>#N/A</v>
      </c>
      <c r="BD147" s="203" t="e">
        <f>VLOOKUP($A147,INICIO_BARRA!$A$6:$R$130,14,FALSE)</f>
        <v>#N/A</v>
      </c>
      <c r="BE147" s="11"/>
      <c r="BF147" s="94" t="str">
        <f>IFERROR(IFERROR(IF(BE147&gt;0,"",BE147*VLOOKUP($A147,'VALOR I.'!$B$6:$K$418,10,FALSE)),"")*$C147,"")</f>
        <v/>
      </c>
      <c r="BG147" s="203" t="e">
        <f>VLOOKUP($A147,INICIO_BARRA!$A$6:$R$130,13,FALSE)</f>
        <v>#N/A</v>
      </c>
      <c r="BH147" s="203" t="e">
        <f>VLOOKUP($A147,INICIO_BARRA!$A$6:$R$130,14,FALSE)</f>
        <v>#N/A</v>
      </c>
      <c r="BI147" s="203" t="str">
        <f>IFERROR(VLOOKUP($A147,REPOSICIONES_BARRA!$A$6:$I$130,8,FALSE),"")</f>
        <v/>
      </c>
      <c r="BJ147" s="315" t="e">
        <f t="shared" si="175"/>
        <v>#N/A</v>
      </c>
      <c r="BK147" s="316" t="e">
        <f t="shared" si="176"/>
        <v>#N/A</v>
      </c>
      <c r="BL147" s="317" t="str">
        <f>IFERROR(IFERROR(VLOOKUP($A147,VENTAS!$H$2:$O$201,7,FALSE),"")/$C147,"")</f>
        <v/>
      </c>
      <c r="BM147" s="111"/>
      <c r="BN147" s="203" t="e">
        <f>VLOOKUP($A147,INICIO_BARRA!$A$6:$R$130,15,FALSE)</f>
        <v>#N/A</v>
      </c>
      <c r="BO147" s="203" t="e">
        <f>VLOOKUP($A147,INICIO_BARRA!$A$6:$R$130,16,FALSE)</f>
        <v>#N/A</v>
      </c>
      <c r="BP147" s="11"/>
      <c r="BQ147" s="94" t="str">
        <f>IFERROR(IFERROR(IF(BP147&gt;0,"",BP147*VLOOKUP($A147,'VALOR I.'!$B$6:$K$418,10,FALSE)),"")*$C147,"")</f>
        <v/>
      </c>
      <c r="BR147" s="203" t="e">
        <f>VLOOKUP($A147,INICIO_BARRA!$A$6:$R$130,15,FALSE)</f>
        <v>#N/A</v>
      </c>
      <c r="BS147" s="203" t="e">
        <f>VLOOKUP($A147,INICIO_BARRA!$A$6:$R$130,16,FALSE)</f>
        <v>#N/A</v>
      </c>
      <c r="BT147" s="203" t="str">
        <f>IFERROR(VLOOKUP($A147,REPOSICIONES_BARRA!$A$6:$I$130,9,FALSE),"")</f>
        <v/>
      </c>
      <c r="BU147" s="315" t="e">
        <f t="shared" si="177"/>
        <v>#N/A</v>
      </c>
      <c r="BV147" s="316" t="e">
        <f t="shared" si="178"/>
        <v>#N/A</v>
      </c>
      <c r="BW147" s="317" t="str">
        <f>IFERROR(IFERROR(VLOOKUP($A147,VENTAS!$H$2:$O$201,8,FALSE),"")/$C147,"")</f>
        <v/>
      </c>
      <c r="BX147" s="111"/>
      <c r="BY147" s="203" t="e">
        <f>VLOOKUP($A147,INICIO_BARRA!$A$6:$R$130,17,FALSE)</f>
        <v>#N/A</v>
      </c>
      <c r="BZ147" s="203" t="e">
        <f>VLOOKUP($A147,INICIO_BARRA!$A$6:$R$130,18,FALSE)</f>
        <v>#N/A</v>
      </c>
      <c r="CA147" s="11"/>
      <c r="CB147" s="94" t="str">
        <f>IFERROR(IFERROR(IF(CA147&gt;0,"",CA147*VLOOKUP($A147,'VALOR I.'!$B$6:$K$418,10,FALSE)),"")*$C147,"")</f>
        <v/>
      </c>
    </row>
    <row r="148" spans="1:80" s="7" customFormat="1" ht="30" hidden="1" customHeight="1" x14ac:dyDescent="0.3">
      <c r="A148" s="3"/>
      <c r="B148" s="34"/>
      <c r="C148" s="136"/>
      <c r="D148" s="203" t="e">
        <f>VLOOKUP($A148,INICIO_BARRA!$A$6:$R$130,3,FALSE)</f>
        <v>#N/A</v>
      </c>
      <c r="E148" s="203" t="e">
        <f>VLOOKUP($A148,INICIO_BARRA!$A$6:$R$130,4,FALSE)</f>
        <v>#N/A</v>
      </c>
      <c r="F148" s="203" t="str">
        <f>IFERROR(VLOOKUP($A148,REPOSICIONES_BARRA!$A$6:$I$130,3,FALSE),"")</f>
        <v/>
      </c>
      <c r="G148" s="315" t="e">
        <f t="shared" si="179"/>
        <v>#N/A</v>
      </c>
      <c r="H148" s="316" t="e">
        <f t="shared" si="180"/>
        <v>#N/A</v>
      </c>
      <c r="I148" s="317" t="str">
        <f>IFERROR(IFERROR(VLOOKUP($A148,VENTAS!$H$2:$O$201,2,FALSE),"")/$C148,"")</f>
        <v/>
      </c>
      <c r="J148" s="111"/>
      <c r="K148" s="203" t="e">
        <f>VLOOKUP($A148,INICIO_BARRA!$A$6:$R$130,5,FALSE)</f>
        <v>#N/A</v>
      </c>
      <c r="L148" s="203" t="e">
        <f>VLOOKUP($A148,INICIO_BARRA!$A$6:$R$130,6,FALSE)</f>
        <v>#N/A</v>
      </c>
      <c r="M148" s="11"/>
      <c r="N148" s="204" t="str">
        <f>IFERROR(IFERROR(IF(M148&gt;0,"",M148*VLOOKUP($A148,'VALOR I.'!$B$6:$K$418,10,FALSE)),"")*$C148,"")</f>
        <v/>
      </c>
      <c r="O148" s="203" t="e">
        <f>VLOOKUP($A148,INICIO_BARRA!$A$6:$R$130,5,FALSE)</f>
        <v>#N/A</v>
      </c>
      <c r="P148" s="203" t="e">
        <f>VLOOKUP($A148,INICIO_BARRA!$A$6:$R$130,6,FALSE)</f>
        <v>#N/A</v>
      </c>
      <c r="Q148" s="203" t="str">
        <f>IFERROR(VLOOKUP($A148,REPOSICIONES_BARRA!$A$6:$I$130,4,FALSE),"")</f>
        <v/>
      </c>
      <c r="R148" s="315" t="e">
        <f t="shared" si="167"/>
        <v>#N/A</v>
      </c>
      <c r="S148" s="316" t="e">
        <f t="shared" si="168"/>
        <v>#N/A</v>
      </c>
      <c r="T148" s="317" t="str">
        <f>IFERROR(IFERROR(VLOOKUP($A148,VENTAS!$H$2:$O$201,3,FALSE),"")/$C148,"")</f>
        <v/>
      </c>
      <c r="U148" s="111"/>
      <c r="V148" s="203" t="e">
        <f>VLOOKUP($A148,INICIO_BARRA!$A$6:$R$130,7,FALSE)</f>
        <v>#N/A</v>
      </c>
      <c r="W148" s="203" t="e">
        <f>VLOOKUP($A148,INICIO_BARRA!$A$6:$R$130,8,FALSE)</f>
        <v>#N/A</v>
      </c>
      <c r="X148" s="11"/>
      <c r="Y148" s="204" t="str">
        <f>IFERROR(IFERROR(IF(X148&gt;0,"",X148*VLOOKUP($A148,'VALOR I.'!$B$6:$K$418,10,FALSE)),"")*$C148,"")</f>
        <v/>
      </c>
      <c r="Z148" s="203" t="e">
        <f>VLOOKUP($A148,INICIO_BARRA!$A$6:$R$130,7,FALSE)</f>
        <v>#N/A</v>
      </c>
      <c r="AA148" s="203" t="e">
        <f>VLOOKUP($A148,INICIO_BARRA!$A$6:$R$130,8,FALSE)</f>
        <v>#N/A</v>
      </c>
      <c r="AB148" s="203" t="str">
        <f>IFERROR(VLOOKUP($A148,REPOSICIONES_BARRA!$A$6:$I$130,5,FALSE),"")</f>
        <v/>
      </c>
      <c r="AC148" s="315" t="e">
        <f t="shared" si="169"/>
        <v>#N/A</v>
      </c>
      <c r="AD148" s="316" t="e">
        <f t="shared" si="170"/>
        <v>#N/A</v>
      </c>
      <c r="AE148" s="317" t="str">
        <f>IFERROR(IFERROR(VLOOKUP($A148,VENTAS!$H$2:$O$201,4,FALSE),"")/$C148,"")</f>
        <v/>
      </c>
      <c r="AF148" s="111"/>
      <c r="AG148" s="203" t="e">
        <f>VLOOKUP($A148,INICIO_BARRA!$A$6:$R$130,9,FALSE)</f>
        <v>#N/A</v>
      </c>
      <c r="AH148" s="203" t="e">
        <f>VLOOKUP($A148,INICIO_BARRA!$A$6:$R$130,10,FALSE)</f>
        <v>#N/A</v>
      </c>
      <c r="AI148" s="11"/>
      <c r="AJ148" s="94" t="str">
        <f>IFERROR(IFERROR(IF(AI148&gt;0,"",AI148*VLOOKUP($A148,'VALOR I.'!$B$6:$K$418,10,FALSE)),"")*$C148,"")</f>
        <v/>
      </c>
      <c r="AK148" s="203" t="e">
        <f>VLOOKUP($A148,INICIO_BARRA!$A$6:$R$130,9,FALSE)</f>
        <v>#N/A</v>
      </c>
      <c r="AL148" s="203" t="e">
        <f>VLOOKUP($A148,INICIO_BARRA!$A$6:$R$130,10,FALSE)</f>
        <v>#N/A</v>
      </c>
      <c r="AM148" s="203" t="str">
        <f>IFERROR(VLOOKUP($A148,REPOSICIONES_BARRA!$A$6:$I$130,6,FALSE),"")</f>
        <v/>
      </c>
      <c r="AN148" s="315" t="e">
        <f t="shared" si="171"/>
        <v>#N/A</v>
      </c>
      <c r="AO148" s="316" t="e">
        <f t="shared" si="172"/>
        <v>#N/A</v>
      </c>
      <c r="AP148" s="317" t="str">
        <f>IFERROR(IFERROR(VLOOKUP($A148,VENTAS!$H$2:$O$201,5,FALSE),"")/$C148,"")</f>
        <v/>
      </c>
      <c r="AQ148" s="111"/>
      <c r="AR148" s="203" t="e">
        <f>VLOOKUP($A148,INICIO_BARRA!$A$6:$R$130,11,FALSE)</f>
        <v>#N/A</v>
      </c>
      <c r="AS148" s="203" t="e">
        <f>VLOOKUP($A148,INICIO_BARRA!$A$6:$R$130,12,FALSE)</f>
        <v>#N/A</v>
      </c>
      <c r="AT148" s="11"/>
      <c r="AU148" s="94" t="str">
        <f>IFERROR(IFERROR(IF(AT148&gt;0,"",AT148*VLOOKUP($A148,'VALOR I.'!$B$6:$K$418,10,FALSE)),"")*$C148,"")</f>
        <v/>
      </c>
      <c r="AV148" s="203" t="e">
        <f>VLOOKUP($A148,INICIO_BARRA!$A$6:$R$130,11,FALSE)</f>
        <v>#N/A</v>
      </c>
      <c r="AW148" s="203" t="e">
        <f>VLOOKUP($A148,INICIO_BARRA!$A$6:$R$130,12,FALSE)</f>
        <v>#N/A</v>
      </c>
      <c r="AX148" s="203" t="str">
        <f>IFERROR(VLOOKUP($A148,REPOSICIONES_BARRA!$A$6:$I$130,7,FALSE),"")</f>
        <v/>
      </c>
      <c r="AY148" s="315" t="e">
        <f t="shared" si="173"/>
        <v>#N/A</v>
      </c>
      <c r="AZ148" s="316" t="e">
        <f t="shared" si="174"/>
        <v>#N/A</v>
      </c>
      <c r="BA148" s="317" t="str">
        <f>IFERROR(IFERROR(VLOOKUP($A148,VENTAS!$H$2:$O$201,6,FALSE),"")/$C148,"")</f>
        <v/>
      </c>
      <c r="BB148" s="111"/>
      <c r="BC148" s="203" t="e">
        <f>VLOOKUP($A148,INICIO_BARRA!$A$6:$R$130,13,FALSE)</f>
        <v>#N/A</v>
      </c>
      <c r="BD148" s="203" t="e">
        <f>VLOOKUP($A148,INICIO_BARRA!$A$6:$R$130,14,FALSE)</f>
        <v>#N/A</v>
      </c>
      <c r="BE148" s="11"/>
      <c r="BF148" s="94" t="str">
        <f>IFERROR(IFERROR(IF(BE148&gt;0,"",BE148*VLOOKUP($A148,'VALOR I.'!$B$6:$K$418,10,FALSE)),"")*$C148,"")</f>
        <v/>
      </c>
      <c r="BG148" s="203" t="e">
        <f>VLOOKUP($A148,INICIO_BARRA!$A$6:$R$130,13,FALSE)</f>
        <v>#N/A</v>
      </c>
      <c r="BH148" s="203" t="e">
        <f>VLOOKUP($A148,INICIO_BARRA!$A$6:$R$130,14,FALSE)</f>
        <v>#N/A</v>
      </c>
      <c r="BI148" s="203" t="str">
        <f>IFERROR(VLOOKUP($A148,REPOSICIONES_BARRA!$A$6:$I$130,8,FALSE),"")</f>
        <v/>
      </c>
      <c r="BJ148" s="315" t="e">
        <f t="shared" si="175"/>
        <v>#N/A</v>
      </c>
      <c r="BK148" s="316" t="e">
        <f t="shared" si="176"/>
        <v>#N/A</v>
      </c>
      <c r="BL148" s="317" t="str">
        <f>IFERROR(IFERROR(VLOOKUP($A148,VENTAS!$H$2:$O$201,7,FALSE),"")/$C148,"")</f>
        <v/>
      </c>
      <c r="BM148" s="111"/>
      <c r="BN148" s="203" t="e">
        <f>VLOOKUP($A148,INICIO_BARRA!$A$6:$R$130,15,FALSE)</f>
        <v>#N/A</v>
      </c>
      <c r="BO148" s="203" t="e">
        <f>VLOOKUP($A148,INICIO_BARRA!$A$6:$R$130,16,FALSE)</f>
        <v>#N/A</v>
      </c>
      <c r="BP148" s="11"/>
      <c r="BQ148" s="94" t="str">
        <f>IFERROR(IFERROR(IF(BP148&gt;0,"",BP148*VLOOKUP($A148,'VALOR I.'!$B$6:$K$418,10,FALSE)),"")*$C148,"")</f>
        <v/>
      </c>
      <c r="BR148" s="203" t="e">
        <f>VLOOKUP($A148,INICIO_BARRA!$A$6:$R$130,15,FALSE)</f>
        <v>#N/A</v>
      </c>
      <c r="BS148" s="203" t="e">
        <f>VLOOKUP($A148,INICIO_BARRA!$A$6:$R$130,16,FALSE)</f>
        <v>#N/A</v>
      </c>
      <c r="BT148" s="203" t="str">
        <f>IFERROR(VLOOKUP($A148,REPOSICIONES_BARRA!$A$6:$I$130,9,FALSE),"")</f>
        <v/>
      </c>
      <c r="BU148" s="315" t="e">
        <f t="shared" si="177"/>
        <v>#N/A</v>
      </c>
      <c r="BV148" s="316" t="e">
        <f t="shared" si="178"/>
        <v>#N/A</v>
      </c>
      <c r="BW148" s="317" t="str">
        <f>IFERROR(IFERROR(VLOOKUP($A148,VENTAS!$H$2:$O$201,8,FALSE),"")/$C148,"")</f>
        <v/>
      </c>
      <c r="BX148" s="111"/>
      <c r="BY148" s="203" t="e">
        <f>VLOOKUP($A148,INICIO_BARRA!$A$6:$R$130,17,FALSE)</f>
        <v>#N/A</v>
      </c>
      <c r="BZ148" s="203" t="e">
        <f>VLOOKUP($A148,INICIO_BARRA!$A$6:$R$130,18,FALSE)</f>
        <v>#N/A</v>
      </c>
      <c r="CA148" s="11"/>
      <c r="CB148" s="94" t="str">
        <f>IFERROR(IFERROR(IF(CA148&gt;0,"",CA148*VLOOKUP($A148,'VALOR I.'!$B$6:$K$418,10,FALSE)),"")*$C148,"")</f>
        <v/>
      </c>
    </row>
    <row r="149" spans="1:80" s="7" customFormat="1" ht="30" hidden="1" customHeight="1" x14ac:dyDescent="0.3">
      <c r="A149" s="3"/>
      <c r="B149" s="34"/>
      <c r="C149" s="136"/>
      <c r="D149" s="203" t="e">
        <f>VLOOKUP($A149,INICIO_BARRA!$A$6:$R$130,3,FALSE)</f>
        <v>#N/A</v>
      </c>
      <c r="E149" s="203" t="e">
        <f>VLOOKUP($A149,INICIO_BARRA!$A$6:$R$130,4,FALSE)</f>
        <v>#N/A</v>
      </c>
      <c r="F149" s="203" t="str">
        <f>IFERROR(VLOOKUP($A149,REPOSICIONES_BARRA!$A$6:$I$130,3,FALSE),"")</f>
        <v/>
      </c>
      <c r="G149" s="315" t="e">
        <f t="shared" si="179"/>
        <v>#N/A</v>
      </c>
      <c r="H149" s="316" t="e">
        <f t="shared" si="180"/>
        <v>#N/A</v>
      </c>
      <c r="I149" s="317" t="str">
        <f>IFERROR(IFERROR(VLOOKUP($A149,VENTAS!$H$2:$O$201,2,FALSE),"")/$C149,"")</f>
        <v/>
      </c>
      <c r="J149" s="111"/>
      <c r="K149" s="203" t="e">
        <f>VLOOKUP($A149,INICIO_BARRA!$A$6:$R$130,5,FALSE)</f>
        <v>#N/A</v>
      </c>
      <c r="L149" s="203" t="e">
        <f>VLOOKUP($A149,INICIO_BARRA!$A$6:$R$130,6,FALSE)</f>
        <v>#N/A</v>
      </c>
      <c r="M149" s="11"/>
      <c r="N149" s="204" t="str">
        <f>IFERROR(IFERROR(IF(M149&gt;0,"",M149*VLOOKUP($A149,'VALOR I.'!$B$6:$K$418,10,FALSE)),"")*$C149,"")</f>
        <v/>
      </c>
      <c r="O149" s="203" t="e">
        <f>VLOOKUP($A149,INICIO_BARRA!$A$6:$R$130,5,FALSE)</f>
        <v>#N/A</v>
      </c>
      <c r="P149" s="203" t="e">
        <f>VLOOKUP($A149,INICIO_BARRA!$A$6:$R$130,6,FALSE)</f>
        <v>#N/A</v>
      </c>
      <c r="Q149" s="203" t="str">
        <f>IFERROR(VLOOKUP($A149,REPOSICIONES_BARRA!$A$6:$I$130,4,FALSE),"")</f>
        <v/>
      </c>
      <c r="R149" s="315" t="e">
        <f t="shared" si="167"/>
        <v>#N/A</v>
      </c>
      <c r="S149" s="316" t="e">
        <f t="shared" si="168"/>
        <v>#N/A</v>
      </c>
      <c r="T149" s="317" t="str">
        <f>IFERROR(IFERROR(VLOOKUP($A149,VENTAS!$H$2:$O$201,3,FALSE),"")/$C149,"")</f>
        <v/>
      </c>
      <c r="U149" s="111"/>
      <c r="V149" s="203" t="e">
        <f>VLOOKUP($A149,INICIO_BARRA!$A$6:$R$130,7,FALSE)</f>
        <v>#N/A</v>
      </c>
      <c r="W149" s="203" t="e">
        <f>VLOOKUP($A149,INICIO_BARRA!$A$6:$R$130,8,FALSE)</f>
        <v>#N/A</v>
      </c>
      <c r="X149" s="11"/>
      <c r="Y149" s="204" t="str">
        <f>IFERROR(IFERROR(IF(X149&gt;0,"",X149*VLOOKUP($A149,'VALOR I.'!$B$6:$K$418,10,FALSE)),"")*$C149,"")</f>
        <v/>
      </c>
      <c r="Z149" s="203" t="e">
        <f>VLOOKUP($A149,INICIO_BARRA!$A$6:$R$130,7,FALSE)</f>
        <v>#N/A</v>
      </c>
      <c r="AA149" s="203" t="e">
        <f>VLOOKUP($A149,INICIO_BARRA!$A$6:$R$130,8,FALSE)</f>
        <v>#N/A</v>
      </c>
      <c r="AB149" s="203" t="str">
        <f>IFERROR(VLOOKUP($A149,REPOSICIONES_BARRA!$A$6:$I$130,5,FALSE),"")</f>
        <v/>
      </c>
      <c r="AC149" s="315" t="e">
        <f t="shared" si="169"/>
        <v>#N/A</v>
      </c>
      <c r="AD149" s="316" t="e">
        <f t="shared" si="170"/>
        <v>#N/A</v>
      </c>
      <c r="AE149" s="317" t="str">
        <f>IFERROR(IFERROR(VLOOKUP($A149,VENTAS!$H$2:$O$201,4,FALSE),"")/$C149,"")</f>
        <v/>
      </c>
      <c r="AF149" s="111"/>
      <c r="AG149" s="203" t="e">
        <f>VLOOKUP($A149,INICIO_BARRA!$A$6:$R$130,9,FALSE)</f>
        <v>#N/A</v>
      </c>
      <c r="AH149" s="203" t="e">
        <f>VLOOKUP($A149,INICIO_BARRA!$A$6:$R$130,10,FALSE)</f>
        <v>#N/A</v>
      </c>
      <c r="AI149" s="11"/>
      <c r="AJ149" s="94" t="str">
        <f>IFERROR(IFERROR(IF(AI149&gt;0,"",AI149*VLOOKUP($A149,'VALOR I.'!$B$6:$K$418,10,FALSE)),"")*$C149,"")</f>
        <v/>
      </c>
      <c r="AK149" s="203" t="e">
        <f>VLOOKUP($A149,INICIO_BARRA!$A$6:$R$130,9,FALSE)</f>
        <v>#N/A</v>
      </c>
      <c r="AL149" s="203" t="e">
        <f>VLOOKUP($A149,INICIO_BARRA!$A$6:$R$130,10,FALSE)</f>
        <v>#N/A</v>
      </c>
      <c r="AM149" s="203" t="str">
        <f>IFERROR(VLOOKUP($A149,REPOSICIONES_BARRA!$A$6:$I$130,6,FALSE),"")</f>
        <v/>
      </c>
      <c r="AN149" s="315" t="e">
        <f t="shared" si="171"/>
        <v>#N/A</v>
      </c>
      <c r="AO149" s="316" t="e">
        <f t="shared" si="172"/>
        <v>#N/A</v>
      </c>
      <c r="AP149" s="317" t="str">
        <f>IFERROR(IFERROR(VLOOKUP($A149,VENTAS!$H$2:$O$201,5,FALSE),"")/$C149,"")</f>
        <v/>
      </c>
      <c r="AQ149" s="111"/>
      <c r="AR149" s="203" t="e">
        <f>VLOOKUP($A149,INICIO_BARRA!$A$6:$R$130,11,FALSE)</f>
        <v>#N/A</v>
      </c>
      <c r="AS149" s="203" t="e">
        <f>VLOOKUP($A149,INICIO_BARRA!$A$6:$R$130,12,FALSE)</f>
        <v>#N/A</v>
      </c>
      <c r="AT149" s="11"/>
      <c r="AU149" s="94" t="str">
        <f>IFERROR(IFERROR(IF(AT149&gt;0,"",AT149*VLOOKUP($A149,'VALOR I.'!$B$6:$K$418,10,FALSE)),"")*$C149,"")</f>
        <v/>
      </c>
      <c r="AV149" s="203" t="e">
        <f>VLOOKUP($A149,INICIO_BARRA!$A$6:$R$130,11,FALSE)</f>
        <v>#N/A</v>
      </c>
      <c r="AW149" s="203" t="e">
        <f>VLOOKUP($A149,INICIO_BARRA!$A$6:$R$130,12,FALSE)</f>
        <v>#N/A</v>
      </c>
      <c r="AX149" s="203" t="str">
        <f>IFERROR(VLOOKUP($A149,REPOSICIONES_BARRA!$A$6:$I$130,7,FALSE),"")</f>
        <v/>
      </c>
      <c r="AY149" s="315" t="e">
        <f t="shared" si="173"/>
        <v>#N/A</v>
      </c>
      <c r="AZ149" s="316" t="e">
        <f t="shared" si="174"/>
        <v>#N/A</v>
      </c>
      <c r="BA149" s="317" t="str">
        <f>IFERROR(IFERROR(VLOOKUP($A149,VENTAS!$H$2:$O$201,6,FALSE),"")/$C149,"")</f>
        <v/>
      </c>
      <c r="BB149" s="111"/>
      <c r="BC149" s="203" t="e">
        <f>VLOOKUP($A149,INICIO_BARRA!$A$6:$R$130,13,FALSE)</f>
        <v>#N/A</v>
      </c>
      <c r="BD149" s="203" t="e">
        <f>VLOOKUP($A149,INICIO_BARRA!$A$6:$R$130,14,FALSE)</f>
        <v>#N/A</v>
      </c>
      <c r="BE149" s="11"/>
      <c r="BF149" s="94" t="str">
        <f>IFERROR(IFERROR(IF(BE149&gt;0,"",BE149*VLOOKUP($A149,'VALOR I.'!$B$6:$K$418,10,FALSE)),"")*$C149,"")</f>
        <v/>
      </c>
      <c r="BG149" s="203" t="e">
        <f>VLOOKUP($A149,INICIO_BARRA!$A$6:$R$130,13,FALSE)</f>
        <v>#N/A</v>
      </c>
      <c r="BH149" s="203" t="e">
        <f>VLOOKUP($A149,INICIO_BARRA!$A$6:$R$130,14,FALSE)</f>
        <v>#N/A</v>
      </c>
      <c r="BI149" s="203" t="str">
        <f>IFERROR(VLOOKUP($A149,REPOSICIONES_BARRA!$A$6:$I$130,8,FALSE),"")</f>
        <v/>
      </c>
      <c r="BJ149" s="315" t="e">
        <f t="shared" si="175"/>
        <v>#N/A</v>
      </c>
      <c r="BK149" s="316" t="e">
        <f t="shared" si="176"/>
        <v>#N/A</v>
      </c>
      <c r="BL149" s="317" t="str">
        <f>IFERROR(IFERROR(VLOOKUP($A149,VENTAS!$H$2:$O$201,7,FALSE),"")/$C149,"")</f>
        <v/>
      </c>
      <c r="BM149" s="111"/>
      <c r="BN149" s="203" t="e">
        <f>VLOOKUP($A149,INICIO_BARRA!$A$6:$R$130,15,FALSE)</f>
        <v>#N/A</v>
      </c>
      <c r="BO149" s="203" t="e">
        <f>VLOOKUP($A149,INICIO_BARRA!$A$6:$R$130,16,FALSE)</f>
        <v>#N/A</v>
      </c>
      <c r="BP149" s="11"/>
      <c r="BQ149" s="94" t="str">
        <f>IFERROR(IFERROR(IF(BP149&gt;0,"",BP149*VLOOKUP($A149,'VALOR I.'!$B$6:$K$418,10,FALSE)),"")*$C149,"")</f>
        <v/>
      </c>
      <c r="BR149" s="203" t="e">
        <f>VLOOKUP($A149,INICIO_BARRA!$A$6:$R$130,15,FALSE)</f>
        <v>#N/A</v>
      </c>
      <c r="BS149" s="203" t="e">
        <f>VLOOKUP($A149,INICIO_BARRA!$A$6:$R$130,16,FALSE)</f>
        <v>#N/A</v>
      </c>
      <c r="BT149" s="203" t="str">
        <f>IFERROR(VLOOKUP($A149,REPOSICIONES_BARRA!$A$6:$I$130,9,FALSE),"")</f>
        <v/>
      </c>
      <c r="BU149" s="315" t="e">
        <f t="shared" si="177"/>
        <v>#N/A</v>
      </c>
      <c r="BV149" s="316" t="e">
        <f t="shared" si="178"/>
        <v>#N/A</v>
      </c>
      <c r="BW149" s="317" t="str">
        <f>IFERROR(IFERROR(VLOOKUP($A149,VENTAS!$H$2:$O$201,8,FALSE),"")/$C149,"")</f>
        <v/>
      </c>
      <c r="BX149" s="111"/>
      <c r="BY149" s="203" t="e">
        <f>VLOOKUP($A149,INICIO_BARRA!$A$6:$R$130,17,FALSE)</f>
        <v>#N/A</v>
      </c>
      <c r="BZ149" s="203" t="e">
        <f>VLOOKUP($A149,INICIO_BARRA!$A$6:$R$130,18,FALSE)</f>
        <v>#N/A</v>
      </c>
      <c r="CA149" s="11"/>
      <c r="CB149" s="94" t="str">
        <f>IFERROR(IFERROR(IF(CA149&gt;0,"",CA149*VLOOKUP($A149,'VALOR I.'!$B$6:$K$418,10,FALSE)),"")*$C149,"")</f>
        <v/>
      </c>
    </row>
    <row r="150" spans="1:80" s="7" customFormat="1" ht="30" hidden="1" customHeight="1" x14ac:dyDescent="0.3">
      <c r="A150" s="3"/>
      <c r="B150" s="34"/>
      <c r="C150" s="136"/>
      <c r="D150" s="203" t="e">
        <f>VLOOKUP($A150,INICIO_BARRA!$A$6:$R$130,3,FALSE)</f>
        <v>#N/A</v>
      </c>
      <c r="E150" s="203" t="e">
        <f>VLOOKUP($A150,INICIO_BARRA!$A$6:$R$130,4,FALSE)</f>
        <v>#N/A</v>
      </c>
      <c r="F150" s="203" t="str">
        <f>IFERROR(VLOOKUP($A150,REPOSICIONES_BARRA!$A$6:$I$130,3,FALSE),"")</f>
        <v/>
      </c>
      <c r="G150" s="315" t="e">
        <f t="shared" si="179"/>
        <v>#N/A</v>
      </c>
      <c r="H150" s="316" t="e">
        <f t="shared" si="180"/>
        <v>#N/A</v>
      </c>
      <c r="I150" s="317" t="str">
        <f>IFERROR(IFERROR(VLOOKUP($A150,VENTAS!$H$2:$O$201,2,FALSE),"")/$C150,"")</f>
        <v/>
      </c>
      <c r="J150" s="111"/>
      <c r="K150" s="203" t="e">
        <f>VLOOKUP($A150,INICIO_BARRA!$A$6:$R$130,5,FALSE)</f>
        <v>#N/A</v>
      </c>
      <c r="L150" s="203" t="e">
        <f>VLOOKUP($A150,INICIO_BARRA!$A$6:$R$130,6,FALSE)</f>
        <v>#N/A</v>
      </c>
      <c r="M150" s="11"/>
      <c r="N150" s="204" t="str">
        <f>IFERROR(IFERROR(IF(M150&gt;0,"",M150*VLOOKUP($A150,'VALOR I.'!$B$6:$K$418,10,FALSE)),"")*$C150,"")</f>
        <v/>
      </c>
      <c r="O150" s="203" t="e">
        <f>VLOOKUP($A150,INICIO_BARRA!$A$6:$R$130,5,FALSE)</f>
        <v>#N/A</v>
      </c>
      <c r="P150" s="203" t="e">
        <f>VLOOKUP($A150,INICIO_BARRA!$A$6:$R$130,6,FALSE)</f>
        <v>#N/A</v>
      </c>
      <c r="Q150" s="203" t="str">
        <f>IFERROR(VLOOKUP($A150,REPOSICIONES_BARRA!$A$6:$I$130,4,FALSE),"")</f>
        <v/>
      </c>
      <c r="R150" s="315" t="e">
        <f t="shared" si="167"/>
        <v>#N/A</v>
      </c>
      <c r="S150" s="316" t="e">
        <f t="shared" si="168"/>
        <v>#N/A</v>
      </c>
      <c r="T150" s="317" t="str">
        <f>IFERROR(IFERROR(VLOOKUP($A150,VENTAS!$H$2:$O$201,3,FALSE),"")/$C150,"")</f>
        <v/>
      </c>
      <c r="U150" s="111"/>
      <c r="V150" s="203" t="e">
        <f>VLOOKUP($A150,INICIO_BARRA!$A$6:$R$130,7,FALSE)</f>
        <v>#N/A</v>
      </c>
      <c r="W150" s="203" t="e">
        <f>VLOOKUP($A150,INICIO_BARRA!$A$6:$R$130,8,FALSE)</f>
        <v>#N/A</v>
      </c>
      <c r="X150" s="11"/>
      <c r="Y150" s="204" t="str">
        <f>IFERROR(IFERROR(IF(X150&gt;0,"",X150*VLOOKUP($A150,'VALOR I.'!$B$6:$K$418,10,FALSE)),"")*$C150,"")</f>
        <v/>
      </c>
      <c r="Z150" s="203" t="e">
        <f>VLOOKUP($A150,INICIO_BARRA!$A$6:$R$130,7,FALSE)</f>
        <v>#N/A</v>
      </c>
      <c r="AA150" s="203" t="e">
        <f>VLOOKUP($A150,INICIO_BARRA!$A$6:$R$130,8,FALSE)</f>
        <v>#N/A</v>
      </c>
      <c r="AB150" s="203" t="str">
        <f>IFERROR(VLOOKUP($A150,REPOSICIONES_BARRA!$A$6:$I$130,5,FALSE),"")</f>
        <v/>
      </c>
      <c r="AC150" s="315" t="e">
        <f t="shared" si="169"/>
        <v>#N/A</v>
      </c>
      <c r="AD150" s="316" t="e">
        <f t="shared" si="170"/>
        <v>#N/A</v>
      </c>
      <c r="AE150" s="317" t="str">
        <f>IFERROR(IFERROR(VLOOKUP($A150,VENTAS!$H$2:$O$201,4,FALSE),"")/$C150,"")</f>
        <v/>
      </c>
      <c r="AF150" s="111"/>
      <c r="AG150" s="203" t="e">
        <f>VLOOKUP($A150,INICIO_BARRA!$A$6:$R$130,9,FALSE)</f>
        <v>#N/A</v>
      </c>
      <c r="AH150" s="203" t="e">
        <f>VLOOKUP($A150,INICIO_BARRA!$A$6:$R$130,10,FALSE)</f>
        <v>#N/A</v>
      </c>
      <c r="AI150" s="11"/>
      <c r="AJ150" s="94" t="str">
        <f>IFERROR(IFERROR(IF(AI150&gt;0,"",AI150*VLOOKUP($A150,'VALOR I.'!$B$6:$K$418,10,FALSE)),"")*$C150,"")</f>
        <v/>
      </c>
      <c r="AK150" s="203" t="e">
        <f>VLOOKUP($A150,INICIO_BARRA!$A$6:$R$130,9,FALSE)</f>
        <v>#N/A</v>
      </c>
      <c r="AL150" s="203" t="e">
        <f>VLOOKUP($A150,INICIO_BARRA!$A$6:$R$130,10,FALSE)</f>
        <v>#N/A</v>
      </c>
      <c r="AM150" s="203" t="str">
        <f>IFERROR(VLOOKUP($A150,REPOSICIONES_BARRA!$A$6:$I$130,6,FALSE),"")</f>
        <v/>
      </c>
      <c r="AN150" s="315" t="e">
        <f t="shared" si="171"/>
        <v>#N/A</v>
      </c>
      <c r="AO150" s="316" t="e">
        <f t="shared" si="172"/>
        <v>#N/A</v>
      </c>
      <c r="AP150" s="317" t="str">
        <f>IFERROR(IFERROR(VLOOKUP($A150,VENTAS!$H$2:$O$201,5,FALSE),"")/$C150,"")</f>
        <v/>
      </c>
      <c r="AQ150" s="111"/>
      <c r="AR150" s="203" t="e">
        <f>VLOOKUP($A150,INICIO_BARRA!$A$6:$R$130,11,FALSE)</f>
        <v>#N/A</v>
      </c>
      <c r="AS150" s="203" t="e">
        <f>VLOOKUP($A150,INICIO_BARRA!$A$6:$R$130,12,FALSE)</f>
        <v>#N/A</v>
      </c>
      <c r="AT150" s="11"/>
      <c r="AU150" s="94" t="str">
        <f>IFERROR(IFERROR(IF(AT150&gt;0,"",AT150*VLOOKUP($A150,'VALOR I.'!$B$6:$K$418,10,FALSE)),"")*$C150,"")</f>
        <v/>
      </c>
      <c r="AV150" s="203" t="e">
        <f>VLOOKUP($A150,INICIO_BARRA!$A$6:$R$130,11,FALSE)</f>
        <v>#N/A</v>
      </c>
      <c r="AW150" s="203" t="e">
        <f>VLOOKUP($A150,INICIO_BARRA!$A$6:$R$130,12,FALSE)</f>
        <v>#N/A</v>
      </c>
      <c r="AX150" s="203" t="str">
        <f>IFERROR(VLOOKUP($A150,REPOSICIONES_BARRA!$A$6:$I$130,7,FALSE),"")</f>
        <v/>
      </c>
      <c r="AY150" s="315" t="e">
        <f t="shared" si="173"/>
        <v>#N/A</v>
      </c>
      <c r="AZ150" s="316" t="e">
        <f t="shared" si="174"/>
        <v>#N/A</v>
      </c>
      <c r="BA150" s="317" t="str">
        <f>IFERROR(IFERROR(VLOOKUP($A150,VENTAS!$H$2:$O$201,6,FALSE),"")/$C150,"")</f>
        <v/>
      </c>
      <c r="BB150" s="111"/>
      <c r="BC150" s="203" t="e">
        <f>VLOOKUP($A150,INICIO_BARRA!$A$6:$R$130,13,FALSE)</f>
        <v>#N/A</v>
      </c>
      <c r="BD150" s="203" t="e">
        <f>VLOOKUP($A150,INICIO_BARRA!$A$6:$R$130,14,FALSE)</f>
        <v>#N/A</v>
      </c>
      <c r="BE150" s="11"/>
      <c r="BF150" s="94" t="str">
        <f>IFERROR(IFERROR(IF(BE150&gt;0,"",BE150*VLOOKUP($A150,'VALOR I.'!$B$6:$K$418,10,FALSE)),"")*$C150,"")</f>
        <v/>
      </c>
      <c r="BG150" s="203" t="e">
        <f>VLOOKUP($A150,INICIO_BARRA!$A$6:$R$130,13,FALSE)</f>
        <v>#N/A</v>
      </c>
      <c r="BH150" s="203" t="e">
        <f>VLOOKUP($A150,INICIO_BARRA!$A$6:$R$130,14,FALSE)</f>
        <v>#N/A</v>
      </c>
      <c r="BI150" s="203" t="str">
        <f>IFERROR(VLOOKUP($A150,REPOSICIONES_BARRA!$A$6:$I$130,8,FALSE),"")</f>
        <v/>
      </c>
      <c r="BJ150" s="315" t="e">
        <f t="shared" si="175"/>
        <v>#N/A</v>
      </c>
      <c r="BK150" s="316" t="e">
        <f t="shared" si="176"/>
        <v>#N/A</v>
      </c>
      <c r="BL150" s="317" t="str">
        <f>IFERROR(IFERROR(VLOOKUP($A150,VENTAS!$H$2:$O$201,7,FALSE),"")/$C150,"")</f>
        <v/>
      </c>
      <c r="BM150" s="111"/>
      <c r="BN150" s="203" t="e">
        <f>VLOOKUP($A150,INICIO_BARRA!$A$6:$R$130,15,FALSE)</f>
        <v>#N/A</v>
      </c>
      <c r="BO150" s="203" t="e">
        <f>VLOOKUP($A150,INICIO_BARRA!$A$6:$R$130,16,FALSE)</f>
        <v>#N/A</v>
      </c>
      <c r="BP150" s="11"/>
      <c r="BQ150" s="94" t="str">
        <f>IFERROR(IFERROR(IF(BP150&gt;0,"",BP150*VLOOKUP($A150,'VALOR I.'!$B$6:$K$418,10,FALSE)),"")*$C150,"")</f>
        <v/>
      </c>
      <c r="BR150" s="203" t="e">
        <f>VLOOKUP($A150,INICIO_BARRA!$A$6:$R$130,15,FALSE)</f>
        <v>#N/A</v>
      </c>
      <c r="BS150" s="203" t="e">
        <f>VLOOKUP($A150,INICIO_BARRA!$A$6:$R$130,16,FALSE)</f>
        <v>#N/A</v>
      </c>
      <c r="BT150" s="203" t="str">
        <f>IFERROR(VLOOKUP($A150,REPOSICIONES_BARRA!$A$6:$I$130,9,FALSE),"")</f>
        <v/>
      </c>
      <c r="BU150" s="315" t="e">
        <f t="shared" si="177"/>
        <v>#N/A</v>
      </c>
      <c r="BV150" s="316" t="e">
        <f t="shared" si="178"/>
        <v>#N/A</v>
      </c>
      <c r="BW150" s="317" t="str">
        <f>IFERROR(IFERROR(VLOOKUP($A150,VENTAS!$H$2:$O$201,8,FALSE),"")/$C150,"")</f>
        <v/>
      </c>
      <c r="BX150" s="111"/>
      <c r="BY150" s="203" t="e">
        <f>VLOOKUP($A150,INICIO_BARRA!$A$6:$R$130,17,FALSE)</f>
        <v>#N/A</v>
      </c>
      <c r="BZ150" s="203" t="e">
        <f>VLOOKUP($A150,INICIO_BARRA!$A$6:$R$130,18,FALSE)</f>
        <v>#N/A</v>
      </c>
      <c r="CA150" s="11"/>
      <c r="CB150" s="94" t="str">
        <f>IFERROR(IFERROR(IF(CA150&gt;0,"",CA150*VLOOKUP($A150,'VALOR I.'!$B$6:$K$418,10,FALSE)),"")*$C150,"")</f>
        <v/>
      </c>
    </row>
    <row r="151" spans="1:80" s="7" customFormat="1" ht="30" hidden="1" customHeight="1" x14ac:dyDescent="0.3">
      <c r="A151" s="3"/>
      <c r="B151" s="34"/>
      <c r="C151" s="136"/>
      <c r="D151" s="203" t="e">
        <f>VLOOKUP($A151,INICIO_BARRA!$A$6:$R$130,3,FALSE)</f>
        <v>#N/A</v>
      </c>
      <c r="E151" s="203" t="e">
        <f>VLOOKUP($A151,INICIO_BARRA!$A$6:$R$130,4,FALSE)</f>
        <v>#N/A</v>
      </c>
      <c r="F151" s="203" t="str">
        <f>IFERROR(VLOOKUP($A151,REPOSICIONES_BARRA!$A$6:$I$130,3,FALSE),"")</f>
        <v/>
      </c>
      <c r="G151" s="315" t="e">
        <f t="shared" si="179"/>
        <v>#N/A</v>
      </c>
      <c r="H151" s="316" t="e">
        <f t="shared" si="180"/>
        <v>#N/A</v>
      </c>
      <c r="I151" s="317" t="str">
        <f>IFERROR(IFERROR(VLOOKUP($A151,VENTAS!$H$2:$O$201,2,FALSE),"")/$C151,"")</f>
        <v/>
      </c>
      <c r="J151" s="111"/>
      <c r="K151" s="203" t="e">
        <f>VLOOKUP($A151,INICIO_BARRA!$A$6:$R$130,5,FALSE)</f>
        <v>#N/A</v>
      </c>
      <c r="L151" s="203" t="e">
        <f>VLOOKUP($A151,INICIO_BARRA!$A$6:$R$130,6,FALSE)</f>
        <v>#N/A</v>
      </c>
      <c r="M151" s="11"/>
      <c r="N151" s="204" t="str">
        <f>IFERROR(IFERROR(IF(M151&gt;0,"",M151*VLOOKUP($A151,'VALOR I.'!$B$6:$K$418,10,FALSE)),"")*$C151,"")</f>
        <v/>
      </c>
      <c r="O151" s="203" t="e">
        <f>VLOOKUP($A151,INICIO_BARRA!$A$6:$R$130,5,FALSE)</f>
        <v>#N/A</v>
      </c>
      <c r="P151" s="203" t="e">
        <f>VLOOKUP($A151,INICIO_BARRA!$A$6:$R$130,6,FALSE)</f>
        <v>#N/A</v>
      </c>
      <c r="Q151" s="203" t="str">
        <f>IFERROR(VLOOKUP($A151,REPOSICIONES_BARRA!$A$6:$I$130,4,FALSE),"")</f>
        <v/>
      </c>
      <c r="R151" s="315" t="e">
        <f t="shared" si="167"/>
        <v>#N/A</v>
      </c>
      <c r="S151" s="316" t="e">
        <f t="shared" si="168"/>
        <v>#N/A</v>
      </c>
      <c r="T151" s="317" t="str">
        <f>IFERROR(IFERROR(VLOOKUP($A151,VENTAS!$H$2:$O$201,3,FALSE),"")/$C151,"")</f>
        <v/>
      </c>
      <c r="U151" s="111"/>
      <c r="V151" s="203" t="e">
        <f>VLOOKUP($A151,INICIO_BARRA!$A$6:$R$130,7,FALSE)</f>
        <v>#N/A</v>
      </c>
      <c r="W151" s="203" t="e">
        <f>VLOOKUP($A151,INICIO_BARRA!$A$6:$R$130,8,FALSE)</f>
        <v>#N/A</v>
      </c>
      <c r="X151" s="11"/>
      <c r="Y151" s="204" t="str">
        <f>IFERROR(IFERROR(IF(X151&gt;0,"",X151*VLOOKUP($A151,'VALOR I.'!$B$6:$K$418,10,FALSE)),"")*$C151,"")</f>
        <v/>
      </c>
      <c r="Z151" s="203" t="e">
        <f>VLOOKUP($A151,INICIO_BARRA!$A$6:$R$130,7,FALSE)</f>
        <v>#N/A</v>
      </c>
      <c r="AA151" s="203" t="e">
        <f>VLOOKUP($A151,INICIO_BARRA!$A$6:$R$130,8,FALSE)</f>
        <v>#N/A</v>
      </c>
      <c r="AB151" s="203" t="str">
        <f>IFERROR(VLOOKUP($A151,REPOSICIONES_BARRA!$A$6:$I$130,5,FALSE),"")</f>
        <v/>
      </c>
      <c r="AC151" s="315" t="e">
        <f t="shared" si="169"/>
        <v>#N/A</v>
      </c>
      <c r="AD151" s="316" t="e">
        <f t="shared" si="170"/>
        <v>#N/A</v>
      </c>
      <c r="AE151" s="317" t="str">
        <f>IFERROR(IFERROR(VLOOKUP($A151,VENTAS!$H$2:$O$201,4,FALSE),"")/$C151,"")</f>
        <v/>
      </c>
      <c r="AF151" s="111"/>
      <c r="AG151" s="203" t="e">
        <f>VLOOKUP($A151,INICIO_BARRA!$A$6:$R$130,9,FALSE)</f>
        <v>#N/A</v>
      </c>
      <c r="AH151" s="203" t="e">
        <f>VLOOKUP($A151,INICIO_BARRA!$A$6:$R$130,10,FALSE)</f>
        <v>#N/A</v>
      </c>
      <c r="AI151" s="11"/>
      <c r="AJ151" s="94" t="str">
        <f>IFERROR(IFERROR(IF(AI151&gt;0,"",AI151*VLOOKUP($A151,'VALOR I.'!$B$6:$K$418,10,FALSE)),"")*$C151,"")</f>
        <v/>
      </c>
      <c r="AK151" s="203" t="e">
        <f>VLOOKUP($A151,INICIO_BARRA!$A$6:$R$130,9,FALSE)</f>
        <v>#N/A</v>
      </c>
      <c r="AL151" s="203" t="e">
        <f>VLOOKUP($A151,INICIO_BARRA!$A$6:$R$130,10,FALSE)</f>
        <v>#N/A</v>
      </c>
      <c r="AM151" s="203" t="str">
        <f>IFERROR(VLOOKUP($A151,REPOSICIONES_BARRA!$A$6:$I$130,6,FALSE),"")</f>
        <v/>
      </c>
      <c r="AN151" s="315" t="e">
        <f t="shared" si="171"/>
        <v>#N/A</v>
      </c>
      <c r="AO151" s="316" t="e">
        <f t="shared" si="172"/>
        <v>#N/A</v>
      </c>
      <c r="AP151" s="317" t="str">
        <f>IFERROR(IFERROR(VLOOKUP($A151,VENTAS!$H$2:$O$201,5,FALSE),"")/$C151,"")</f>
        <v/>
      </c>
      <c r="AQ151" s="111"/>
      <c r="AR151" s="203" t="e">
        <f>VLOOKUP($A151,INICIO_BARRA!$A$6:$R$130,11,FALSE)</f>
        <v>#N/A</v>
      </c>
      <c r="AS151" s="203" t="e">
        <f>VLOOKUP($A151,INICIO_BARRA!$A$6:$R$130,12,FALSE)</f>
        <v>#N/A</v>
      </c>
      <c r="AT151" s="11"/>
      <c r="AU151" s="94" t="str">
        <f>IFERROR(IFERROR(IF(AT151&gt;0,"",AT151*VLOOKUP($A151,'VALOR I.'!$B$6:$K$418,10,FALSE)),"")*$C151,"")</f>
        <v/>
      </c>
      <c r="AV151" s="203" t="e">
        <f>VLOOKUP($A151,INICIO_BARRA!$A$6:$R$130,11,FALSE)</f>
        <v>#N/A</v>
      </c>
      <c r="AW151" s="203" t="e">
        <f>VLOOKUP($A151,INICIO_BARRA!$A$6:$R$130,12,FALSE)</f>
        <v>#N/A</v>
      </c>
      <c r="AX151" s="203" t="str">
        <f>IFERROR(VLOOKUP($A151,REPOSICIONES_BARRA!$A$6:$I$130,7,FALSE),"")</f>
        <v/>
      </c>
      <c r="AY151" s="315" t="e">
        <f t="shared" si="173"/>
        <v>#N/A</v>
      </c>
      <c r="AZ151" s="316" t="e">
        <f t="shared" si="174"/>
        <v>#N/A</v>
      </c>
      <c r="BA151" s="317" t="str">
        <f>IFERROR(IFERROR(VLOOKUP($A151,VENTAS!$H$2:$O$201,6,FALSE),"")/$C151,"")</f>
        <v/>
      </c>
      <c r="BB151" s="111"/>
      <c r="BC151" s="203" t="e">
        <f>VLOOKUP($A151,INICIO_BARRA!$A$6:$R$130,13,FALSE)</f>
        <v>#N/A</v>
      </c>
      <c r="BD151" s="203" t="e">
        <f>VLOOKUP($A151,INICIO_BARRA!$A$6:$R$130,14,FALSE)</f>
        <v>#N/A</v>
      </c>
      <c r="BE151" s="11"/>
      <c r="BF151" s="94" t="str">
        <f>IFERROR(IFERROR(IF(BE151&gt;0,"",BE151*VLOOKUP($A151,'VALOR I.'!$B$6:$K$418,10,FALSE)),"")*$C151,"")</f>
        <v/>
      </c>
      <c r="BG151" s="203" t="e">
        <f>VLOOKUP($A151,INICIO_BARRA!$A$6:$R$130,13,FALSE)</f>
        <v>#N/A</v>
      </c>
      <c r="BH151" s="203" t="e">
        <f>VLOOKUP($A151,INICIO_BARRA!$A$6:$R$130,14,FALSE)</f>
        <v>#N/A</v>
      </c>
      <c r="BI151" s="203" t="str">
        <f>IFERROR(VLOOKUP($A151,REPOSICIONES_BARRA!$A$6:$I$130,8,FALSE),"")</f>
        <v/>
      </c>
      <c r="BJ151" s="315" t="e">
        <f t="shared" si="175"/>
        <v>#N/A</v>
      </c>
      <c r="BK151" s="316" t="e">
        <f t="shared" si="176"/>
        <v>#N/A</v>
      </c>
      <c r="BL151" s="317" t="str">
        <f>IFERROR(IFERROR(VLOOKUP($A151,VENTAS!$H$2:$O$201,7,FALSE),"")/$C151,"")</f>
        <v/>
      </c>
      <c r="BM151" s="111"/>
      <c r="BN151" s="203" t="e">
        <f>VLOOKUP($A151,INICIO_BARRA!$A$6:$R$130,15,FALSE)</f>
        <v>#N/A</v>
      </c>
      <c r="BO151" s="203" t="e">
        <f>VLOOKUP($A151,INICIO_BARRA!$A$6:$R$130,16,FALSE)</f>
        <v>#N/A</v>
      </c>
      <c r="BP151" s="11"/>
      <c r="BQ151" s="94" t="str">
        <f>IFERROR(IFERROR(IF(BP151&gt;0,"",BP151*VLOOKUP($A151,'VALOR I.'!$B$6:$K$418,10,FALSE)),"")*$C151,"")</f>
        <v/>
      </c>
      <c r="BR151" s="203" t="e">
        <f>VLOOKUP($A151,INICIO_BARRA!$A$6:$R$130,15,FALSE)</f>
        <v>#N/A</v>
      </c>
      <c r="BS151" s="203" t="e">
        <f>VLOOKUP($A151,INICIO_BARRA!$A$6:$R$130,16,FALSE)</f>
        <v>#N/A</v>
      </c>
      <c r="BT151" s="203" t="str">
        <f>IFERROR(VLOOKUP($A151,REPOSICIONES_BARRA!$A$6:$I$130,9,FALSE),"")</f>
        <v/>
      </c>
      <c r="BU151" s="315" t="e">
        <f t="shared" si="177"/>
        <v>#N/A</v>
      </c>
      <c r="BV151" s="316" t="e">
        <f t="shared" si="178"/>
        <v>#N/A</v>
      </c>
      <c r="BW151" s="317" t="str">
        <f>IFERROR(IFERROR(VLOOKUP($A151,VENTAS!$H$2:$O$201,8,FALSE),"")/$C151,"")</f>
        <v/>
      </c>
      <c r="BX151" s="111"/>
      <c r="BY151" s="203" t="e">
        <f>VLOOKUP($A151,INICIO_BARRA!$A$6:$R$130,17,FALSE)</f>
        <v>#N/A</v>
      </c>
      <c r="BZ151" s="203" t="e">
        <f>VLOOKUP($A151,INICIO_BARRA!$A$6:$R$130,18,FALSE)</f>
        <v>#N/A</v>
      </c>
      <c r="CA151" s="11"/>
      <c r="CB151" s="94" t="str">
        <f>IFERROR(IFERROR(IF(CA151&gt;0,"",CA151*VLOOKUP($A151,'VALOR I.'!$B$6:$K$418,10,FALSE)),"")*$C151,"")</f>
        <v/>
      </c>
    </row>
    <row r="152" spans="1:80" s="7" customFormat="1" ht="30" hidden="1" customHeight="1" x14ac:dyDescent="0.3">
      <c r="A152" s="3"/>
      <c r="B152" s="34"/>
      <c r="C152" s="136"/>
      <c r="D152" s="203" t="e">
        <f>VLOOKUP($A152,INICIO_BARRA!$A$6:$R$130,3,FALSE)</f>
        <v>#N/A</v>
      </c>
      <c r="E152" s="203" t="e">
        <f>VLOOKUP($A152,INICIO_BARRA!$A$6:$R$130,4,FALSE)</f>
        <v>#N/A</v>
      </c>
      <c r="F152" s="203" t="str">
        <f>IFERROR(VLOOKUP($A152,REPOSICIONES_BARRA!$A$6:$I$130,3,FALSE),"")</f>
        <v/>
      </c>
      <c r="G152" s="315" t="e">
        <f t="shared" si="179"/>
        <v>#N/A</v>
      </c>
      <c r="H152" s="316" t="e">
        <f t="shared" si="180"/>
        <v>#N/A</v>
      </c>
      <c r="I152" s="317" t="str">
        <f>IFERROR(IFERROR(VLOOKUP($A152,VENTAS!$H$2:$O$201,2,FALSE),"")/$C152,"")</f>
        <v/>
      </c>
      <c r="J152" s="111"/>
      <c r="K152" s="203" t="e">
        <f>VLOOKUP($A152,INICIO_BARRA!$A$6:$R$130,5,FALSE)</f>
        <v>#N/A</v>
      </c>
      <c r="L152" s="203" t="e">
        <f>VLOOKUP($A152,INICIO_BARRA!$A$6:$R$130,6,FALSE)</f>
        <v>#N/A</v>
      </c>
      <c r="M152" s="11"/>
      <c r="N152" s="204" t="str">
        <f>IFERROR(IFERROR(IF(M152&gt;0,"",M152*VLOOKUP($A152,'VALOR I.'!$B$6:$K$418,10,FALSE)),"")*$C152,"")</f>
        <v/>
      </c>
      <c r="O152" s="203" t="e">
        <f>VLOOKUP($A152,INICIO_BARRA!$A$6:$R$130,5,FALSE)</f>
        <v>#N/A</v>
      </c>
      <c r="P152" s="203" t="e">
        <f>VLOOKUP($A152,INICIO_BARRA!$A$6:$R$130,6,FALSE)</f>
        <v>#N/A</v>
      </c>
      <c r="Q152" s="203" t="str">
        <f>IFERROR(VLOOKUP($A152,REPOSICIONES_BARRA!$A$6:$I$130,4,FALSE),"")</f>
        <v/>
      </c>
      <c r="R152" s="315" t="e">
        <f t="shared" si="167"/>
        <v>#N/A</v>
      </c>
      <c r="S152" s="316" t="e">
        <f t="shared" si="168"/>
        <v>#N/A</v>
      </c>
      <c r="T152" s="317" t="str">
        <f>IFERROR(IFERROR(VLOOKUP($A152,VENTAS!$H$2:$O$201,3,FALSE),"")/$C152,"")</f>
        <v/>
      </c>
      <c r="U152" s="111"/>
      <c r="V152" s="203" t="e">
        <f>VLOOKUP($A152,INICIO_BARRA!$A$6:$R$130,7,FALSE)</f>
        <v>#N/A</v>
      </c>
      <c r="W152" s="203" t="e">
        <f>VLOOKUP($A152,INICIO_BARRA!$A$6:$R$130,8,FALSE)</f>
        <v>#N/A</v>
      </c>
      <c r="X152" s="11"/>
      <c r="Y152" s="204" t="str">
        <f>IFERROR(IFERROR(IF(X152&gt;0,"",X152*VLOOKUP($A152,'VALOR I.'!$B$6:$K$418,10,FALSE)),"")*$C152,"")</f>
        <v/>
      </c>
      <c r="Z152" s="203" t="e">
        <f>VLOOKUP($A152,INICIO_BARRA!$A$6:$R$130,7,FALSE)</f>
        <v>#N/A</v>
      </c>
      <c r="AA152" s="203" t="e">
        <f>VLOOKUP($A152,INICIO_BARRA!$A$6:$R$130,8,FALSE)</f>
        <v>#N/A</v>
      </c>
      <c r="AB152" s="203" t="str">
        <f>IFERROR(VLOOKUP($A152,REPOSICIONES_BARRA!$A$6:$I$130,5,FALSE),"")</f>
        <v/>
      </c>
      <c r="AC152" s="315" t="e">
        <f t="shared" si="169"/>
        <v>#N/A</v>
      </c>
      <c r="AD152" s="316" t="e">
        <f t="shared" si="170"/>
        <v>#N/A</v>
      </c>
      <c r="AE152" s="317" t="str">
        <f>IFERROR(IFERROR(VLOOKUP($A152,VENTAS!$H$2:$O$201,4,FALSE),"")/$C152,"")</f>
        <v/>
      </c>
      <c r="AF152" s="111"/>
      <c r="AG152" s="203" t="e">
        <f>VLOOKUP($A152,INICIO_BARRA!$A$6:$R$130,9,FALSE)</f>
        <v>#N/A</v>
      </c>
      <c r="AH152" s="203" t="e">
        <f>VLOOKUP($A152,INICIO_BARRA!$A$6:$R$130,10,FALSE)</f>
        <v>#N/A</v>
      </c>
      <c r="AI152" s="11"/>
      <c r="AJ152" s="94" t="str">
        <f>IFERROR(IFERROR(IF(AI152&gt;0,"",AI152*VLOOKUP($A152,'VALOR I.'!$B$6:$K$418,10,FALSE)),"")*$C152,"")</f>
        <v/>
      </c>
      <c r="AK152" s="203" t="e">
        <f>VLOOKUP($A152,INICIO_BARRA!$A$6:$R$130,9,FALSE)</f>
        <v>#N/A</v>
      </c>
      <c r="AL152" s="203" t="e">
        <f>VLOOKUP($A152,INICIO_BARRA!$A$6:$R$130,10,FALSE)</f>
        <v>#N/A</v>
      </c>
      <c r="AM152" s="203" t="str">
        <f>IFERROR(VLOOKUP($A152,REPOSICIONES_BARRA!$A$6:$I$130,6,FALSE),"")</f>
        <v/>
      </c>
      <c r="AN152" s="315" t="e">
        <f t="shared" si="171"/>
        <v>#N/A</v>
      </c>
      <c r="AO152" s="316" t="e">
        <f t="shared" si="172"/>
        <v>#N/A</v>
      </c>
      <c r="AP152" s="317" t="str">
        <f>IFERROR(IFERROR(VLOOKUP($A152,VENTAS!$H$2:$O$201,5,FALSE),"")/$C152,"")</f>
        <v/>
      </c>
      <c r="AQ152" s="111"/>
      <c r="AR152" s="203" t="e">
        <f>VLOOKUP($A152,INICIO_BARRA!$A$6:$R$130,11,FALSE)</f>
        <v>#N/A</v>
      </c>
      <c r="AS152" s="203" t="e">
        <f>VLOOKUP($A152,INICIO_BARRA!$A$6:$R$130,12,FALSE)</f>
        <v>#N/A</v>
      </c>
      <c r="AT152" s="11"/>
      <c r="AU152" s="94" t="str">
        <f>IFERROR(IFERROR(IF(AT152&gt;0,"",AT152*VLOOKUP($A152,'VALOR I.'!$B$6:$K$418,10,FALSE)),"")*$C152,"")</f>
        <v/>
      </c>
      <c r="AV152" s="203" t="e">
        <f>VLOOKUP($A152,INICIO_BARRA!$A$6:$R$130,11,FALSE)</f>
        <v>#N/A</v>
      </c>
      <c r="AW152" s="203" t="e">
        <f>VLOOKUP($A152,INICIO_BARRA!$A$6:$R$130,12,FALSE)</f>
        <v>#N/A</v>
      </c>
      <c r="AX152" s="203" t="str">
        <f>IFERROR(VLOOKUP($A152,REPOSICIONES_BARRA!$A$6:$I$130,7,FALSE),"")</f>
        <v/>
      </c>
      <c r="AY152" s="315" t="e">
        <f t="shared" si="173"/>
        <v>#N/A</v>
      </c>
      <c r="AZ152" s="316" t="e">
        <f t="shared" si="174"/>
        <v>#N/A</v>
      </c>
      <c r="BA152" s="317" t="str">
        <f>IFERROR(IFERROR(VLOOKUP($A152,VENTAS!$H$2:$O$201,6,FALSE),"")/$C152,"")</f>
        <v/>
      </c>
      <c r="BB152" s="111"/>
      <c r="BC152" s="203" t="e">
        <f>VLOOKUP($A152,INICIO_BARRA!$A$6:$R$130,13,FALSE)</f>
        <v>#N/A</v>
      </c>
      <c r="BD152" s="203" t="e">
        <f>VLOOKUP($A152,INICIO_BARRA!$A$6:$R$130,14,FALSE)</f>
        <v>#N/A</v>
      </c>
      <c r="BE152" s="11"/>
      <c r="BF152" s="94" t="str">
        <f>IFERROR(IFERROR(IF(BE152&gt;0,"",BE152*VLOOKUP($A152,'VALOR I.'!$B$6:$K$418,10,FALSE)),"")*$C152,"")</f>
        <v/>
      </c>
      <c r="BG152" s="203" t="e">
        <f>VLOOKUP($A152,INICIO_BARRA!$A$6:$R$130,13,FALSE)</f>
        <v>#N/A</v>
      </c>
      <c r="BH152" s="203" t="e">
        <f>VLOOKUP($A152,INICIO_BARRA!$A$6:$R$130,14,FALSE)</f>
        <v>#N/A</v>
      </c>
      <c r="BI152" s="203" t="str">
        <f>IFERROR(VLOOKUP($A152,REPOSICIONES_BARRA!$A$6:$I$130,8,FALSE),"")</f>
        <v/>
      </c>
      <c r="BJ152" s="315" t="e">
        <f t="shared" si="175"/>
        <v>#N/A</v>
      </c>
      <c r="BK152" s="316" t="e">
        <f t="shared" si="176"/>
        <v>#N/A</v>
      </c>
      <c r="BL152" s="317" t="str">
        <f>IFERROR(IFERROR(VLOOKUP($A152,VENTAS!$H$2:$O$201,7,FALSE),"")/$C152,"")</f>
        <v/>
      </c>
      <c r="BM152" s="111"/>
      <c r="BN152" s="203" t="e">
        <f>VLOOKUP($A152,INICIO_BARRA!$A$6:$R$130,15,FALSE)</f>
        <v>#N/A</v>
      </c>
      <c r="BO152" s="203" t="e">
        <f>VLOOKUP($A152,INICIO_BARRA!$A$6:$R$130,16,FALSE)</f>
        <v>#N/A</v>
      </c>
      <c r="BP152" s="11"/>
      <c r="BQ152" s="94" t="str">
        <f>IFERROR(IFERROR(IF(BP152&gt;0,"",BP152*VLOOKUP($A152,'VALOR I.'!$B$6:$K$418,10,FALSE)),"")*$C152,"")</f>
        <v/>
      </c>
      <c r="BR152" s="203" t="e">
        <f>VLOOKUP($A152,INICIO_BARRA!$A$6:$R$130,15,FALSE)</f>
        <v>#N/A</v>
      </c>
      <c r="BS152" s="203" t="e">
        <f>VLOOKUP($A152,INICIO_BARRA!$A$6:$R$130,16,FALSE)</f>
        <v>#N/A</v>
      </c>
      <c r="BT152" s="203" t="str">
        <f>IFERROR(VLOOKUP($A152,REPOSICIONES_BARRA!$A$6:$I$130,9,FALSE),"")</f>
        <v/>
      </c>
      <c r="BU152" s="315" t="e">
        <f t="shared" si="177"/>
        <v>#N/A</v>
      </c>
      <c r="BV152" s="316" t="e">
        <f t="shared" si="178"/>
        <v>#N/A</v>
      </c>
      <c r="BW152" s="317" t="str">
        <f>IFERROR(IFERROR(VLOOKUP($A152,VENTAS!$H$2:$O$201,8,FALSE),"")/$C152,"")</f>
        <v/>
      </c>
      <c r="BX152" s="111"/>
      <c r="BY152" s="203" t="e">
        <f>VLOOKUP($A152,INICIO_BARRA!$A$6:$R$130,17,FALSE)</f>
        <v>#N/A</v>
      </c>
      <c r="BZ152" s="203" t="e">
        <f>VLOOKUP($A152,INICIO_BARRA!$A$6:$R$130,18,FALSE)</f>
        <v>#N/A</v>
      </c>
      <c r="CA152" s="11"/>
      <c r="CB152" s="94" t="str">
        <f>IFERROR(IFERROR(IF(CA152&gt;0,"",CA152*VLOOKUP($A152,'VALOR I.'!$B$6:$K$418,10,FALSE)),"")*$C152,"")</f>
        <v/>
      </c>
    </row>
    <row r="153" spans="1:80" s="7" customFormat="1" ht="30" hidden="1" customHeight="1" x14ac:dyDescent="0.3">
      <c r="A153" s="3"/>
      <c r="B153" s="34"/>
      <c r="C153" s="136"/>
      <c r="D153" s="203" t="e">
        <f>VLOOKUP($A153,INICIO_BARRA!$A$6:$R$130,3,FALSE)</f>
        <v>#N/A</v>
      </c>
      <c r="E153" s="203" t="e">
        <f>VLOOKUP($A153,INICIO_BARRA!$A$6:$R$130,4,FALSE)</f>
        <v>#N/A</v>
      </c>
      <c r="F153" s="203" t="str">
        <f>IFERROR(VLOOKUP($A153,REPOSICIONES_BARRA!$A$6:$I$130,3,FALSE),"")</f>
        <v/>
      </c>
      <c r="G153" s="315" t="e">
        <f t="shared" si="179"/>
        <v>#N/A</v>
      </c>
      <c r="H153" s="316" t="e">
        <f t="shared" si="180"/>
        <v>#N/A</v>
      </c>
      <c r="I153" s="317" t="str">
        <f>IFERROR(IFERROR(VLOOKUP($A153,VENTAS!$H$2:$O$201,2,FALSE),"")/$C153,"")</f>
        <v/>
      </c>
      <c r="J153" s="111"/>
      <c r="K153" s="203" t="e">
        <f>VLOOKUP($A153,INICIO_BARRA!$A$6:$R$130,5,FALSE)</f>
        <v>#N/A</v>
      </c>
      <c r="L153" s="203" t="e">
        <f>VLOOKUP($A153,INICIO_BARRA!$A$6:$R$130,6,FALSE)</f>
        <v>#N/A</v>
      </c>
      <c r="M153" s="11"/>
      <c r="N153" s="204" t="str">
        <f>IFERROR(IFERROR(IF(M153&gt;0,"",M153*VLOOKUP($A153,'VALOR I.'!$B$6:$K$418,10,FALSE)),"")*$C153,"")</f>
        <v/>
      </c>
      <c r="O153" s="203" t="e">
        <f>VLOOKUP($A153,INICIO_BARRA!$A$6:$R$130,5,FALSE)</f>
        <v>#N/A</v>
      </c>
      <c r="P153" s="203" t="e">
        <f>VLOOKUP($A153,INICIO_BARRA!$A$6:$R$130,6,FALSE)</f>
        <v>#N/A</v>
      </c>
      <c r="Q153" s="203" t="str">
        <f>IFERROR(VLOOKUP($A153,REPOSICIONES_BARRA!$A$6:$I$130,4,FALSE),"")</f>
        <v/>
      </c>
      <c r="R153" s="315" t="e">
        <f t="shared" si="167"/>
        <v>#N/A</v>
      </c>
      <c r="S153" s="316" t="e">
        <f t="shared" si="168"/>
        <v>#N/A</v>
      </c>
      <c r="T153" s="317" t="str">
        <f>IFERROR(IFERROR(VLOOKUP($A153,VENTAS!$H$2:$O$201,3,FALSE),"")/$C153,"")</f>
        <v/>
      </c>
      <c r="U153" s="111"/>
      <c r="V153" s="203" t="e">
        <f>VLOOKUP($A153,INICIO_BARRA!$A$6:$R$130,7,FALSE)</f>
        <v>#N/A</v>
      </c>
      <c r="W153" s="203" t="e">
        <f>VLOOKUP($A153,INICIO_BARRA!$A$6:$R$130,8,FALSE)</f>
        <v>#N/A</v>
      </c>
      <c r="X153" s="11"/>
      <c r="Y153" s="204" t="str">
        <f>IFERROR(IFERROR(IF(X153&gt;0,"",X153*VLOOKUP($A153,'VALOR I.'!$B$6:$K$418,10,FALSE)),"")*$C153,"")</f>
        <v/>
      </c>
      <c r="Z153" s="203" t="e">
        <f>VLOOKUP($A153,INICIO_BARRA!$A$6:$R$130,7,FALSE)</f>
        <v>#N/A</v>
      </c>
      <c r="AA153" s="203" t="e">
        <f>VLOOKUP($A153,INICIO_BARRA!$A$6:$R$130,8,FALSE)</f>
        <v>#N/A</v>
      </c>
      <c r="AB153" s="203" t="str">
        <f>IFERROR(VLOOKUP($A153,REPOSICIONES_BARRA!$A$6:$I$130,5,FALSE),"")</f>
        <v/>
      </c>
      <c r="AC153" s="315" t="e">
        <f t="shared" si="169"/>
        <v>#N/A</v>
      </c>
      <c r="AD153" s="316" t="e">
        <f t="shared" si="170"/>
        <v>#N/A</v>
      </c>
      <c r="AE153" s="317" t="str">
        <f>IFERROR(IFERROR(VLOOKUP($A153,VENTAS!$H$2:$O$201,4,FALSE),"")/$C153,"")</f>
        <v/>
      </c>
      <c r="AF153" s="111"/>
      <c r="AG153" s="203" t="e">
        <f>VLOOKUP($A153,INICIO_BARRA!$A$6:$R$130,9,FALSE)</f>
        <v>#N/A</v>
      </c>
      <c r="AH153" s="203" t="e">
        <f>VLOOKUP($A153,INICIO_BARRA!$A$6:$R$130,10,FALSE)</f>
        <v>#N/A</v>
      </c>
      <c r="AI153" s="11"/>
      <c r="AJ153" s="94" t="str">
        <f>IFERROR(IFERROR(IF(AI153&gt;0,"",AI153*VLOOKUP($A153,'VALOR I.'!$B$6:$K$418,10,FALSE)),"")*$C153,"")</f>
        <v/>
      </c>
      <c r="AK153" s="203" t="e">
        <f>VLOOKUP($A153,INICIO_BARRA!$A$6:$R$130,9,FALSE)</f>
        <v>#N/A</v>
      </c>
      <c r="AL153" s="203" t="e">
        <f>VLOOKUP($A153,INICIO_BARRA!$A$6:$R$130,10,FALSE)</f>
        <v>#N/A</v>
      </c>
      <c r="AM153" s="203" t="str">
        <f>IFERROR(VLOOKUP($A153,REPOSICIONES_BARRA!$A$6:$I$130,6,FALSE),"")</f>
        <v/>
      </c>
      <c r="AN153" s="315" t="e">
        <f t="shared" si="171"/>
        <v>#N/A</v>
      </c>
      <c r="AO153" s="316" t="e">
        <f t="shared" si="172"/>
        <v>#N/A</v>
      </c>
      <c r="AP153" s="317" t="str">
        <f>IFERROR(IFERROR(VLOOKUP($A153,VENTAS!$H$2:$O$201,5,FALSE),"")/$C153,"")</f>
        <v/>
      </c>
      <c r="AQ153" s="111"/>
      <c r="AR153" s="203" t="e">
        <f>VLOOKUP($A153,INICIO_BARRA!$A$6:$R$130,11,FALSE)</f>
        <v>#N/A</v>
      </c>
      <c r="AS153" s="203" t="e">
        <f>VLOOKUP($A153,INICIO_BARRA!$A$6:$R$130,12,FALSE)</f>
        <v>#N/A</v>
      </c>
      <c r="AT153" s="11"/>
      <c r="AU153" s="94" t="str">
        <f>IFERROR(IFERROR(IF(AT153&gt;0,"",AT153*VLOOKUP($A153,'VALOR I.'!$B$6:$K$418,10,FALSE)),"")*$C153,"")</f>
        <v/>
      </c>
      <c r="AV153" s="203" t="e">
        <f>VLOOKUP($A153,INICIO_BARRA!$A$6:$R$130,11,FALSE)</f>
        <v>#N/A</v>
      </c>
      <c r="AW153" s="203" t="e">
        <f>VLOOKUP($A153,INICIO_BARRA!$A$6:$R$130,12,FALSE)</f>
        <v>#N/A</v>
      </c>
      <c r="AX153" s="203" t="str">
        <f>IFERROR(VLOOKUP($A153,REPOSICIONES_BARRA!$A$6:$I$130,7,FALSE),"")</f>
        <v/>
      </c>
      <c r="AY153" s="315" t="e">
        <f t="shared" si="173"/>
        <v>#N/A</v>
      </c>
      <c r="AZ153" s="316" t="e">
        <f t="shared" si="174"/>
        <v>#N/A</v>
      </c>
      <c r="BA153" s="317" t="str">
        <f>IFERROR(IFERROR(VLOOKUP($A153,VENTAS!$H$2:$O$201,6,FALSE),"")/$C153,"")</f>
        <v/>
      </c>
      <c r="BB153" s="111"/>
      <c r="BC153" s="203" t="e">
        <f>VLOOKUP($A153,INICIO_BARRA!$A$6:$R$130,13,FALSE)</f>
        <v>#N/A</v>
      </c>
      <c r="BD153" s="203" t="e">
        <f>VLOOKUP($A153,INICIO_BARRA!$A$6:$R$130,14,FALSE)</f>
        <v>#N/A</v>
      </c>
      <c r="BE153" s="11"/>
      <c r="BF153" s="94" t="str">
        <f>IFERROR(IFERROR(IF(BE153&gt;0,"",BE153*VLOOKUP($A153,'VALOR I.'!$B$6:$K$418,10,FALSE)),"")*$C153,"")</f>
        <v/>
      </c>
      <c r="BG153" s="203" t="e">
        <f>VLOOKUP($A153,INICIO_BARRA!$A$6:$R$130,13,FALSE)</f>
        <v>#N/A</v>
      </c>
      <c r="BH153" s="203" t="e">
        <f>VLOOKUP($A153,INICIO_BARRA!$A$6:$R$130,14,FALSE)</f>
        <v>#N/A</v>
      </c>
      <c r="BI153" s="203" t="str">
        <f>IFERROR(VLOOKUP($A153,REPOSICIONES_BARRA!$A$6:$I$130,8,FALSE),"")</f>
        <v/>
      </c>
      <c r="BJ153" s="315" t="e">
        <f t="shared" si="175"/>
        <v>#N/A</v>
      </c>
      <c r="BK153" s="316" t="e">
        <f t="shared" si="176"/>
        <v>#N/A</v>
      </c>
      <c r="BL153" s="317" t="str">
        <f>IFERROR(IFERROR(VLOOKUP($A153,VENTAS!$H$2:$O$201,7,FALSE),"")/$C153,"")</f>
        <v/>
      </c>
      <c r="BM153" s="111"/>
      <c r="BN153" s="203" t="e">
        <f>VLOOKUP($A153,INICIO_BARRA!$A$6:$R$130,15,FALSE)</f>
        <v>#N/A</v>
      </c>
      <c r="BO153" s="203" t="e">
        <f>VLOOKUP($A153,INICIO_BARRA!$A$6:$R$130,16,FALSE)</f>
        <v>#N/A</v>
      </c>
      <c r="BP153" s="11"/>
      <c r="BQ153" s="94" t="str">
        <f>IFERROR(IFERROR(IF(BP153&gt;0,"",BP153*VLOOKUP($A153,'VALOR I.'!$B$6:$K$418,10,FALSE)),"")*$C153,"")</f>
        <v/>
      </c>
      <c r="BR153" s="203" t="e">
        <f>VLOOKUP($A153,INICIO_BARRA!$A$6:$R$130,15,FALSE)</f>
        <v>#N/A</v>
      </c>
      <c r="BS153" s="203" t="e">
        <f>VLOOKUP($A153,INICIO_BARRA!$A$6:$R$130,16,FALSE)</f>
        <v>#N/A</v>
      </c>
      <c r="BT153" s="203" t="str">
        <f>IFERROR(VLOOKUP($A153,REPOSICIONES_BARRA!$A$6:$I$130,9,FALSE),"")</f>
        <v/>
      </c>
      <c r="BU153" s="315" t="e">
        <f t="shared" si="177"/>
        <v>#N/A</v>
      </c>
      <c r="BV153" s="316" t="e">
        <f t="shared" si="178"/>
        <v>#N/A</v>
      </c>
      <c r="BW153" s="317" t="str">
        <f>IFERROR(IFERROR(VLOOKUP($A153,VENTAS!$H$2:$O$201,8,FALSE),"")/$C153,"")</f>
        <v/>
      </c>
      <c r="BX153" s="111"/>
      <c r="BY153" s="203" t="e">
        <f>VLOOKUP($A153,INICIO_BARRA!$A$6:$R$130,17,FALSE)</f>
        <v>#N/A</v>
      </c>
      <c r="BZ153" s="203" t="e">
        <f>VLOOKUP($A153,INICIO_BARRA!$A$6:$R$130,18,FALSE)</f>
        <v>#N/A</v>
      </c>
      <c r="CA153" s="11"/>
      <c r="CB153" s="94" t="str">
        <f>IFERROR(IFERROR(IF(CA153&gt;0,"",CA153*VLOOKUP($A153,'VALOR I.'!$B$6:$K$418,10,FALSE)),"")*$C153,"")</f>
        <v/>
      </c>
    </row>
    <row r="154" spans="1:80" s="7" customFormat="1" ht="30" hidden="1" customHeight="1" x14ac:dyDescent="0.3">
      <c r="A154" s="3"/>
      <c r="B154" s="34"/>
      <c r="C154" s="136"/>
      <c r="D154" s="203" t="e">
        <f>VLOOKUP($A154,INICIO_BARRA!$A$6:$R$130,3,FALSE)</f>
        <v>#N/A</v>
      </c>
      <c r="E154" s="203" t="e">
        <f>VLOOKUP($A154,INICIO_BARRA!$A$6:$R$130,4,FALSE)</f>
        <v>#N/A</v>
      </c>
      <c r="F154" s="203" t="str">
        <f>IFERROR(VLOOKUP($A154,REPOSICIONES_BARRA!$A$6:$I$130,3,FALSE),"")</f>
        <v/>
      </c>
      <c r="G154" s="315" t="e">
        <f t="shared" si="179"/>
        <v>#N/A</v>
      </c>
      <c r="H154" s="316" t="e">
        <f t="shared" si="180"/>
        <v>#N/A</v>
      </c>
      <c r="I154" s="317" t="str">
        <f>IFERROR(IFERROR(VLOOKUP($A154,VENTAS!$H$2:$O$201,2,FALSE),"")/$C154,"")</f>
        <v/>
      </c>
      <c r="J154" s="111"/>
      <c r="K154" s="203" t="e">
        <f>VLOOKUP($A154,INICIO_BARRA!$A$6:$R$130,5,FALSE)</f>
        <v>#N/A</v>
      </c>
      <c r="L154" s="203" t="e">
        <f>VLOOKUP($A154,INICIO_BARRA!$A$6:$R$130,6,FALSE)</f>
        <v>#N/A</v>
      </c>
      <c r="M154" s="11"/>
      <c r="N154" s="204" t="str">
        <f>IFERROR(IFERROR(IF(M154&gt;0,"",M154*VLOOKUP($A154,'VALOR I.'!$B$6:$K$418,10,FALSE)),"")*$C154,"")</f>
        <v/>
      </c>
      <c r="O154" s="203" t="e">
        <f>VLOOKUP($A154,INICIO_BARRA!$A$6:$R$130,5,FALSE)</f>
        <v>#N/A</v>
      </c>
      <c r="P154" s="203" t="e">
        <f>VLOOKUP($A154,INICIO_BARRA!$A$6:$R$130,6,FALSE)</f>
        <v>#N/A</v>
      </c>
      <c r="Q154" s="203" t="str">
        <f>IFERROR(VLOOKUP($A154,REPOSICIONES_BARRA!$A$6:$I$130,4,FALSE),"")</f>
        <v/>
      </c>
      <c r="R154" s="315" t="e">
        <f t="shared" si="167"/>
        <v>#N/A</v>
      </c>
      <c r="S154" s="316" t="e">
        <f t="shared" si="168"/>
        <v>#N/A</v>
      </c>
      <c r="T154" s="317" t="str">
        <f>IFERROR(IFERROR(VLOOKUP($A154,VENTAS!$H$2:$O$201,3,FALSE),"")/$C154,"")</f>
        <v/>
      </c>
      <c r="U154" s="111"/>
      <c r="V154" s="203" t="e">
        <f>VLOOKUP($A154,INICIO_BARRA!$A$6:$R$130,7,FALSE)</f>
        <v>#N/A</v>
      </c>
      <c r="W154" s="203" t="e">
        <f>VLOOKUP($A154,INICIO_BARRA!$A$6:$R$130,8,FALSE)</f>
        <v>#N/A</v>
      </c>
      <c r="X154" s="11"/>
      <c r="Y154" s="204" t="str">
        <f>IFERROR(IFERROR(IF(X154&gt;0,"",X154*VLOOKUP($A154,'VALOR I.'!$B$6:$K$418,10,FALSE)),"")*$C154,"")</f>
        <v/>
      </c>
      <c r="Z154" s="203" t="e">
        <f>VLOOKUP($A154,INICIO_BARRA!$A$6:$R$130,7,FALSE)</f>
        <v>#N/A</v>
      </c>
      <c r="AA154" s="203" t="e">
        <f>VLOOKUP($A154,INICIO_BARRA!$A$6:$R$130,8,FALSE)</f>
        <v>#N/A</v>
      </c>
      <c r="AB154" s="203" t="str">
        <f>IFERROR(VLOOKUP($A154,REPOSICIONES_BARRA!$A$6:$I$130,5,FALSE),"")</f>
        <v/>
      </c>
      <c r="AC154" s="315" t="e">
        <f t="shared" si="169"/>
        <v>#N/A</v>
      </c>
      <c r="AD154" s="316" t="e">
        <f t="shared" si="170"/>
        <v>#N/A</v>
      </c>
      <c r="AE154" s="317" t="str">
        <f>IFERROR(IFERROR(VLOOKUP($A154,VENTAS!$H$2:$O$201,4,FALSE),"")/$C154,"")</f>
        <v/>
      </c>
      <c r="AF154" s="111"/>
      <c r="AG154" s="203" t="e">
        <f>VLOOKUP($A154,INICIO_BARRA!$A$6:$R$130,9,FALSE)</f>
        <v>#N/A</v>
      </c>
      <c r="AH154" s="203" t="e">
        <f>VLOOKUP($A154,INICIO_BARRA!$A$6:$R$130,10,FALSE)</f>
        <v>#N/A</v>
      </c>
      <c r="AI154" s="11"/>
      <c r="AJ154" s="94" t="str">
        <f>IFERROR(IFERROR(IF(AI154&gt;0,"",AI154*VLOOKUP($A154,'VALOR I.'!$B$6:$K$418,10,FALSE)),"")*$C154,"")</f>
        <v/>
      </c>
      <c r="AK154" s="203" t="e">
        <f>VLOOKUP($A154,INICIO_BARRA!$A$6:$R$130,9,FALSE)</f>
        <v>#N/A</v>
      </c>
      <c r="AL154" s="203" t="e">
        <f>VLOOKUP($A154,INICIO_BARRA!$A$6:$R$130,10,FALSE)</f>
        <v>#N/A</v>
      </c>
      <c r="AM154" s="203" t="str">
        <f>IFERROR(VLOOKUP($A154,REPOSICIONES_BARRA!$A$6:$I$130,6,FALSE),"")</f>
        <v/>
      </c>
      <c r="AN154" s="315" t="e">
        <f t="shared" si="171"/>
        <v>#N/A</v>
      </c>
      <c r="AO154" s="316" t="e">
        <f t="shared" si="172"/>
        <v>#N/A</v>
      </c>
      <c r="AP154" s="317" t="str">
        <f>IFERROR(IFERROR(VLOOKUP($A154,VENTAS!$H$2:$O$201,5,FALSE),"")/$C154,"")</f>
        <v/>
      </c>
      <c r="AQ154" s="111"/>
      <c r="AR154" s="203" t="e">
        <f>VLOOKUP($A154,INICIO_BARRA!$A$6:$R$130,11,FALSE)</f>
        <v>#N/A</v>
      </c>
      <c r="AS154" s="203" t="e">
        <f>VLOOKUP($A154,INICIO_BARRA!$A$6:$R$130,12,FALSE)</f>
        <v>#N/A</v>
      </c>
      <c r="AT154" s="11"/>
      <c r="AU154" s="94" t="str">
        <f>IFERROR(IFERROR(IF(AT154&gt;0,"",AT154*VLOOKUP($A154,'VALOR I.'!$B$6:$K$418,10,FALSE)),"")*$C154,"")</f>
        <v/>
      </c>
      <c r="AV154" s="203" t="e">
        <f>VLOOKUP($A154,INICIO_BARRA!$A$6:$R$130,11,FALSE)</f>
        <v>#N/A</v>
      </c>
      <c r="AW154" s="203" t="e">
        <f>VLOOKUP($A154,INICIO_BARRA!$A$6:$R$130,12,FALSE)</f>
        <v>#N/A</v>
      </c>
      <c r="AX154" s="203" t="str">
        <f>IFERROR(VLOOKUP($A154,REPOSICIONES_BARRA!$A$6:$I$130,7,FALSE),"")</f>
        <v/>
      </c>
      <c r="AY154" s="315" t="e">
        <f t="shared" si="173"/>
        <v>#N/A</v>
      </c>
      <c r="AZ154" s="316" t="e">
        <f t="shared" si="174"/>
        <v>#N/A</v>
      </c>
      <c r="BA154" s="317" t="str">
        <f>IFERROR(IFERROR(VLOOKUP($A154,VENTAS!$H$2:$O$201,6,FALSE),"")/$C154,"")</f>
        <v/>
      </c>
      <c r="BB154" s="111"/>
      <c r="BC154" s="203" t="e">
        <f>VLOOKUP($A154,INICIO_BARRA!$A$6:$R$130,13,FALSE)</f>
        <v>#N/A</v>
      </c>
      <c r="BD154" s="203" t="e">
        <f>VLOOKUP($A154,INICIO_BARRA!$A$6:$R$130,14,FALSE)</f>
        <v>#N/A</v>
      </c>
      <c r="BE154" s="11"/>
      <c r="BF154" s="94" t="str">
        <f>IFERROR(IFERROR(IF(BE154&gt;0,"",BE154*VLOOKUP($A154,'VALOR I.'!$B$6:$K$418,10,FALSE)),"")*$C154,"")</f>
        <v/>
      </c>
      <c r="BG154" s="203" t="e">
        <f>VLOOKUP($A154,INICIO_BARRA!$A$6:$R$130,13,FALSE)</f>
        <v>#N/A</v>
      </c>
      <c r="BH154" s="203" t="e">
        <f>VLOOKUP($A154,INICIO_BARRA!$A$6:$R$130,14,FALSE)</f>
        <v>#N/A</v>
      </c>
      <c r="BI154" s="203" t="str">
        <f>IFERROR(VLOOKUP($A154,REPOSICIONES_BARRA!$A$6:$I$130,8,FALSE),"")</f>
        <v/>
      </c>
      <c r="BJ154" s="315" t="e">
        <f t="shared" si="175"/>
        <v>#N/A</v>
      </c>
      <c r="BK154" s="316" t="e">
        <f t="shared" si="176"/>
        <v>#N/A</v>
      </c>
      <c r="BL154" s="317" t="str">
        <f>IFERROR(IFERROR(VLOOKUP($A154,VENTAS!$H$2:$O$201,7,FALSE),"")/$C154,"")</f>
        <v/>
      </c>
      <c r="BM154" s="111"/>
      <c r="BN154" s="203" t="e">
        <f>VLOOKUP($A154,INICIO_BARRA!$A$6:$R$130,15,FALSE)</f>
        <v>#N/A</v>
      </c>
      <c r="BO154" s="203" t="e">
        <f>VLOOKUP($A154,INICIO_BARRA!$A$6:$R$130,16,FALSE)</f>
        <v>#N/A</v>
      </c>
      <c r="BP154" s="11"/>
      <c r="BQ154" s="94" t="str">
        <f>IFERROR(IFERROR(IF(BP154&gt;0,"",BP154*VLOOKUP($A154,'VALOR I.'!$B$6:$K$418,10,FALSE)),"")*$C154,"")</f>
        <v/>
      </c>
      <c r="BR154" s="203" t="e">
        <f>VLOOKUP($A154,INICIO_BARRA!$A$6:$R$130,15,FALSE)</f>
        <v>#N/A</v>
      </c>
      <c r="BS154" s="203" t="e">
        <f>VLOOKUP($A154,INICIO_BARRA!$A$6:$R$130,16,FALSE)</f>
        <v>#N/A</v>
      </c>
      <c r="BT154" s="203" t="str">
        <f>IFERROR(VLOOKUP($A154,REPOSICIONES_BARRA!$A$6:$I$130,9,FALSE),"")</f>
        <v/>
      </c>
      <c r="BU154" s="315" t="e">
        <f t="shared" si="177"/>
        <v>#N/A</v>
      </c>
      <c r="BV154" s="316" t="e">
        <f t="shared" si="178"/>
        <v>#N/A</v>
      </c>
      <c r="BW154" s="317" t="str">
        <f>IFERROR(IFERROR(VLOOKUP($A154,VENTAS!$H$2:$O$201,8,FALSE),"")/$C154,"")</f>
        <v/>
      </c>
      <c r="BX154" s="111"/>
      <c r="BY154" s="203" t="e">
        <f>VLOOKUP($A154,INICIO_BARRA!$A$6:$R$130,17,FALSE)</f>
        <v>#N/A</v>
      </c>
      <c r="BZ154" s="203" t="e">
        <f>VLOOKUP($A154,INICIO_BARRA!$A$6:$R$130,18,FALSE)</f>
        <v>#N/A</v>
      </c>
      <c r="CA154" s="11"/>
      <c r="CB154" s="94" t="str">
        <f>IFERROR(IFERROR(IF(CA154&gt;0,"",CA154*VLOOKUP($A154,'VALOR I.'!$B$6:$K$418,10,FALSE)),"")*$C154,"")</f>
        <v/>
      </c>
    </row>
    <row r="155" spans="1:80" s="7" customFormat="1" ht="30" hidden="1" customHeight="1" x14ac:dyDescent="0.3">
      <c r="A155" s="3"/>
      <c r="B155" s="34"/>
      <c r="C155" s="136"/>
      <c r="D155" s="203" t="e">
        <f>VLOOKUP($A155,INICIO_BARRA!$A$6:$R$130,3,FALSE)</f>
        <v>#N/A</v>
      </c>
      <c r="E155" s="203" t="e">
        <f>VLOOKUP($A155,INICIO_BARRA!$A$6:$R$130,4,FALSE)</f>
        <v>#N/A</v>
      </c>
      <c r="F155" s="203" t="str">
        <f>IFERROR(VLOOKUP($A155,REPOSICIONES_BARRA!$A$6:$I$130,3,FALSE),"")</f>
        <v/>
      </c>
      <c r="G155" s="315" t="e">
        <f t="shared" si="179"/>
        <v>#N/A</v>
      </c>
      <c r="H155" s="316" t="e">
        <f t="shared" si="180"/>
        <v>#N/A</v>
      </c>
      <c r="I155" s="317" t="str">
        <f>IFERROR(IFERROR(VLOOKUP($A155,VENTAS!$H$2:$O$201,2,FALSE),"")/$C155,"")</f>
        <v/>
      </c>
      <c r="J155" s="111"/>
      <c r="K155" s="203" t="e">
        <f>VLOOKUP($A155,INICIO_BARRA!$A$6:$R$130,5,FALSE)</f>
        <v>#N/A</v>
      </c>
      <c r="L155" s="203" t="e">
        <f>VLOOKUP($A155,INICIO_BARRA!$A$6:$R$130,6,FALSE)</f>
        <v>#N/A</v>
      </c>
      <c r="M155" s="11"/>
      <c r="N155" s="204" t="str">
        <f>IFERROR(IFERROR(IF(M155&gt;0,"",M155*VLOOKUP($A155,'VALOR I.'!$B$6:$K$418,10,FALSE)),"")*$C155,"")</f>
        <v/>
      </c>
      <c r="O155" s="203" t="e">
        <f>VLOOKUP($A155,INICIO_BARRA!$A$6:$R$130,5,FALSE)</f>
        <v>#N/A</v>
      </c>
      <c r="P155" s="203" t="e">
        <f>VLOOKUP($A155,INICIO_BARRA!$A$6:$R$130,6,FALSE)</f>
        <v>#N/A</v>
      </c>
      <c r="Q155" s="203" t="str">
        <f>IFERROR(VLOOKUP($A155,REPOSICIONES_BARRA!$A$6:$I$130,4,FALSE),"")</f>
        <v/>
      </c>
      <c r="R155" s="315" t="e">
        <f t="shared" si="167"/>
        <v>#N/A</v>
      </c>
      <c r="S155" s="316" t="e">
        <f t="shared" si="168"/>
        <v>#N/A</v>
      </c>
      <c r="T155" s="317" t="str">
        <f>IFERROR(IFERROR(VLOOKUP($A155,VENTAS!$H$2:$O$201,3,FALSE),"")/$C155,"")</f>
        <v/>
      </c>
      <c r="U155" s="111"/>
      <c r="V155" s="203" t="e">
        <f>VLOOKUP($A155,INICIO_BARRA!$A$6:$R$130,7,FALSE)</f>
        <v>#N/A</v>
      </c>
      <c r="W155" s="203" t="e">
        <f>VLOOKUP($A155,INICIO_BARRA!$A$6:$R$130,8,FALSE)</f>
        <v>#N/A</v>
      </c>
      <c r="X155" s="11"/>
      <c r="Y155" s="204" t="str">
        <f>IFERROR(IFERROR(IF(X155&gt;0,"",X155*VLOOKUP($A155,'VALOR I.'!$B$6:$K$418,10,FALSE)),"")*$C155,"")</f>
        <v/>
      </c>
      <c r="Z155" s="203" t="e">
        <f>VLOOKUP($A155,INICIO_BARRA!$A$6:$R$130,7,FALSE)</f>
        <v>#N/A</v>
      </c>
      <c r="AA155" s="203" t="e">
        <f>VLOOKUP($A155,INICIO_BARRA!$A$6:$R$130,8,FALSE)</f>
        <v>#N/A</v>
      </c>
      <c r="AB155" s="203" t="str">
        <f>IFERROR(VLOOKUP($A155,REPOSICIONES_BARRA!$A$6:$I$130,5,FALSE),"")</f>
        <v/>
      </c>
      <c r="AC155" s="315" t="e">
        <f t="shared" si="169"/>
        <v>#N/A</v>
      </c>
      <c r="AD155" s="316" t="e">
        <f t="shared" si="170"/>
        <v>#N/A</v>
      </c>
      <c r="AE155" s="317" t="str">
        <f>IFERROR(IFERROR(VLOOKUP($A155,VENTAS!$H$2:$O$201,4,FALSE),"")/$C155,"")</f>
        <v/>
      </c>
      <c r="AF155" s="111"/>
      <c r="AG155" s="203" t="e">
        <f>VLOOKUP($A155,INICIO_BARRA!$A$6:$R$130,9,FALSE)</f>
        <v>#N/A</v>
      </c>
      <c r="AH155" s="203" t="e">
        <f>VLOOKUP($A155,INICIO_BARRA!$A$6:$R$130,10,FALSE)</f>
        <v>#N/A</v>
      </c>
      <c r="AI155" s="11"/>
      <c r="AJ155" s="94" t="str">
        <f>IFERROR(IFERROR(IF(AI155&gt;0,"",AI155*VLOOKUP($A155,'VALOR I.'!$B$6:$K$418,10,FALSE)),"")*$C155,"")</f>
        <v/>
      </c>
      <c r="AK155" s="203" t="e">
        <f>VLOOKUP($A155,INICIO_BARRA!$A$6:$R$130,9,FALSE)</f>
        <v>#N/A</v>
      </c>
      <c r="AL155" s="203" t="e">
        <f>VLOOKUP($A155,INICIO_BARRA!$A$6:$R$130,10,FALSE)</f>
        <v>#N/A</v>
      </c>
      <c r="AM155" s="203" t="str">
        <f>IFERROR(VLOOKUP($A155,REPOSICIONES_BARRA!$A$6:$I$130,6,FALSE),"")</f>
        <v/>
      </c>
      <c r="AN155" s="315" t="e">
        <f t="shared" si="171"/>
        <v>#N/A</v>
      </c>
      <c r="AO155" s="316" t="e">
        <f t="shared" si="172"/>
        <v>#N/A</v>
      </c>
      <c r="AP155" s="317" t="str">
        <f>IFERROR(IFERROR(VLOOKUP($A155,VENTAS!$H$2:$O$201,5,FALSE),"")/$C155,"")</f>
        <v/>
      </c>
      <c r="AQ155" s="111"/>
      <c r="AR155" s="203" t="e">
        <f>VLOOKUP($A155,INICIO_BARRA!$A$6:$R$130,11,FALSE)</f>
        <v>#N/A</v>
      </c>
      <c r="AS155" s="203" t="e">
        <f>VLOOKUP($A155,INICIO_BARRA!$A$6:$R$130,12,FALSE)</f>
        <v>#N/A</v>
      </c>
      <c r="AT155" s="11"/>
      <c r="AU155" s="94" t="str">
        <f>IFERROR(IFERROR(IF(AT155&gt;0,"",AT155*VLOOKUP($A155,'VALOR I.'!$B$6:$K$418,10,FALSE)),"")*$C155,"")</f>
        <v/>
      </c>
      <c r="AV155" s="203" t="e">
        <f>VLOOKUP($A155,INICIO_BARRA!$A$6:$R$130,11,FALSE)</f>
        <v>#N/A</v>
      </c>
      <c r="AW155" s="203" t="e">
        <f>VLOOKUP($A155,INICIO_BARRA!$A$6:$R$130,12,FALSE)</f>
        <v>#N/A</v>
      </c>
      <c r="AX155" s="203" t="str">
        <f>IFERROR(VLOOKUP($A155,REPOSICIONES_BARRA!$A$6:$I$130,7,FALSE),"")</f>
        <v/>
      </c>
      <c r="AY155" s="315" t="e">
        <f t="shared" si="173"/>
        <v>#N/A</v>
      </c>
      <c r="AZ155" s="316" t="e">
        <f t="shared" si="174"/>
        <v>#N/A</v>
      </c>
      <c r="BA155" s="317" t="str">
        <f>IFERROR(IFERROR(VLOOKUP($A155,VENTAS!$H$2:$O$201,6,FALSE),"")/$C155,"")</f>
        <v/>
      </c>
      <c r="BB155" s="111"/>
      <c r="BC155" s="203" t="e">
        <f>VLOOKUP($A155,INICIO_BARRA!$A$6:$R$130,13,FALSE)</f>
        <v>#N/A</v>
      </c>
      <c r="BD155" s="203" t="e">
        <f>VLOOKUP($A155,INICIO_BARRA!$A$6:$R$130,14,FALSE)</f>
        <v>#N/A</v>
      </c>
      <c r="BE155" s="11"/>
      <c r="BF155" s="94" t="str">
        <f>IFERROR(IFERROR(IF(BE155&gt;0,"",BE155*VLOOKUP($A155,'VALOR I.'!$B$6:$K$418,10,FALSE)),"")*$C155,"")</f>
        <v/>
      </c>
      <c r="BG155" s="203" t="e">
        <f>VLOOKUP($A155,INICIO_BARRA!$A$6:$R$130,13,FALSE)</f>
        <v>#N/A</v>
      </c>
      <c r="BH155" s="203" t="e">
        <f>VLOOKUP($A155,INICIO_BARRA!$A$6:$R$130,14,FALSE)</f>
        <v>#N/A</v>
      </c>
      <c r="BI155" s="203" t="str">
        <f>IFERROR(VLOOKUP($A155,REPOSICIONES_BARRA!$A$6:$I$130,8,FALSE),"")</f>
        <v/>
      </c>
      <c r="BJ155" s="315" t="e">
        <f t="shared" si="175"/>
        <v>#N/A</v>
      </c>
      <c r="BK155" s="316" t="e">
        <f t="shared" si="176"/>
        <v>#N/A</v>
      </c>
      <c r="BL155" s="317" t="str">
        <f>IFERROR(IFERROR(VLOOKUP($A155,VENTAS!$H$2:$O$201,7,FALSE),"")/$C155,"")</f>
        <v/>
      </c>
      <c r="BM155" s="111"/>
      <c r="BN155" s="203" t="e">
        <f>VLOOKUP($A155,INICIO_BARRA!$A$6:$R$130,15,FALSE)</f>
        <v>#N/A</v>
      </c>
      <c r="BO155" s="203" t="e">
        <f>VLOOKUP($A155,INICIO_BARRA!$A$6:$R$130,16,FALSE)</f>
        <v>#N/A</v>
      </c>
      <c r="BP155" s="11"/>
      <c r="BQ155" s="94" t="str">
        <f>IFERROR(IFERROR(IF(BP155&gt;0,"",BP155*VLOOKUP($A155,'VALOR I.'!$B$6:$K$418,10,FALSE)),"")*$C155,"")</f>
        <v/>
      </c>
      <c r="BR155" s="203" t="e">
        <f>VLOOKUP($A155,INICIO_BARRA!$A$6:$R$130,15,FALSE)</f>
        <v>#N/A</v>
      </c>
      <c r="BS155" s="203" t="e">
        <f>VLOOKUP($A155,INICIO_BARRA!$A$6:$R$130,16,FALSE)</f>
        <v>#N/A</v>
      </c>
      <c r="BT155" s="203" t="str">
        <f>IFERROR(VLOOKUP($A155,REPOSICIONES_BARRA!$A$6:$I$130,9,FALSE),"")</f>
        <v/>
      </c>
      <c r="BU155" s="315" t="e">
        <f t="shared" si="177"/>
        <v>#N/A</v>
      </c>
      <c r="BV155" s="316" t="e">
        <f t="shared" si="178"/>
        <v>#N/A</v>
      </c>
      <c r="BW155" s="317" t="str">
        <f>IFERROR(IFERROR(VLOOKUP($A155,VENTAS!$H$2:$O$201,8,FALSE),"")/$C155,"")</f>
        <v/>
      </c>
      <c r="BX155" s="111"/>
      <c r="BY155" s="203" t="e">
        <f>VLOOKUP($A155,INICIO_BARRA!$A$6:$R$130,17,FALSE)</f>
        <v>#N/A</v>
      </c>
      <c r="BZ155" s="203" t="e">
        <f>VLOOKUP($A155,INICIO_BARRA!$A$6:$R$130,18,FALSE)</f>
        <v>#N/A</v>
      </c>
      <c r="CA155" s="11"/>
      <c r="CB155" s="94" t="str">
        <f>IFERROR(IFERROR(IF(CA155&gt;0,"",CA155*VLOOKUP($A155,'VALOR I.'!$B$6:$K$418,10,FALSE)),"")*$C155,"")</f>
        <v/>
      </c>
    </row>
    <row r="156" spans="1:80" s="7" customFormat="1" ht="30" hidden="1" customHeight="1" x14ac:dyDescent="0.3">
      <c r="A156" s="3"/>
      <c r="B156" s="34"/>
      <c r="C156" s="136"/>
      <c r="D156" s="203" t="e">
        <f>VLOOKUP($A156,INICIO_BARRA!$A$6:$R$130,3,FALSE)</f>
        <v>#N/A</v>
      </c>
      <c r="E156" s="203" t="e">
        <f>VLOOKUP($A156,INICIO_BARRA!$A$6:$R$130,4,FALSE)</f>
        <v>#N/A</v>
      </c>
      <c r="F156" s="203" t="str">
        <f>IFERROR(VLOOKUP($A156,REPOSICIONES_BARRA!$A$6:$I$130,3,FALSE),"")</f>
        <v/>
      </c>
      <c r="G156" s="315" t="e">
        <f t="shared" si="179"/>
        <v>#N/A</v>
      </c>
      <c r="H156" s="316" t="e">
        <f t="shared" si="180"/>
        <v>#N/A</v>
      </c>
      <c r="I156" s="317" t="str">
        <f>IFERROR(IFERROR(VLOOKUP($A156,VENTAS!$H$2:$O$201,2,FALSE),"")/$C156,"")</f>
        <v/>
      </c>
      <c r="J156" s="111"/>
      <c r="K156" s="203" t="e">
        <f>VLOOKUP($A156,INICIO_BARRA!$A$6:$R$130,5,FALSE)</f>
        <v>#N/A</v>
      </c>
      <c r="L156" s="203" t="e">
        <f>VLOOKUP($A156,INICIO_BARRA!$A$6:$R$130,6,FALSE)</f>
        <v>#N/A</v>
      </c>
      <c r="M156" s="11"/>
      <c r="N156" s="204" t="str">
        <f>IFERROR(IFERROR(IF(M156&gt;0,"",M156*VLOOKUP($A156,'VALOR I.'!$B$6:$K$418,10,FALSE)),"")*$C156,"")</f>
        <v/>
      </c>
      <c r="O156" s="203" t="e">
        <f>VLOOKUP($A156,INICIO_BARRA!$A$6:$R$130,5,FALSE)</f>
        <v>#N/A</v>
      </c>
      <c r="P156" s="203" t="e">
        <f>VLOOKUP($A156,INICIO_BARRA!$A$6:$R$130,6,FALSE)</f>
        <v>#N/A</v>
      </c>
      <c r="Q156" s="203" t="str">
        <f>IFERROR(VLOOKUP($A156,REPOSICIONES_BARRA!$A$6:$I$130,4,FALSE),"")</f>
        <v/>
      </c>
      <c r="R156" s="315" t="e">
        <f t="shared" si="167"/>
        <v>#N/A</v>
      </c>
      <c r="S156" s="316" t="e">
        <f t="shared" si="168"/>
        <v>#N/A</v>
      </c>
      <c r="T156" s="317" t="str">
        <f>IFERROR(IFERROR(VLOOKUP($A156,VENTAS!$H$2:$O$201,3,FALSE),"")/$C156,"")</f>
        <v/>
      </c>
      <c r="U156" s="111"/>
      <c r="V156" s="203" t="e">
        <f>VLOOKUP($A156,INICIO_BARRA!$A$6:$R$130,7,FALSE)</f>
        <v>#N/A</v>
      </c>
      <c r="W156" s="203" t="e">
        <f>VLOOKUP($A156,INICIO_BARRA!$A$6:$R$130,8,FALSE)</f>
        <v>#N/A</v>
      </c>
      <c r="X156" s="11"/>
      <c r="Y156" s="204" t="str">
        <f>IFERROR(IFERROR(IF(X156&gt;0,"",X156*VLOOKUP($A156,'VALOR I.'!$B$6:$K$418,10,FALSE)),"")*$C156,"")</f>
        <v/>
      </c>
      <c r="Z156" s="203" t="e">
        <f>VLOOKUP($A156,INICIO_BARRA!$A$6:$R$130,7,FALSE)</f>
        <v>#N/A</v>
      </c>
      <c r="AA156" s="203" t="e">
        <f>VLOOKUP($A156,INICIO_BARRA!$A$6:$R$130,8,FALSE)</f>
        <v>#N/A</v>
      </c>
      <c r="AB156" s="203" t="str">
        <f>IFERROR(VLOOKUP($A156,REPOSICIONES_BARRA!$A$6:$I$130,5,FALSE),"")</f>
        <v/>
      </c>
      <c r="AC156" s="315" t="e">
        <f t="shared" si="169"/>
        <v>#N/A</v>
      </c>
      <c r="AD156" s="316" t="e">
        <f t="shared" si="170"/>
        <v>#N/A</v>
      </c>
      <c r="AE156" s="317" t="str">
        <f>IFERROR(IFERROR(VLOOKUP($A156,VENTAS!$H$2:$O$201,4,FALSE),"")/$C156,"")</f>
        <v/>
      </c>
      <c r="AF156" s="111"/>
      <c r="AG156" s="203" t="e">
        <f>VLOOKUP($A156,INICIO_BARRA!$A$6:$R$130,9,FALSE)</f>
        <v>#N/A</v>
      </c>
      <c r="AH156" s="203" t="e">
        <f>VLOOKUP($A156,INICIO_BARRA!$A$6:$R$130,10,FALSE)</f>
        <v>#N/A</v>
      </c>
      <c r="AI156" s="11"/>
      <c r="AJ156" s="94" t="str">
        <f>IFERROR(IFERROR(IF(AI156&gt;0,"",AI156*VLOOKUP($A156,'VALOR I.'!$B$6:$K$418,10,FALSE)),"")*$C156,"")</f>
        <v/>
      </c>
      <c r="AK156" s="203" t="e">
        <f>VLOOKUP($A156,INICIO_BARRA!$A$6:$R$130,9,FALSE)</f>
        <v>#N/A</v>
      </c>
      <c r="AL156" s="203" t="e">
        <f>VLOOKUP($A156,INICIO_BARRA!$A$6:$R$130,10,FALSE)</f>
        <v>#N/A</v>
      </c>
      <c r="AM156" s="203" t="str">
        <f>IFERROR(VLOOKUP($A156,REPOSICIONES_BARRA!$A$6:$I$130,6,FALSE),"")</f>
        <v/>
      </c>
      <c r="AN156" s="315" t="e">
        <f t="shared" si="171"/>
        <v>#N/A</v>
      </c>
      <c r="AO156" s="316" t="e">
        <f t="shared" si="172"/>
        <v>#N/A</v>
      </c>
      <c r="AP156" s="317" t="str">
        <f>IFERROR(IFERROR(VLOOKUP($A156,VENTAS!$H$2:$O$201,5,FALSE),"")/$C156,"")</f>
        <v/>
      </c>
      <c r="AQ156" s="111"/>
      <c r="AR156" s="203" t="e">
        <f>VLOOKUP($A156,INICIO_BARRA!$A$6:$R$130,11,FALSE)</f>
        <v>#N/A</v>
      </c>
      <c r="AS156" s="203" t="e">
        <f>VLOOKUP($A156,INICIO_BARRA!$A$6:$R$130,12,FALSE)</f>
        <v>#N/A</v>
      </c>
      <c r="AT156" s="11"/>
      <c r="AU156" s="94" t="str">
        <f>IFERROR(IFERROR(IF(AT156&gt;0,"",AT156*VLOOKUP($A156,'VALOR I.'!$B$6:$K$418,10,FALSE)),"")*$C156,"")</f>
        <v/>
      </c>
      <c r="AV156" s="203" t="e">
        <f>VLOOKUP($A156,INICIO_BARRA!$A$6:$R$130,11,FALSE)</f>
        <v>#N/A</v>
      </c>
      <c r="AW156" s="203" t="e">
        <f>VLOOKUP($A156,INICIO_BARRA!$A$6:$R$130,12,FALSE)</f>
        <v>#N/A</v>
      </c>
      <c r="AX156" s="203" t="str">
        <f>IFERROR(VLOOKUP($A156,REPOSICIONES_BARRA!$A$6:$I$130,7,FALSE),"")</f>
        <v/>
      </c>
      <c r="AY156" s="315" t="e">
        <f t="shared" si="173"/>
        <v>#N/A</v>
      </c>
      <c r="AZ156" s="316" t="e">
        <f t="shared" si="174"/>
        <v>#N/A</v>
      </c>
      <c r="BA156" s="317" t="str">
        <f>IFERROR(IFERROR(VLOOKUP($A156,VENTAS!$H$2:$O$201,6,FALSE),"")/$C156,"")</f>
        <v/>
      </c>
      <c r="BB156" s="111"/>
      <c r="BC156" s="203" t="e">
        <f>VLOOKUP($A156,INICIO_BARRA!$A$6:$R$130,13,FALSE)</f>
        <v>#N/A</v>
      </c>
      <c r="BD156" s="203" t="e">
        <f>VLOOKUP($A156,INICIO_BARRA!$A$6:$R$130,14,FALSE)</f>
        <v>#N/A</v>
      </c>
      <c r="BE156" s="11"/>
      <c r="BF156" s="94" t="str">
        <f>IFERROR(IFERROR(IF(BE156&gt;0,"",BE156*VLOOKUP($A156,'VALOR I.'!$B$6:$K$418,10,FALSE)),"")*$C156,"")</f>
        <v/>
      </c>
      <c r="BG156" s="203" t="e">
        <f>VLOOKUP($A156,INICIO_BARRA!$A$6:$R$130,13,FALSE)</f>
        <v>#N/A</v>
      </c>
      <c r="BH156" s="203" t="e">
        <f>VLOOKUP($A156,INICIO_BARRA!$A$6:$R$130,14,FALSE)</f>
        <v>#N/A</v>
      </c>
      <c r="BI156" s="203" t="str">
        <f>IFERROR(VLOOKUP($A156,REPOSICIONES_BARRA!$A$6:$I$130,8,FALSE),"")</f>
        <v/>
      </c>
      <c r="BJ156" s="315" t="e">
        <f t="shared" si="175"/>
        <v>#N/A</v>
      </c>
      <c r="BK156" s="316" t="e">
        <f t="shared" si="176"/>
        <v>#N/A</v>
      </c>
      <c r="BL156" s="317" t="str">
        <f>IFERROR(IFERROR(VLOOKUP($A156,VENTAS!$H$2:$O$201,7,FALSE),"")/$C156,"")</f>
        <v/>
      </c>
      <c r="BM156" s="111"/>
      <c r="BN156" s="203" t="e">
        <f>VLOOKUP($A156,INICIO_BARRA!$A$6:$R$130,15,FALSE)</f>
        <v>#N/A</v>
      </c>
      <c r="BO156" s="203" t="e">
        <f>VLOOKUP($A156,INICIO_BARRA!$A$6:$R$130,16,FALSE)</f>
        <v>#N/A</v>
      </c>
      <c r="BP156" s="11"/>
      <c r="BQ156" s="94" t="str">
        <f>IFERROR(IFERROR(IF(BP156&gt;0,"",BP156*VLOOKUP($A156,'VALOR I.'!$B$6:$K$418,10,FALSE)),"")*$C156,"")</f>
        <v/>
      </c>
      <c r="BR156" s="203" t="e">
        <f>VLOOKUP($A156,INICIO_BARRA!$A$6:$R$130,15,FALSE)</f>
        <v>#N/A</v>
      </c>
      <c r="BS156" s="203" t="e">
        <f>VLOOKUP($A156,INICIO_BARRA!$A$6:$R$130,16,FALSE)</f>
        <v>#N/A</v>
      </c>
      <c r="BT156" s="203" t="str">
        <f>IFERROR(VLOOKUP($A156,REPOSICIONES_BARRA!$A$6:$I$130,9,FALSE),"")</f>
        <v/>
      </c>
      <c r="BU156" s="315" t="e">
        <f t="shared" si="177"/>
        <v>#N/A</v>
      </c>
      <c r="BV156" s="316" t="e">
        <f t="shared" si="178"/>
        <v>#N/A</v>
      </c>
      <c r="BW156" s="317" t="str">
        <f>IFERROR(IFERROR(VLOOKUP($A156,VENTAS!$H$2:$O$201,8,FALSE),"")/$C156,"")</f>
        <v/>
      </c>
      <c r="BX156" s="111"/>
      <c r="BY156" s="203" t="e">
        <f>VLOOKUP($A156,INICIO_BARRA!$A$6:$R$130,17,FALSE)</f>
        <v>#N/A</v>
      </c>
      <c r="BZ156" s="203" t="e">
        <f>VLOOKUP($A156,INICIO_BARRA!$A$6:$R$130,18,FALSE)</f>
        <v>#N/A</v>
      </c>
      <c r="CA156" s="11"/>
      <c r="CB156" s="94" t="str">
        <f>IFERROR(IFERROR(IF(CA156&gt;0,"",CA156*VLOOKUP($A156,'VALOR I.'!$B$6:$K$418,10,FALSE)),"")*$C156,"")</f>
        <v/>
      </c>
    </row>
    <row r="157" spans="1:80" s="7" customFormat="1" ht="30" hidden="1" customHeight="1" x14ac:dyDescent="0.3">
      <c r="A157" s="3"/>
      <c r="B157" s="34"/>
      <c r="C157" s="136"/>
      <c r="D157" s="203" t="e">
        <f>VLOOKUP($A157,INICIO_BARRA!$A$6:$R$130,3,FALSE)</f>
        <v>#N/A</v>
      </c>
      <c r="E157" s="203" t="e">
        <f>VLOOKUP($A157,INICIO_BARRA!$A$6:$R$130,4,FALSE)</f>
        <v>#N/A</v>
      </c>
      <c r="F157" s="203" t="str">
        <f>IFERROR(VLOOKUP($A157,REPOSICIONES_BARRA!$A$6:$I$130,3,FALSE),"")</f>
        <v/>
      </c>
      <c r="G157" s="315" t="e">
        <f t="shared" si="179"/>
        <v>#N/A</v>
      </c>
      <c r="H157" s="316" t="e">
        <f t="shared" si="180"/>
        <v>#N/A</v>
      </c>
      <c r="I157" s="317" t="str">
        <f>IFERROR(IFERROR(VLOOKUP($A157,VENTAS!$H$2:$O$201,2,FALSE),"")/$C157,"")</f>
        <v/>
      </c>
      <c r="J157" s="111"/>
      <c r="K157" s="203" t="e">
        <f>VLOOKUP($A157,INICIO_BARRA!$A$6:$R$130,5,FALSE)</f>
        <v>#N/A</v>
      </c>
      <c r="L157" s="203" t="e">
        <f>VLOOKUP($A157,INICIO_BARRA!$A$6:$R$130,6,FALSE)</f>
        <v>#N/A</v>
      </c>
      <c r="M157" s="11"/>
      <c r="N157" s="204" t="str">
        <f>IFERROR(IFERROR(IF(M157&gt;0,"",M157*VLOOKUP($A157,'VALOR I.'!$B$6:$K$418,10,FALSE)),"")*$C157,"")</f>
        <v/>
      </c>
      <c r="O157" s="203" t="e">
        <f>VLOOKUP($A157,INICIO_BARRA!$A$6:$R$130,5,FALSE)</f>
        <v>#N/A</v>
      </c>
      <c r="P157" s="203" t="e">
        <f>VLOOKUP($A157,INICIO_BARRA!$A$6:$R$130,6,FALSE)</f>
        <v>#N/A</v>
      </c>
      <c r="Q157" s="203" t="str">
        <f>IFERROR(VLOOKUP($A157,REPOSICIONES_BARRA!$A$6:$I$130,4,FALSE),"")</f>
        <v/>
      </c>
      <c r="R157" s="315" t="e">
        <f t="shared" si="167"/>
        <v>#N/A</v>
      </c>
      <c r="S157" s="316" t="e">
        <f t="shared" si="168"/>
        <v>#N/A</v>
      </c>
      <c r="T157" s="317" t="str">
        <f>IFERROR(IFERROR(VLOOKUP($A157,VENTAS!$H$2:$O$201,3,FALSE),"")/$C157,"")</f>
        <v/>
      </c>
      <c r="U157" s="111"/>
      <c r="V157" s="203" t="e">
        <f>VLOOKUP($A157,INICIO_BARRA!$A$6:$R$130,7,FALSE)</f>
        <v>#N/A</v>
      </c>
      <c r="W157" s="203" t="e">
        <f>VLOOKUP($A157,INICIO_BARRA!$A$6:$R$130,8,FALSE)</f>
        <v>#N/A</v>
      </c>
      <c r="X157" s="11"/>
      <c r="Y157" s="204" t="str">
        <f>IFERROR(IFERROR(IF(X157&gt;0,"",X157*VLOOKUP($A157,'VALOR I.'!$B$6:$K$418,10,FALSE)),"")*$C157,"")</f>
        <v/>
      </c>
      <c r="Z157" s="203" t="e">
        <f>VLOOKUP($A157,INICIO_BARRA!$A$6:$R$130,7,FALSE)</f>
        <v>#N/A</v>
      </c>
      <c r="AA157" s="203" t="e">
        <f>VLOOKUP($A157,INICIO_BARRA!$A$6:$R$130,8,FALSE)</f>
        <v>#N/A</v>
      </c>
      <c r="AB157" s="203" t="str">
        <f>IFERROR(VLOOKUP($A157,REPOSICIONES_BARRA!$A$6:$I$130,5,FALSE),"")</f>
        <v/>
      </c>
      <c r="AC157" s="315" t="e">
        <f t="shared" si="169"/>
        <v>#N/A</v>
      </c>
      <c r="AD157" s="316" t="e">
        <f t="shared" si="170"/>
        <v>#N/A</v>
      </c>
      <c r="AE157" s="317" t="str">
        <f>IFERROR(IFERROR(VLOOKUP($A157,VENTAS!$H$2:$O$201,4,FALSE),"")/$C157,"")</f>
        <v/>
      </c>
      <c r="AF157" s="111"/>
      <c r="AG157" s="203" t="e">
        <f>VLOOKUP($A157,INICIO_BARRA!$A$6:$R$130,9,FALSE)</f>
        <v>#N/A</v>
      </c>
      <c r="AH157" s="203" t="e">
        <f>VLOOKUP($A157,INICIO_BARRA!$A$6:$R$130,10,FALSE)</f>
        <v>#N/A</v>
      </c>
      <c r="AI157" s="11"/>
      <c r="AJ157" s="94" t="str">
        <f>IFERROR(IFERROR(IF(AI157&gt;0,"",AI157*VLOOKUP($A157,'VALOR I.'!$B$6:$K$418,10,FALSE)),"")*$C157,"")</f>
        <v/>
      </c>
      <c r="AK157" s="203" t="e">
        <f>VLOOKUP($A157,INICIO_BARRA!$A$6:$R$130,9,FALSE)</f>
        <v>#N/A</v>
      </c>
      <c r="AL157" s="203" t="e">
        <f>VLOOKUP($A157,INICIO_BARRA!$A$6:$R$130,10,FALSE)</f>
        <v>#N/A</v>
      </c>
      <c r="AM157" s="203" t="str">
        <f>IFERROR(VLOOKUP($A157,REPOSICIONES_BARRA!$A$6:$I$130,6,FALSE),"")</f>
        <v/>
      </c>
      <c r="AN157" s="315" t="e">
        <f t="shared" si="171"/>
        <v>#N/A</v>
      </c>
      <c r="AO157" s="316" t="e">
        <f t="shared" si="172"/>
        <v>#N/A</v>
      </c>
      <c r="AP157" s="317" t="str">
        <f>IFERROR(IFERROR(VLOOKUP($A157,VENTAS!$H$2:$O$201,5,FALSE),"")/$C157,"")</f>
        <v/>
      </c>
      <c r="AQ157" s="111"/>
      <c r="AR157" s="203" t="e">
        <f>VLOOKUP($A157,INICIO_BARRA!$A$6:$R$130,11,FALSE)</f>
        <v>#N/A</v>
      </c>
      <c r="AS157" s="203" t="e">
        <f>VLOOKUP($A157,INICIO_BARRA!$A$6:$R$130,12,FALSE)</f>
        <v>#N/A</v>
      </c>
      <c r="AT157" s="11"/>
      <c r="AU157" s="94" t="str">
        <f>IFERROR(IFERROR(IF(AT157&gt;0,"",AT157*VLOOKUP($A157,'VALOR I.'!$B$6:$K$418,10,FALSE)),"")*$C157,"")</f>
        <v/>
      </c>
      <c r="AV157" s="203" t="e">
        <f>VLOOKUP($A157,INICIO_BARRA!$A$6:$R$130,11,FALSE)</f>
        <v>#N/A</v>
      </c>
      <c r="AW157" s="203" t="e">
        <f>VLOOKUP($A157,INICIO_BARRA!$A$6:$R$130,12,FALSE)</f>
        <v>#N/A</v>
      </c>
      <c r="AX157" s="203" t="str">
        <f>IFERROR(VLOOKUP($A157,REPOSICIONES_BARRA!$A$6:$I$130,7,FALSE),"")</f>
        <v/>
      </c>
      <c r="AY157" s="315" t="e">
        <f t="shared" si="173"/>
        <v>#N/A</v>
      </c>
      <c r="AZ157" s="316" t="e">
        <f t="shared" si="174"/>
        <v>#N/A</v>
      </c>
      <c r="BA157" s="317" t="str">
        <f>IFERROR(IFERROR(VLOOKUP($A157,VENTAS!$H$2:$O$201,6,FALSE),"")/$C157,"")</f>
        <v/>
      </c>
      <c r="BB157" s="111"/>
      <c r="BC157" s="203" t="e">
        <f>VLOOKUP($A157,INICIO_BARRA!$A$6:$R$130,13,FALSE)</f>
        <v>#N/A</v>
      </c>
      <c r="BD157" s="203" t="e">
        <f>VLOOKUP($A157,INICIO_BARRA!$A$6:$R$130,14,FALSE)</f>
        <v>#N/A</v>
      </c>
      <c r="BE157" s="11"/>
      <c r="BF157" s="94" t="str">
        <f>IFERROR(IFERROR(IF(BE157&gt;0,"",BE157*VLOOKUP($A157,'VALOR I.'!$B$6:$K$418,10,FALSE)),"")*$C157,"")</f>
        <v/>
      </c>
      <c r="BG157" s="203" t="e">
        <f>VLOOKUP($A157,INICIO_BARRA!$A$6:$R$130,13,FALSE)</f>
        <v>#N/A</v>
      </c>
      <c r="BH157" s="203" t="e">
        <f>VLOOKUP($A157,INICIO_BARRA!$A$6:$R$130,14,FALSE)</f>
        <v>#N/A</v>
      </c>
      <c r="BI157" s="203" t="str">
        <f>IFERROR(VLOOKUP($A157,REPOSICIONES_BARRA!$A$6:$I$130,8,FALSE),"")</f>
        <v/>
      </c>
      <c r="BJ157" s="315" t="e">
        <f t="shared" si="175"/>
        <v>#N/A</v>
      </c>
      <c r="BK157" s="316" t="e">
        <f t="shared" si="176"/>
        <v>#N/A</v>
      </c>
      <c r="BL157" s="317" t="str">
        <f>IFERROR(IFERROR(VLOOKUP($A157,VENTAS!$H$2:$O$201,7,FALSE),"")/$C157,"")</f>
        <v/>
      </c>
      <c r="BM157" s="111"/>
      <c r="BN157" s="203" t="e">
        <f>VLOOKUP($A157,INICIO_BARRA!$A$6:$R$130,15,FALSE)</f>
        <v>#N/A</v>
      </c>
      <c r="BO157" s="203" t="e">
        <f>VLOOKUP($A157,INICIO_BARRA!$A$6:$R$130,16,FALSE)</f>
        <v>#N/A</v>
      </c>
      <c r="BP157" s="11"/>
      <c r="BQ157" s="94" t="str">
        <f>IFERROR(IFERROR(IF(BP157&gt;0,"",BP157*VLOOKUP($A157,'VALOR I.'!$B$6:$K$418,10,FALSE)),"")*$C157,"")</f>
        <v/>
      </c>
      <c r="BR157" s="203" t="e">
        <f>VLOOKUP($A157,INICIO_BARRA!$A$6:$R$130,15,FALSE)</f>
        <v>#N/A</v>
      </c>
      <c r="BS157" s="203" t="e">
        <f>VLOOKUP($A157,INICIO_BARRA!$A$6:$R$130,16,FALSE)</f>
        <v>#N/A</v>
      </c>
      <c r="BT157" s="203" t="str">
        <f>IFERROR(VLOOKUP($A157,REPOSICIONES_BARRA!$A$6:$I$130,9,FALSE),"")</f>
        <v/>
      </c>
      <c r="BU157" s="315" t="e">
        <f t="shared" si="177"/>
        <v>#N/A</v>
      </c>
      <c r="BV157" s="316" t="e">
        <f t="shared" si="178"/>
        <v>#N/A</v>
      </c>
      <c r="BW157" s="317" t="str">
        <f>IFERROR(IFERROR(VLOOKUP($A157,VENTAS!$H$2:$O$201,8,FALSE),"")/$C157,"")</f>
        <v/>
      </c>
      <c r="BX157" s="111"/>
      <c r="BY157" s="203" t="e">
        <f>VLOOKUP($A157,INICIO_BARRA!$A$6:$R$130,17,FALSE)</f>
        <v>#N/A</v>
      </c>
      <c r="BZ157" s="203" t="e">
        <f>VLOOKUP($A157,INICIO_BARRA!$A$6:$R$130,18,FALSE)</f>
        <v>#N/A</v>
      </c>
      <c r="CA157" s="11"/>
      <c r="CB157" s="94" t="str">
        <f>IFERROR(IFERROR(IF(CA157&gt;0,"",CA157*VLOOKUP($A157,'VALOR I.'!$B$6:$K$418,10,FALSE)),"")*$C157,"")</f>
        <v/>
      </c>
    </row>
    <row r="158" spans="1:80" s="7" customFormat="1" ht="30" hidden="1" customHeight="1" x14ac:dyDescent="0.3">
      <c r="A158" s="3"/>
      <c r="B158" s="34"/>
      <c r="C158" s="136"/>
      <c r="D158" s="203" t="e">
        <f>VLOOKUP($A158,INICIO_BARRA!$A$6:$R$130,3,FALSE)</f>
        <v>#N/A</v>
      </c>
      <c r="E158" s="203" t="e">
        <f>VLOOKUP($A158,INICIO_BARRA!$A$6:$R$130,4,FALSE)</f>
        <v>#N/A</v>
      </c>
      <c r="F158" s="203" t="str">
        <f>IFERROR(VLOOKUP($A158,REPOSICIONES_BARRA!$A$6:$I$130,3,FALSE),"")</f>
        <v/>
      </c>
      <c r="G158" s="315" t="e">
        <f t="shared" si="179"/>
        <v>#N/A</v>
      </c>
      <c r="H158" s="316" t="e">
        <f t="shared" si="180"/>
        <v>#N/A</v>
      </c>
      <c r="I158" s="317" t="str">
        <f>IFERROR(IFERROR(VLOOKUP($A158,VENTAS!$H$2:$O$201,2,FALSE),"")/$C158,"")</f>
        <v/>
      </c>
      <c r="J158" s="111"/>
      <c r="K158" s="203" t="e">
        <f>VLOOKUP($A158,INICIO_BARRA!$A$6:$R$130,5,FALSE)</f>
        <v>#N/A</v>
      </c>
      <c r="L158" s="203" t="e">
        <f>VLOOKUP($A158,INICIO_BARRA!$A$6:$R$130,6,FALSE)</f>
        <v>#N/A</v>
      </c>
      <c r="M158" s="11"/>
      <c r="N158" s="204" t="str">
        <f>IFERROR(IFERROR(IF(M158&gt;0,"",M158*VLOOKUP($A158,'VALOR I.'!$B$6:$K$418,10,FALSE)),"")*$C158,"")</f>
        <v/>
      </c>
      <c r="O158" s="203" t="e">
        <f>VLOOKUP($A158,INICIO_BARRA!$A$6:$R$130,5,FALSE)</f>
        <v>#N/A</v>
      </c>
      <c r="P158" s="203" t="e">
        <f>VLOOKUP($A158,INICIO_BARRA!$A$6:$R$130,6,FALSE)</f>
        <v>#N/A</v>
      </c>
      <c r="Q158" s="203" t="str">
        <f>IFERROR(VLOOKUP($A158,REPOSICIONES_BARRA!$A$6:$I$130,4,FALSE),"")</f>
        <v/>
      </c>
      <c r="R158" s="315" t="e">
        <f t="shared" si="167"/>
        <v>#N/A</v>
      </c>
      <c r="S158" s="316" t="e">
        <f t="shared" si="168"/>
        <v>#N/A</v>
      </c>
      <c r="T158" s="317" t="str">
        <f>IFERROR(IFERROR(VLOOKUP($A158,VENTAS!$H$2:$O$201,3,FALSE),"")/$C158,"")</f>
        <v/>
      </c>
      <c r="U158" s="111"/>
      <c r="V158" s="203" t="e">
        <f>VLOOKUP($A158,INICIO_BARRA!$A$6:$R$130,7,FALSE)</f>
        <v>#N/A</v>
      </c>
      <c r="W158" s="203" t="e">
        <f>VLOOKUP($A158,INICIO_BARRA!$A$6:$R$130,8,FALSE)</f>
        <v>#N/A</v>
      </c>
      <c r="X158" s="11"/>
      <c r="Y158" s="204" t="str">
        <f>IFERROR(IFERROR(IF(X158&gt;0,"",X158*VLOOKUP($A158,'VALOR I.'!$B$6:$K$418,10,FALSE)),"")*$C158,"")</f>
        <v/>
      </c>
      <c r="Z158" s="203" t="e">
        <f>VLOOKUP($A158,INICIO_BARRA!$A$6:$R$130,7,FALSE)</f>
        <v>#N/A</v>
      </c>
      <c r="AA158" s="203" t="e">
        <f>VLOOKUP($A158,INICIO_BARRA!$A$6:$R$130,8,FALSE)</f>
        <v>#N/A</v>
      </c>
      <c r="AB158" s="203" t="str">
        <f>IFERROR(VLOOKUP($A158,REPOSICIONES_BARRA!$A$6:$I$130,5,FALSE),"")</f>
        <v/>
      </c>
      <c r="AC158" s="315" t="e">
        <f t="shared" si="169"/>
        <v>#N/A</v>
      </c>
      <c r="AD158" s="316" t="e">
        <f t="shared" si="170"/>
        <v>#N/A</v>
      </c>
      <c r="AE158" s="317" t="str">
        <f>IFERROR(IFERROR(VLOOKUP($A158,VENTAS!$H$2:$O$201,4,FALSE),"")/$C158,"")</f>
        <v/>
      </c>
      <c r="AF158" s="111"/>
      <c r="AG158" s="203" t="e">
        <f>VLOOKUP($A158,INICIO_BARRA!$A$6:$R$130,9,FALSE)</f>
        <v>#N/A</v>
      </c>
      <c r="AH158" s="203" t="e">
        <f>VLOOKUP($A158,INICIO_BARRA!$A$6:$R$130,10,FALSE)</f>
        <v>#N/A</v>
      </c>
      <c r="AI158" s="11"/>
      <c r="AJ158" s="94" t="str">
        <f>IFERROR(IFERROR(IF(AI158&gt;0,"",AI158*VLOOKUP($A158,'VALOR I.'!$B$6:$K$418,10,FALSE)),"")*$C158,"")</f>
        <v/>
      </c>
      <c r="AK158" s="203" t="e">
        <f>VLOOKUP($A158,INICIO_BARRA!$A$6:$R$130,9,FALSE)</f>
        <v>#N/A</v>
      </c>
      <c r="AL158" s="203" t="e">
        <f>VLOOKUP($A158,INICIO_BARRA!$A$6:$R$130,10,FALSE)</f>
        <v>#N/A</v>
      </c>
      <c r="AM158" s="203" t="str">
        <f>IFERROR(VLOOKUP($A158,REPOSICIONES_BARRA!$A$6:$I$130,6,FALSE),"")</f>
        <v/>
      </c>
      <c r="AN158" s="315" t="e">
        <f t="shared" si="171"/>
        <v>#N/A</v>
      </c>
      <c r="AO158" s="316" t="e">
        <f t="shared" si="172"/>
        <v>#N/A</v>
      </c>
      <c r="AP158" s="317" t="str">
        <f>IFERROR(IFERROR(VLOOKUP($A158,VENTAS!$H$2:$O$201,5,FALSE),"")/$C158,"")</f>
        <v/>
      </c>
      <c r="AQ158" s="111"/>
      <c r="AR158" s="203" t="e">
        <f>VLOOKUP($A158,INICIO_BARRA!$A$6:$R$130,11,FALSE)</f>
        <v>#N/A</v>
      </c>
      <c r="AS158" s="203" t="e">
        <f>VLOOKUP($A158,INICIO_BARRA!$A$6:$R$130,12,FALSE)</f>
        <v>#N/A</v>
      </c>
      <c r="AT158" s="11"/>
      <c r="AU158" s="94" t="str">
        <f>IFERROR(IFERROR(IF(AT158&gt;0,"",AT158*VLOOKUP($A158,'VALOR I.'!$B$6:$K$418,10,FALSE)),"")*$C158,"")</f>
        <v/>
      </c>
      <c r="AV158" s="203" t="e">
        <f>VLOOKUP($A158,INICIO_BARRA!$A$6:$R$130,11,FALSE)</f>
        <v>#N/A</v>
      </c>
      <c r="AW158" s="203" t="e">
        <f>VLOOKUP($A158,INICIO_BARRA!$A$6:$R$130,12,FALSE)</f>
        <v>#N/A</v>
      </c>
      <c r="AX158" s="203" t="str">
        <f>IFERROR(VLOOKUP($A158,REPOSICIONES_BARRA!$A$6:$I$130,7,FALSE),"")</f>
        <v/>
      </c>
      <c r="AY158" s="315" t="e">
        <f t="shared" si="173"/>
        <v>#N/A</v>
      </c>
      <c r="AZ158" s="316" t="e">
        <f t="shared" si="174"/>
        <v>#N/A</v>
      </c>
      <c r="BA158" s="317" t="str">
        <f>IFERROR(IFERROR(VLOOKUP($A158,VENTAS!$H$2:$O$201,6,FALSE),"")/$C158,"")</f>
        <v/>
      </c>
      <c r="BB158" s="111"/>
      <c r="BC158" s="203" t="e">
        <f>VLOOKUP($A158,INICIO_BARRA!$A$6:$R$130,13,FALSE)</f>
        <v>#N/A</v>
      </c>
      <c r="BD158" s="203" t="e">
        <f>VLOOKUP($A158,INICIO_BARRA!$A$6:$R$130,14,FALSE)</f>
        <v>#N/A</v>
      </c>
      <c r="BE158" s="11"/>
      <c r="BF158" s="94" t="str">
        <f>IFERROR(IFERROR(IF(BE158&gt;0,"",BE158*VLOOKUP($A158,'VALOR I.'!$B$6:$K$418,10,FALSE)),"")*$C158,"")</f>
        <v/>
      </c>
      <c r="BG158" s="203" t="e">
        <f>VLOOKUP($A158,INICIO_BARRA!$A$6:$R$130,13,FALSE)</f>
        <v>#N/A</v>
      </c>
      <c r="BH158" s="203" t="e">
        <f>VLOOKUP($A158,INICIO_BARRA!$A$6:$R$130,14,FALSE)</f>
        <v>#N/A</v>
      </c>
      <c r="BI158" s="203" t="str">
        <f>IFERROR(VLOOKUP($A158,REPOSICIONES_BARRA!$A$6:$I$130,8,FALSE),"")</f>
        <v/>
      </c>
      <c r="BJ158" s="315" t="e">
        <f t="shared" si="175"/>
        <v>#N/A</v>
      </c>
      <c r="BK158" s="316" t="e">
        <f t="shared" si="176"/>
        <v>#N/A</v>
      </c>
      <c r="BL158" s="317" t="str">
        <f>IFERROR(IFERROR(VLOOKUP($A158,VENTAS!$H$2:$O$201,7,FALSE),"")/$C158,"")</f>
        <v/>
      </c>
      <c r="BM158" s="111"/>
      <c r="BN158" s="203" t="e">
        <f>VLOOKUP($A158,INICIO_BARRA!$A$6:$R$130,15,FALSE)</f>
        <v>#N/A</v>
      </c>
      <c r="BO158" s="203" t="e">
        <f>VLOOKUP($A158,INICIO_BARRA!$A$6:$R$130,16,FALSE)</f>
        <v>#N/A</v>
      </c>
      <c r="BP158" s="11"/>
      <c r="BQ158" s="94" t="str">
        <f>IFERROR(IFERROR(IF(BP158&gt;0,"",BP158*VLOOKUP($A158,'VALOR I.'!$B$6:$K$418,10,FALSE)),"")*$C158,"")</f>
        <v/>
      </c>
      <c r="BR158" s="203" t="e">
        <f>VLOOKUP($A158,INICIO_BARRA!$A$6:$R$130,15,FALSE)</f>
        <v>#N/A</v>
      </c>
      <c r="BS158" s="203" t="e">
        <f>VLOOKUP($A158,INICIO_BARRA!$A$6:$R$130,16,FALSE)</f>
        <v>#N/A</v>
      </c>
      <c r="BT158" s="203" t="str">
        <f>IFERROR(VLOOKUP($A158,REPOSICIONES_BARRA!$A$6:$I$130,9,FALSE),"")</f>
        <v/>
      </c>
      <c r="BU158" s="315" t="e">
        <f t="shared" si="177"/>
        <v>#N/A</v>
      </c>
      <c r="BV158" s="316" t="e">
        <f t="shared" si="178"/>
        <v>#N/A</v>
      </c>
      <c r="BW158" s="317" t="str">
        <f>IFERROR(IFERROR(VLOOKUP($A158,VENTAS!$H$2:$O$201,8,FALSE),"")/$C158,"")</f>
        <v/>
      </c>
      <c r="BX158" s="111"/>
      <c r="BY158" s="203" t="e">
        <f>VLOOKUP($A158,INICIO_BARRA!$A$6:$R$130,17,FALSE)</f>
        <v>#N/A</v>
      </c>
      <c r="BZ158" s="203" t="e">
        <f>VLOOKUP($A158,INICIO_BARRA!$A$6:$R$130,18,FALSE)</f>
        <v>#N/A</v>
      </c>
      <c r="CA158" s="11"/>
      <c r="CB158" s="94" t="str">
        <f>IFERROR(IFERROR(IF(CA158&gt;0,"",CA158*VLOOKUP($A158,'VALOR I.'!$B$6:$K$418,10,FALSE)),"")*$C158,"")</f>
        <v/>
      </c>
    </row>
    <row r="159" spans="1:80" s="7" customFormat="1" ht="30" hidden="1" customHeight="1" x14ac:dyDescent="0.3">
      <c r="A159" s="3"/>
      <c r="B159" s="34"/>
      <c r="C159" s="136"/>
      <c r="D159" s="203" t="e">
        <f>VLOOKUP($A159,INICIO_BARRA!$A$6:$R$130,3,FALSE)</f>
        <v>#N/A</v>
      </c>
      <c r="E159" s="203" t="e">
        <f>VLOOKUP($A159,INICIO_BARRA!$A$6:$R$130,4,FALSE)</f>
        <v>#N/A</v>
      </c>
      <c r="F159" s="203" t="str">
        <f>IFERROR(VLOOKUP($A159,REPOSICIONES_BARRA!$A$6:$I$130,3,FALSE),"")</f>
        <v/>
      </c>
      <c r="G159" s="315" t="e">
        <f t="shared" si="179"/>
        <v>#N/A</v>
      </c>
      <c r="H159" s="316" t="e">
        <f t="shared" si="180"/>
        <v>#N/A</v>
      </c>
      <c r="I159" s="317" t="str">
        <f>IFERROR(IFERROR(VLOOKUP($A159,VENTAS!$H$2:$O$201,2,FALSE),"")/$C159,"")</f>
        <v/>
      </c>
      <c r="J159" s="111"/>
      <c r="K159" s="203" t="e">
        <f>VLOOKUP($A159,INICIO_BARRA!$A$6:$R$130,5,FALSE)</f>
        <v>#N/A</v>
      </c>
      <c r="L159" s="203" t="e">
        <f>VLOOKUP($A159,INICIO_BARRA!$A$6:$R$130,6,FALSE)</f>
        <v>#N/A</v>
      </c>
      <c r="M159" s="11"/>
      <c r="N159" s="204" t="str">
        <f>IFERROR(IFERROR(IF(M159&gt;0,"",M159*VLOOKUP($A159,'VALOR I.'!$B$6:$K$418,10,FALSE)),"")*$C159,"")</f>
        <v/>
      </c>
      <c r="O159" s="203" t="e">
        <f>VLOOKUP($A159,INICIO_BARRA!$A$6:$R$130,5,FALSE)</f>
        <v>#N/A</v>
      </c>
      <c r="P159" s="203" t="e">
        <f>VLOOKUP($A159,INICIO_BARRA!$A$6:$R$130,6,FALSE)</f>
        <v>#N/A</v>
      </c>
      <c r="Q159" s="203" t="str">
        <f>IFERROR(VLOOKUP($A159,REPOSICIONES_BARRA!$A$6:$I$130,4,FALSE),"")</f>
        <v/>
      </c>
      <c r="R159" s="315" t="e">
        <f t="shared" si="167"/>
        <v>#N/A</v>
      </c>
      <c r="S159" s="316" t="e">
        <f t="shared" si="168"/>
        <v>#N/A</v>
      </c>
      <c r="T159" s="317" t="str">
        <f>IFERROR(IFERROR(VLOOKUP($A159,VENTAS!$H$2:$O$201,3,FALSE),"")/$C159,"")</f>
        <v/>
      </c>
      <c r="U159" s="111"/>
      <c r="V159" s="203" t="e">
        <f>VLOOKUP($A159,INICIO_BARRA!$A$6:$R$130,7,FALSE)</f>
        <v>#N/A</v>
      </c>
      <c r="W159" s="203" t="e">
        <f>VLOOKUP($A159,INICIO_BARRA!$A$6:$R$130,8,FALSE)</f>
        <v>#N/A</v>
      </c>
      <c r="X159" s="11"/>
      <c r="Y159" s="204" t="str">
        <f>IFERROR(IFERROR(IF(X159&gt;0,"",X159*VLOOKUP($A159,'VALOR I.'!$B$6:$K$418,10,FALSE)),"")*$C159,"")</f>
        <v/>
      </c>
      <c r="Z159" s="203" t="e">
        <f>VLOOKUP($A159,INICIO_BARRA!$A$6:$R$130,7,FALSE)</f>
        <v>#N/A</v>
      </c>
      <c r="AA159" s="203" t="e">
        <f>VLOOKUP($A159,INICIO_BARRA!$A$6:$R$130,8,FALSE)</f>
        <v>#N/A</v>
      </c>
      <c r="AB159" s="203" t="str">
        <f>IFERROR(VLOOKUP($A159,REPOSICIONES_BARRA!$A$6:$I$130,5,FALSE),"")</f>
        <v/>
      </c>
      <c r="AC159" s="315" t="e">
        <f t="shared" si="169"/>
        <v>#N/A</v>
      </c>
      <c r="AD159" s="316" t="e">
        <f t="shared" si="170"/>
        <v>#N/A</v>
      </c>
      <c r="AE159" s="317" t="str">
        <f>IFERROR(IFERROR(VLOOKUP($A159,VENTAS!$H$2:$O$201,4,FALSE),"")/$C159,"")</f>
        <v/>
      </c>
      <c r="AF159" s="111"/>
      <c r="AG159" s="203" t="e">
        <f>VLOOKUP($A159,INICIO_BARRA!$A$6:$R$130,9,FALSE)</f>
        <v>#N/A</v>
      </c>
      <c r="AH159" s="203" t="e">
        <f>VLOOKUP($A159,INICIO_BARRA!$A$6:$R$130,10,FALSE)</f>
        <v>#N/A</v>
      </c>
      <c r="AI159" s="11"/>
      <c r="AJ159" s="94" t="str">
        <f>IFERROR(IFERROR(IF(AI159&gt;0,"",AI159*VLOOKUP($A159,'VALOR I.'!$B$6:$K$418,10,FALSE)),"")*$C159,"")</f>
        <v/>
      </c>
      <c r="AK159" s="203" t="e">
        <f>VLOOKUP($A159,INICIO_BARRA!$A$6:$R$130,9,FALSE)</f>
        <v>#N/A</v>
      </c>
      <c r="AL159" s="203" t="e">
        <f>VLOOKUP($A159,INICIO_BARRA!$A$6:$R$130,10,FALSE)</f>
        <v>#N/A</v>
      </c>
      <c r="AM159" s="203" t="str">
        <f>IFERROR(VLOOKUP($A159,REPOSICIONES_BARRA!$A$6:$I$130,6,FALSE),"")</f>
        <v/>
      </c>
      <c r="AN159" s="315" t="e">
        <f t="shared" si="171"/>
        <v>#N/A</v>
      </c>
      <c r="AO159" s="316" t="e">
        <f t="shared" si="172"/>
        <v>#N/A</v>
      </c>
      <c r="AP159" s="317" t="str">
        <f>IFERROR(IFERROR(VLOOKUP($A159,VENTAS!$H$2:$O$201,5,FALSE),"")/$C159,"")</f>
        <v/>
      </c>
      <c r="AQ159" s="111"/>
      <c r="AR159" s="203" t="e">
        <f>VLOOKUP($A159,INICIO_BARRA!$A$6:$R$130,11,FALSE)</f>
        <v>#N/A</v>
      </c>
      <c r="AS159" s="203" t="e">
        <f>VLOOKUP($A159,INICIO_BARRA!$A$6:$R$130,12,FALSE)</f>
        <v>#N/A</v>
      </c>
      <c r="AT159" s="11"/>
      <c r="AU159" s="94" t="str">
        <f>IFERROR(IFERROR(IF(AT159&gt;0,"",AT159*VLOOKUP($A159,'VALOR I.'!$B$6:$K$418,10,FALSE)),"")*$C159,"")</f>
        <v/>
      </c>
      <c r="AV159" s="203" t="e">
        <f>VLOOKUP($A159,INICIO_BARRA!$A$6:$R$130,11,FALSE)</f>
        <v>#N/A</v>
      </c>
      <c r="AW159" s="203" t="e">
        <f>VLOOKUP($A159,INICIO_BARRA!$A$6:$R$130,12,FALSE)</f>
        <v>#N/A</v>
      </c>
      <c r="AX159" s="203" t="str">
        <f>IFERROR(VLOOKUP($A159,REPOSICIONES_BARRA!$A$6:$I$130,7,FALSE),"")</f>
        <v/>
      </c>
      <c r="AY159" s="315" t="e">
        <f t="shared" si="173"/>
        <v>#N/A</v>
      </c>
      <c r="AZ159" s="316" t="e">
        <f t="shared" si="174"/>
        <v>#N/A</v>
      </c>
      <c r="BA159" s="317" t="str">
        <f>IFERROR(IFERROR(VLOOKUP($A159,VENTAS!$H$2:$O$201,6,FALSE),"")/$C159,"")</f>
        <v/>
      </c>
      <c r="BB159" s="111"/>
      <c r="BC159" s="203" t="e">
        <f>VLOOKUP($A159,INICIO_BARRA!$A$6:$R$130,13,FALSE)</f>
        <v>#N/A</v>
      </c>
      <c r="BD159" s="203" t="e">
        <f>VLOOKUP($A159,INICIO_BARRA!$A$6:$R$130,14,FALSE)</f>
        <v>#N/A</v>
      </c>
      <c r="BE159" s="11"/>
      <c r="BF159" s="94" t="str">
        <f>IFERROR(IFERROR(IF(BE159&gt;0,"",BE159*VLOOKUP($A159,'VALOR I.'!$B$6:$K$418,10,FALSE)),"")*$C159,"")</f>
        <v/>
      </c>
      <c r="BG159" s="203" t="e">
        <f>VLOOKUP($A159,INICIO_BARRA!$A$6:$R$130,13,FALSE)</f>
        <v>#N/A</v>
      </c>
      <c r="BH159" s="203" t="e">
        <f>VLOOKUP($A159,INICIO_BARRA!$A$6:$R$130,14,FALSE)</f>
        <v>#N/A</v>
      </c>
      <c r="BI159" s="203" t="str">
        <f>IFERROR(VLOOKUP($A159,REPOSICIONES_BARRA!$A$6:$I$130,8,FALSE),"")</f>
        <v/>
      </c>
      <c r="BJ159" s="315" t="e">
        <f t="shared" si="175"/>
        <v>#N/A</v>
      </c>
      <c r="BK159" s="316" t="e">
        <f t="shared" si="176"/>
        <v>#N/A</v>
      </c>
      <c r="BL159" s="317" t="str">
        <f>IFERROR(IFERROR(VLOOKUP($A159,VENTAS!$H$2:$O$201,7,FALSE),"")/$C159,"")</f>
        <v/>
      </c>
      <c r="BM159" s="111"/>
      <c r="BN159" s="203" t="e">
        <f>VLOOKUP($A159,INICIO_BARRA!$A$6:$R$130,15,FALSE)</f>
        <v>#N/A</v>
      </c>
      <c r="BO159" s="203" t="e">
        <f>VLOOKUP($A159,INICIO_BARRA!$A$6:$R$130,16,FALSE)</f>
        <v>#N/A</v>
      </c>
      <c r="BP159" s="11"/>
      <c r="BQ159" s="94" t="str">
        <f>IFERROR(IFERROR(IF(BP159&gt;0,"",BP159*VLOOKUP($A159,'VALOR I.'!$B$6:$K$418,10,FALSE)),"")*$C159,"")</f>
        <v/>
      </c>
      <c r="BR159" s="203" t="e">
        <f>VLOOKUP($A159,INICIO_BARRA!$A$6:$R$130,15,FALSE)</f>
        <v>#N/A</v>
      </c>
      <c r="BS159" s="203" t="e">
        <f>VLOOKUP($A159,INICIO_BARRA!$A$6:$R$130,16,FALSE)</f>
        <v>#N/A</v>
      </c>
      <c r="BT159" s="203" t="str">
        <f>IFERROR(VLOOKUP($A159,REPOSICIONES_BARRA!$A$6:$I$130,9,FALSE),"")</f>
        <v/>
      </c>
      <c r="BU159" s="315" t="e">
        <f t="shared" si="177"/>
        <v>#N/A</v>
      </c>
      <c r="BV159" s="316" t="e">
        <f t="shared" si="178"/>
        <v>#N/A</v>
      </c>
      <c r="BW159" s="317" t="str">
        <f>IFERROR(IFERROR(VLOOKUP($A159,VENTAS!$H$2:$O$201,8,FALSE),"")/$C159,"")</f>
        <v/>
      </c>
      <c r="BX159" s="111"/>
      <c r="BY159" s="203" t="e">
        <f>VLOOKUP($A159,INICIO_BARRA!$A$6:$R$130,17,FALSE)</f>
        <v>#N/A</v>
      </c>
      <c r="BZ159" s="203" t="e">
        <f>VLOOKUP($A159,INICIO_BARRA!$A$6:$R$130,18,FALSE)</f>
        <v>#N/A</v>
      </c>
      <c r="CA159" s="11"/>
      <c r="CB159" s="94" t="str">
        <f>IFERROR(IFERROR(IF(CA159&gt;0,"",CA159*VLOOKUP($A159,'VALOR I.'!$B$6:$K$418,10,FALSE)),"")*$C159,"")</f>
        <v/>
      </c>
    </row>
    <row r="160" spans="1:80" s="7" customFormat="1" ht="30" hidden="1" customHeight="1" x14ac:dyDescent="0.3">
      <c r="A160" s="3"/>
      <c r="B160" s="34"/>
      <c r="C160" s="136"/>
      <c r="D160" s="203" t="e">
        <f>VLOOKUP($A160,INICIO_BARRA!$A$6:$R$130,3,FALSE)</f>
        <v>#N/A</v>
      </c>
      <c r="E160" s="203" t="e">
        <f>VLOOKUP($A160,INICIO_BARRA!$A$6:$R$130,4,FALSE)</f>
        <v>#N/A</v>
      </c>
      <c r="F160" s="203" t="str">
        <f>IFERROR(VLOOKUP($A160,REPOSICIONES_BARRA!$A$6:$I$130,3,FALSE),"")</f>
        <v/>
      </c>
      <c r="G160" s="315" t="e">
        <f t="shared" si="179"/>
        <v>#N/A</v>
      </c>
      <c r="H160" s="316" t="e">
        <f t="shared" si="180"/>
        <v>#N/A</v>
      </c>
      <c r="I160" s="317" t="str">
        <f>IFERROR(IFERROR(VLOOKUP($A160,VENTAS!$H$2:$O$201,2,FALSE),"")/$C160,"")</f>
        <v/>
      </c>
      <c r="J160" s="111"/>
      <c r="K160" s="203" t="e">
        <f>VLOOKUP($A160,INICIO_BARRA!$A$6:$R$130,5,FALSE)</f>
        <v>#N/A</v>
      </c>
      <c r="L160" s="203" t="e">
        <f>VLOOKUP($A160,INICIO_BARRA!$A$6:$R$130,6,FALSE)</f>
        <v>#N/A</v>
      </c>
      <c r="M160" s="11"/>
      <c r="N160" s="204" t="str">
        <f>IFERROR(IFERROR(IF(M160&gt;0,"",M160*VLOOKUP($A160,'VALOR I.'!$B$6:$K$418,10,FALSE)),"")*$C160,"")</f>
        <v/>
      </c>
      <c r="O160" s="203" t="e">
        <f>VLOOKUP($A160,INICIO_BARRA!$A$6:$R$130,5,FALSE)</f>
        <v>#N/A</v>
      </c>
      <c r="P160" s="203" t="e">
        <f>VLOOKUP($A160,INICIO_BARRA!$A$6:$R$130,6,FALSE)</f>
        <v>#N/A</v>
      </c>
      <c r="Q160" s="203" t="str">
        <f>IFERROR(VLOOKUP($A160,REPOSICIONES_BARRA!$A$6:$I$130,4,FALSE),"")</f>
        <v/>
      </c>
      <c r="R160" s="315" t="e">
        <f t="shared" si="167"/>
        <v>#N/A</v>
      </c>
      <c r="S160" s="316" t="e">
        <f t="shared" si="168"/>
        <v>#N/A</v>
      </c>
      <c r="T160" s="317" t="str">
        <f>IFERROR(IFERROR(VLOOKUP($A160,VENTAS!$H$2:$O$201,3,FALSE),"")/$C160,"")</f>
        <v/>
      </c>
      <c r="U160" s="111"/>
      <c r="V160" s="203" t="e">
        <f>VLOOKUP($A160,INICIO_BARRA!$A$6:$R$130,7,FALSE)</f>
        <v>#N/A</v>
      </c>
      <c r="W160" s="203" t="e">
        <f>VLOOKUP($A160,INICIO_BARRA!$A$6:$R$130,8,FALSE)</f>
        <v>#N/A</v>
      </c>
      <c r="X160" s="11"/>
      <c r="Y160" s="204" t="str">
        <f>IFERROR(IFERROR(IF(X160&gt;0,"",X160*VLOOKUP($A160,'VALOR I.'!$B$6:$K$418,10,FALSE)),"")*$C160,"")</f>
        <v/>
      </c>
      <c r="Z160" s="203" t="e">
        <f>VLOOKUP($A160,INICIO_BARRA!$A$6:$R$130,7,FALSE)</f>
        <v>#N/A</v>
      </c>
      <c r="AA160" s="203" t="e">
        <f>VLOOKUP($A160,INICIO_BARRA!$A$6:$R$130,8,FALSE)</f>
        <v>#N/A</v>
      </c>
      <c r="AB160" s="203" t="str">
        <f>IFERROR(VLOOKUP($A160,REPOSICIONES_BARRA!$A$6:$I$130,5,FALSE),"")</f>
        <v/>
      </c>
      <c r="AC160" s="315" t="e">
        <f t="shared" si="169"/>
        <v>#N/A</v>
      </c>
      <c r="AD160" s="316" t="e">
        <f t="shared" si="170"/>
        <v>#N/A</v>
      </c>
      <c r="AE160" s="317" t="str">
        <f>IFERROR(IFERROR(VLOOKUP($A160,VENTAS!$H$2:$O$201,4,FALSE),"")/$C160,"")</f>
        <v/>
      </c>
      <c r="AF160" s="111"/>
      <c r="AG160" s="203" t="e">
        <f>VLOOKUP($A160,INICIO_BARRA!$A$6:$R$130,9,FALSE)</f>
        <v>#N/A</v>
      </c>
      <c r="AH160" s="203" t="e">
        <f>VLOOKUP($A160,INICIO_BARRA!$A$6:$R$130,10,FALSE)</f>
        <v>#N/A</v>
      </c>
      <c r="AI160" s="11"/>
      <c r="AJ160" s="94" t="str">
        <f>IFERROR(IFERROR(IF(AI160&gt;0,"",AI160*VLOOKUP($A160,'VALOR I.'!$B$6:$K$418,10,FALSE)),"")*$C160,"")</f>
        <v/>
      </c>
      <c r="AK160" s="203" t="e">
        <f>VLOOKUP($A160,INICIO_BARRA!$A$6:$R$130,9,FALSE)</f>
        <v>#N/A</v>
      </c>
      <c r="AL160" s="203" t="e">
        <f>VLOOKUP($A160,INICIO_BARRA!$A$6:$R$130,10,FALSE)</f>
        <v>#N/A</v>
      </c>
      <c r="AM160" s="203" t="str">
        <f>IFERROR(VLOOKUP($A160,REPOSICIONES_BARRA!$A$6:$I$130,6,FALSE),"")</f>
        <v/>
      </c>
      <c r="AN160" s="315" t="e">
        <f t="shared" si="171"/>
        <v>#N/A</v>
      </c>
      <c r="AO160" s="316" t="e">
        <f t="shared" si="172"/>
        <v>#N/A</v>
      </c>
      <c r="AP160" s="317" t="str">
        <f>IFERROR(IFERROR(VLOOKUP($A160,VENTAS!$H$2:$O$201,5,FALSE),"")/$C160,"")</f>
        <v/>
      </c>
      <c r="AQ160" s="111"/>
      <c r="AR160" s="203" t="e">
        <f>VLOOKUP($A160,INICIO_BARRA!$A$6:$R$130,11,FALSE)</f>
        <v>#N/A</v>
      </c>
      <c r="AS160" s="203" t="e">
        <f>VLOOKUP($A160,INICIO_BARRA!$A$6:$R$130,12,FALSE)</f>
        <v>#N/A</v>
      </c>
      <c r="AT160" s="11"/>
      <c r="AU160" s="94" t="str">
        <f>IFERROR(IFERROR(IF(AT160&gt;0,"",AT160*VLOOKUP($A160,'VALOR I.'!$B$6:$K$418,10,FALSE)),"")*$C160,"")</f>
        <v/>
      </c>
      <c r="AV160" s="203" t="e">
        <f>VLOOKUP($A160,INICIO_BARRA!$A$6:$R$130,11,FALSE)</f>
        <v>#N/A</v>
      </c>
      <c r="AW160" s="203" t="e">
        <f>VLOOKUP($A160,INICIO_BARRA!$A$6:$R$130,12,FALSE)</f>
        <v>#N/A</v>
      </c>
      <c r="AX160" s="203" t="str">
        <f>IFERROR(VLOOKUP($A160,REPOSICIONES_BARRA!$A$6:$I$130,7,FALSE),"")</f>
        <v/>
      </c>
      <c r="AY160" s="315" t="e">
        <f t="shared" si="173"/>
        <v>#N/A</v>
      </c>
      <c r="AZ160" s="316" t="e">
        <f t="shared" si="174"/>
        <v>#N/A</v>
      </c>
      <c r="BA160" s="317" t="str">
        <f>IFERROR(IFERROR(VLOOKUP($A160,VENTAS!$H$2:$O$201,6,FALSE),"")/$C160,"")</f>
        <v/>
      </c>
      <c r="BB160" s="111"/>
      <c r="BC160" s="203" t="e">
        <f>VLOOKUP($A160,INICIO_BARRA!$A$6:$R$130,13,FALSE)</f>
        <v>#N/A</v>
      </c>
      <c r="BD160" s="203" t="e">
        <f>VLOOKUP($A160,INICIO_BARRA!$A$6:$R$130,14,FALSE)</f>
        <v>#N/A</v>
      </c>
      <c r="BE160" s="11"/>
      <c r="BF160" s="94" t="str">
        <f>IFERROR(IFERROR(IF(BE160&gt;0,"",BE160*VLOOKUP($A160,'VALOR I.'!$B$6:$K$418,10,FALSE)),"")*$C160,"")</f>
        <v/>
      </c>
      <c r="BG160" s="203" t="e">
        <f>VLOOKUP($A160,INICIO_BARRA!$A$6:$R$130,13,FALSE)</f>
        <v>#N/A</v>
      </c>
      <c r="BH160" s="203" t="e">
        <f>VLOOKUP($A160,INICIO_BARRA!$A$6:$R$130,14,FALSE)</f>
        <v>#N/A</v>
      </c>
      <c r="BI160" s="203" t="str">
        <f>IFERROR(VLOOKUP($A160,REPOSICIONES_BARRA!$A$6:$I$130,8,FALSE),"")</f>
        <v/>
      </c>
      <c r="BJ160" s="315" t="e">
        <f t="shared" si="175"/>
        <v>#N/A</v>
      </c>
      <c r="BK160" s="316" t="e">
        <f t="shared" si="176"/>
        <v>#N/A</v>
      </c>
      <c r="BL160" s="317" t="str">
        <f>IFERROR(IFERROR(VLOOKUP($A160,VENTAS!$H$2:$O$201,7,FALSE),"")/$C160,"")</f>
        <v/>
      </c>
      <c r="BM160" s="111"/>
      <c r="BN160" s="203" t="e">
        <f>VLOOKUP($A160,INICIO_BARRA!$A$6:$R$130,15,FALSE)</f>
        <v>#N/A</v>
      </c>
      <c r="BO160" s="203" t="e">
        <f>VLOOKUP($A160,INICIO_BARRA!$A$6:$R$130,16,FALSE)</f>
        <v>#N/A</v>
      </c>
      <c r="BP160" s="11"/>
      <c r="BQ160" s="94" t="str">
        <f>IFERROR(IFERROR(IF(BP160&gt;0,"",BP160*VLOOKUP($A160,'VALOR I.'!$B$6:$K$418,10,FALSE)),"")*$C160,"")</f>
        <v/>
      </c>
      <c r="BR160" s="203" t="e">
        <f>VLOOKUP($A160,INICIO_BARRA!$A$6:$R$130,15,FALSE)</f>
        <v>#N/A</v>
      </c>
      <c r="BS160" s="203" t="e">
        <f>VLOOKUP($A160,INICIO_BARRA!$A$6:$R$130,16,FALSE)</f>
        <v>#N/A</v>
      </c>
      <c r="BT160" s="203" t="str">
        <f>IFERROR(VLOOKUP($A160,REPOSICIONES_BARRA!$A$6:$I$130,9,FALSE),"")</f>
        <v/>
      </c>
      <c r="BU160" s="315" t="e">
        <f t="shared" si="177"/>
        <v>#N/A</v>
      </c>
      <c r="BV160" s="316" t="e">
        <f t="shared" si="178"/>
        <v>#N/A</v>
      </c>
      <c r="BW160" s="317" t="str">
        <f>IFERROR(IFERROR(VLOOKUP($A160,VENTAS!$H$2:$O$201,8,FALSE),"")/$C160,"")</f>
        <v/>
      </c>
      <c r="BX160" s="111"/>
      <c r="BY160" s="203" t="e">
        <f>VLOOKUP($A160,INICIO_BARRA!$A$6:$R$130,17,FALSE)</f>
        <v>#N/A</v>
      </c>
      <c r="BZ160" s="203" t="e">
        <f>VLOOKUP($A160,INICIO_BARRA!$A$6:$R$130,18,FALSE)</f>
        <v>#N/A</v>
      </c>
      <c r="CA160" s="11"/>
      <c r="CB160" s="94" t="str">
        <f>IFERROR(IFERROR(IF(CA160&gt;0,"",CA160*VLOOKUP($A160,'VALOR I.'!$B$6:$K$418,10,FALSE)),"")*$C160,"")</f>
        <v/>
      </c>
    </row>
    <row r="161" spans="1:80" s="7" customFormat="1" ht="30" hidden="1" customHeight="1" x14ac:dyDescent="0.3">
      <c r="A161" s="3"/>
      <c r="B161" s="34"/>
      <c r="C161" s="136"/>
      <c r="D161" s="203" t="e">
        <f>VLOOKUP($A161,INICIO_BARRA!$A$6:$R$130,3,FALSE)</f>
        <v>#N/A</v>
      </c>
      <c r="E161" s="203" t="e">
        <f>VLOOKUP($A161,INICIO_BARRA!$A$6:$R$130,4,FALSE)</f>
        <v>#N/A</v>
      </c>
      <c r="F161" s="203" t="str">
        <f>IFERROR(VLOOKUP($A161,REPOSICIONES_BARRA!$A$6:$I$130,3,FALSE),"")</f>
        <v/>
      </c>
      <c r="G161" s="315" t="e">
        <f t="shared" si="179"/>
        <v>#N/A</v>
      </c>
      <c r="H161" s="316" t="e">
        <f t="shared" si="180"/>
        <v>#N/A</v>
      </c>
      <c r="I161" s="317" t="str">
        <f>IFERROR(IFERROR(VLOOKUP($A161,VENTAS!$H$2:$O$201,2,FALSE),"")/$C161,"")</f>
        <v/>
      </c>
      <c r="J161" s="111"/>
      <c r="K161" s="203" t="e">
        <f>VLOOKUP($A161,INICIO_BARRA!$A$6:$R$130,5,FALSE)</f>
        <v>#N/A</v>
      </c>
      <c r="L161" s="203" t="e">
        <f>VLOOKUP($A161,INICIO_BARRA!$A$6:$R$130,6,FALSE)</f>
        <v>#N/A</v>
      </c>
      <c r="M161" s="11"/>
      <c r="N161" s="204" t="str">
        <f>IFERROR(IFERROR(IF(M161&gt;0,"",M161*VLOOKUP($A161,'VALOR I.'!$B$6:$K$418,10,FALSE)),"")*$C161,"")</f>
        <v/>
      </c>
      <c r="O161" s="203" t="e">
        <f>VLOOKUP($A161,INICIO_BARRA!$A$6:$R$130,5,FALSE)</f>
        <v>#N/A</v>
      </c>
      <c r="P161" s="203" t="e">
        <f>VLOOKUP($A161,INICIO_BARRA!$A$6:$R$130,6,FALSE)</f>
        <v>#N/A</v>
      </c>
      <c r="Q161" s="203" t="str">
        <f>IFERROR(VLOOKUP($A161,REPOSICIONES_BARRA!$A$6:$I$130,4,FALSE),"")</f>
        <v/>
      </c>
      <c r="R161" s="315" t="e">
        <f t="shared" si="167"/>
        <v>#N/A</v>
      </c>
      <c r="S161" s="316" t="e">
        <f t="shared" si="168"/>
        <v>#N/A</v>
      </c>
      <c r="T161" s="317" t="str">
        <f>IFERROR(IFERROR(VLOOKUP($A161,VENTAS!$H$2:$O$201,3,FALSE),"")/$C161,"")</f>
        <v/>
      </c>
      <c r="U161" s="111"/>
      <c r="V161" s="203" t="e">
        <f>VLOOKUP($A161,INICIO_BARRA!$A$6:$R$130,7,FALSE)</f>
        <v>#N/A</v>
      </c>
      <c r="W161" s="203" t="e">
        <f>VLOOKUP($A161,INICIO_BARRA!$A$6:$R$130,8,FALSE)</f>
        <v>#N/A</v>
      </c>
      <c r="X161" s="11"/>
      <c r="Y161" s="204" t="str">
        <f>IFERROR(IFERROR(IF(X161&gt;0,"",X161*VLOOKUP($A161,'VALOR I.'!$B$6:$K$418,10,FALSE)),"")*$C161,"")</f>
        <v/>
      </c>
      <c r="Z161" s="203" t="e">
        <f>VLOOKUP($A161,INICIO_BARRA!$A$6:$R$130,7,FALSE)</f>
        <v>#N/A</v>
      </c>
      <c r="AA161" s="203" t="e">
        <f>VLOOKUP($A161,INICIO_BARRA!$A$6:$R$130,8,FALSE)</f>
        <v>#N/A</v>
      </c>
      <c r="AB161" s="203" t="str">
        <f>IFERROR(VLOOKUP($A161,REPOSICIONES_BARRA!$A$6:$I$130,5,FALSE),"")</f>
        <v/>
      </c>
      <c r="AC161" s="315" t="e">
        <f t="shared" si="169"/>
        <v>#N/A</v>
      </c>
      <c r="AD161" s="316" t="e">
        <f t="shared" si="170"/>
        <v>#N/A</v>
      </c>
      <c r="AE161" s="317" t="str">
        <f>IFERROR(IFERROR(VLOOKUP($A161,VENTAS!$H$2:$O$201,4,FALSE),"")/$C161,"")</f>
        <v/>
      </c>
      <c r="AF161" s="111"/>
      <c r="AG161" s="203" t="e">
        <f>VLOOKUP($A161,INICIO_BARRA!$A$6:$R$130,9,FALSE)</f>
        <v>#N/A</v>
      </c>
      <c r="AH161" s="203" t="e">
        <f>VLOOKUP($A161,INICIO_BARRA!$A$6:$R$130,10,FALSE)</f>
        <v>#N/A</v>
      </c>
      <c r="AI161" s="11"/>
      <c r="AJ161" s="94" t="str">
        <f>IFERROR(IFERROR(IF(AI161&gt;0,"",AI161*VLOOKUP($A161,'VALOR I.'!$B$6:$K$418,10,FALSE)),"")*$C161,"")</f>
        <v/>
      </c>
      <c r="AK161" s="203" t="e">
        <f>VLOOKUP($A161,INICIO_BARRA!$A$6:$R$130,9,FALSE)</f>
        <v>#N/A</v>
      </c>
      <c r="AL161" s="203" t="e">
        <f>VLOOKUP($A161,INICIO_BARRA!$A$6:$R$130,10,FALSE)</f>
        <v>#N/A</v>
      </c>
      <c r="AM161" s="203" t="str">
        <f>IFERROR(VLOOKUP($A161,REPOSICIONES_BARRA!$A$6:$I$130,6,FALSE),"")</f>
        <v/>
      </c>
      <c r="AN161" s="315" t="e">
        <f t="shared" si="171"/>
        <v>#N/A</v>
      </c>
      <c r="AO161" s="316" t="e">
        <f t="shared" si="172"/>
        <v>#N/A</v>
      </c>
      <c r="AP161" s="317" t="str">
        <f>IFERROR(IFERROR(VLOOKUP($A161,VENTAS!$H$2:$O$201,5,FALSE),"")/$C161,"")</f>
        <v/>
      </c>
      <c r="AQ161" s="111"/>
      <c r="AR161" s="203" t="e">
        <f>VLOOKUP($A161,INICIO_BARRA!$A$6:$R$130,11,FALSE)</f>
        <v>#N/A</v>
      </c>
      <c r="AS161" s="203" t="e">
        <f>VLOOKUP($A161,INICIO_BARRA!$A$6:$R$130,12,FALSE)</f>
        <v>#N/A</v>
      </c>
      <c r="AT161" s="11"/>
      <c r="AU161" s="94" t="str">
        <f>IFERROR(IFERROR(IF(AT161&gt;0,"",AT161*VLOOKUP($A161,'VALOR I.'!$B$6:$K$418,10,FALSE)),"")*$C161,"")</f>
        <v/>
      </c>
      <c r="AV161" s="203" t="e">
        <f>VLOOKUP($A161,INICIO_BARRA!$A$6:$R$130,11,FALSE)</f>
        <v>#N/A</v>
      </c>
      <c r="AW161" s="203" t="e">
        <f>VLOOKUP($A161,INICIO_BARRA!$A$6:$R$130,12,FALSE)</f>
        <v>#N/A</v>
      </c>
      <c r="AX161" s="203" t="str">
        <f>IFERROR(VLOOKUP($A161,REPOSICIONES_BARRA!$A$6:$I$130,7,FALSE),"")</f>
        <v/>
      </c>
      <c r="AY161" s="315" t="e">
        <f t="shared" si="173"/>
        <v>#N/A</v>
      </c>
      <c r="AZ161" s="316" t="e">
        <f t="shared" si="174"/>
        <v>#N/A</v>
      </c>
      <c r="BA161" s="317" t="str">
        <f>IFERROR(IFERROR(VLOOKUP($A161,VENTAS!$H$2:$O$201,6,FALSE),"")/$C161,"")</f>
        <v/>
      </c>
      <c r="BB161" s="111"/>
      <c r="BC161" s="203" t="e">
        <f>VLOOKUP($A161,INICIO_BARRA!$A$6:$R$130,13,FALSE)</f>
        <v>#N/A</v>
      </c>
      <c r="BD161" s="203" t="e">
        <f>VLOOKUP($A161,INICIO_BARRA!$A$6:$R$130,14,FALSE)</f>
        <v>#N/A</v>
      </c>
      <c r="BE161" s="11"/>
      <c r="BF161" s="94" t="str">
        <f>IFERROR(IFERROR(IF(BE161&gt;0,"",BE161*VLOOKUP($A161,'VALOR I.'!$B$6:$K$418,10,FALSE)),"")*$C161,"")</f>
        <v/>
      </c>
      <c r="BG161" s="203" t="e">
        <f>VLOOKUP($A161,INICIO_BARRA!$A$6:$R$130,13,FALSE)</f>
        <v>#N/A</v>
      </c>
      <c r="BH161" s="203" t="e">
        <f>VLOOKUP($A161,INICIO_BARRA!$A$6:$R$130,14,FALSE)</f>
        <v>#N/A</v>
      </c>
      <c r="BI161" s="203" t="str">
        <f>IFERROR(VLOOKUP($A161,REPOSICIONES_BARRA!$A$6:$I$130,8,FALSE),"")</f>
        <v/>
      </c>
      <c r="BJ161" s="315" t="e">
        <f t="shared" si="175"/>
        <v>#N/A</v>
      </c>
      <c r="BK161" s="316" t="e">
        <f t="shared" si="176"/>
        <v>#N/A</v>
      </c>
      <c r="BL161" s="317" t="str">
        <f>IFERROR(IFERROR(VLOOKUP($A161,VENTAS!$H$2:$O$201,7,FALSE),"")/$C161,"")</f>
        <v/>
      </c>
      <c r="BM161" s="111"/>
      <c r="BN161" s="203" t="e">
        <f>VLOOKUP($A161,INICIO_BARRA!$A$6:$R$130,15,FALSE)</f>
        <v>#N/A</v>
      </c>
      <c r="BO161" s="203" t="e">
        <f>VLOOKUP($A161,INICIO_BARRA!$A$6:$R$130,16,FALSE)</f>
        <v>#N/A</v>
      </c>
      <c r="BP161" s="11"/>
      <c r="BQ161" s="94" t="str">
        <f>IFERROR(IFERROR(IF(BP161&gt;0,"",BP161*VLOOKUP($A161,'VALOR I.'!$B$6:$K$418,10,FALSE)),"")*$C161,"")</f>
        <v/>
      </c>
      <c r="BR161" s="203" t="e">
        <f>VLOOKUP($A161,INICIO_BARRA!$A$6:$R$130,15,FALSE)</f>
        <v>#N/A</v>
      </c>
      <c r="BS161" s="203" t="e">
        <f>VLOOKUP($A161,INICIO_BARRA!$A$6:$R$130,16,FALSE)</f>
        <v>#N/A</v>
      </c>
      <c r="BT161" s="203" t="str">
        <f>IFERROR(VLOOKUP($A161,REPOSICIONES_BARRA!$A$6:$I$130,9,FALSE),"")</f>
        <v/>
      </c>
      <c r="BU161" s="315" t="e">
        <f t="shared" si="177"/>
        <v>#N/A</v>
      </c>
      <c r="BV161" s="316" t="e">
        <f t="shared" si="178"/>
        <v>#N/A</v>
      </c>
      <c r="BW161" s="317" t="str">
        <f>IFERROR(IFERROR(VLOOKUP($A161,VENTAS!$H$2:$O$201,8,FALSE),"")/$C161,"")</f>
        <v/>
      </c>
      <c r="BX161" s="111"/>
      <c r="BY161" s="203" t="e">
        <f>VLOOKUP($A161,INICIO_BARRA!$A$6:$R$130,17,FALSE)</f>
        <v>#N/A</v>
      </c>
      <c r="BZ161" s="203" t="e">
        <f>VLOOKUP($A161,INICIO_BARRA!$A$6:$R$130,18,FALSE)</f>
        <v>#N/A</v>
      </c>
      <c r="CA161" s="11"/>
      <c r="CB161" s="94" t="str">
        <f>IFERROR(IFERROR(IF(CA161&gt;0,"",CA161*VLOOKUP($A161,'VALOR I.'!$B$6:$K$418,10,FALSE)),"")*$C161,"")</f>
        <v/>
      </c>
    </row>
    <row r="162" spans="1:80" s="7" customFormat="1" ht="30" hidden="1" customHeight="1" x14ac:dyDescent="0.3">
      <c r="A162" s="3"/>
      <c r="B162" s="44"/>
      <c r="C162" s="151"/>
      <c r="D162" s="203" t="e">
        <f>VLOOKUP($A162,INICIO_BARRA!$A$6:$R$130,3,FALSE)</f>
        <v>#N/A</v>
      </c>
      <c r="E162" s="203" t="e">
        <f>VLOOKUP($A162,INICIO_BARRA!$A$6:$R$130,4,FALSE)</f>
        <v>#N/A</v>
      </c>
      <c r="F162" s="203" t="str">
        <f>IFERROR(VLOOKUP($A162,REPOSICIONES_BARRA!$A$6:$I$130,3,FALSE),"")</f>
        <v/>
      </c>
      <c r="G162" s="315" t="e">
        <f t="shared" si="179"/>
        <v>#N/A</v>
      </c>
      <c r="H162" s="316" t="e">
        <f t="shared" si="180"/>
        <v>#N/A</v>
      </c>
      <c r="I162" s="317" t="str">
        <f>IFERROR(IFERROR(VLOOKUP($A162,VENTAS!$H$2:$O$201,2,FALSE),"")/$C162,"")</f>
        <v/>
      </c>
      <c r="J162" s="111"/>
      <c r="K162" s="203" t="e">
        <f>VLOOKUP($A162,INICIO_BARRA!$A$6:$R$130,5,FALSE)</f>
        <v>#N/A</v>
      </c>
      <c r="L162" s="203" t="e">
        <f>VLOOKUP($A162,INICIO_BARRA!$A$6:$R$130,6,FALSE)</f>
        <v>#N/A</v>
      </c>
      <c r="M162" s="11"/>
      <c r="N162" s="204" t="str">
        <f>IFERROR(IFERROR(IF(M162&gt;0,"",M162*VLOOKUP($A162,'VALOR I.'!$B$6:$K$418,10,FALSE)),"")*$C162,"")</f>
        <v/>
      </c>
      <c r="O162" s="203" t="e">
        <f>VLOOKUP($A162,INICIO_BARRA!$A$6:$R$130,5,FALSE)</f>
        <v>#N/A</v>
      </c>
      <c r="P162" s="203" t="e">
        <f>VLOOKUP($A162,INICIO_BARRA!$A$6:$R$130,6,FALSE)</f>
        <v>#N/A</v>
      </c>
      <c r="Q162" s="203" t="str">
        <f>IFERROR(VLOOKUP($A162,REPOSICIONES_BARRA!$A$6:$I$130,4,FALSE),"")</f>
        <v/>
      </c>
      <c r="R162" s="315" t="e">
        <f t="shared" si="167"/>
        <v>#N/A</v>
      </c>
      <c r="S162" s="316" t="e">
        <f t="shared" si="168"/>
        <v>#N/A</v>
      </c>
      <c r="T162" s="317" t="str">
        <f>IFERROR(IFERROR(VLOOKUP($A162,VENTAS!$H$2:$O$201,3,FALSE),"")/$C162,"")</f>
        <v/>
      </c>
      <c r="U162" s="111"/>
      <c r="V162" s="203" t="e">
        <f>VLOOKUP($A162,INICIO_BARRA!$A$6:$R$130,7,FALSE)</f>
        <v>#N/A</v>
      </c>
      <c r="W162" s="203" t="e">
        <f>VLOOKUP($A162,INICIO_BARRA!$A$6:$R$130,8,FALSE)</f>
        <v>#N/A</v>
      </c>
      <c r="X162" s="11"/>
      <c r="Y162" s="204" t="str">
        <f>IFERROR(IFERROR(IF(X162&gt;0,"",X162*VLOOKUP($A162,'VALOR I.'!$B$6:$K$418,10,FALSE)),"")*$C162,"")</f>
        <v/>
      </c>
      <c r="Z162" s="203" t="e">
        <f>VLOOKUP($A162,INICIO_BARRA!$A$6:$R$130,7,FALSE)</f>
        <v>#N/A</v>
      </c>
      <c r="AA162" s="203" t="e">
        <f>VLOOKUP($A162,INICIO_BARRA!$A$6:$R$130,8,FALSE)</f>
        <v>#N/A</v>
      </c>
      <c r="AB162" s="203" t="str">
        <f>IFERROR(VLOOKUP($A162,REPOSICIONES_BARRA!$A$6:$I$130,5,FALSE),"")</f>
        <v/>
      </c>
      <c r="AC162" s="315" t="e">
        <f t="shared" si="169"/>
        <v>#N/A</v>
      </c>
      <c r="AD162" s="316" t="e">
        <f t="shared" si="170"/>
        <v>#N/A</v>
      </c>
      <c r="AE162" s="317" t="str">
        <f>IFERROR(IFERROR(VLOOKUP($A162,VENTAS!$H$2:$O$201,4,FALSE),"")/$C162,"")</f>
        <v/>
      </c>
      <c r="AF162" s="111"/>
      <c r="AG162" s="203" t="e">
        <f>VLOOKUP($A162,INICIO_BARRA!$A$6:$R$130,9,FALSE)</f>
        <v>#N/A</v>
      </c>
      <c r="AH162" s="203" t="e">
        <f>VLOOKUP($A162,INICIO_BARRA!$A$6:$R$130,10,FALSE)</f>
        <v>#N/A</v>
      </c>
      <c r="AI162" s="11"/>
      <c r="AJ162" s="94" t="str">
        <f>IFERROR(IFERROR(IF(AI162&gt;0,"",AI162*VLOOKUP($A162,'VALOR I.'!$B$6:$K$418,10,FALSE)),"")*$C162,"")</f>
        <v/>
      </c>
      <c r="AK162" s="203" t="e">
        <f>VLOOKUP($A162,INICIO_BARRA!$A$6:$R$130,9,FALSE)</f>
        <v>#N/A</v>
      </c>
      <c r="AL162" s="203" t="e">
        <f>VLOOKUP($A162,INICIO_BARRA!$A$6:$R$130,10,FALSE)</f>
        <v>#N/A</v>
      </c>
      <c r="AM162" s="203" t="str">
        <f>IFERROR(VLOOKUP($A162,REPOSICIONES_BARRA!$A$6:$I$130,6,FALSE),"")</f>
        <v/>
      </c>
      <c r="AN162" s="315" t="e">
        <f t="shared" si="171"/>
        <v>#N/A</v>
      </c>
      <c r="AO162" s="316" t="e">
        <f t="shared" si="172"/>
        <v>#N/A</v>
      </c>
      <c r="AP162" s="317" t="str">
        <f>IFERROR(IFERROR(VLOOKUP($A162,VENTAS!$H$2:$O$201,5,FALSE),"")/$C162,"")</f>
        <v/>
      </c>
      <c r="AQ162" s="111"/>
      <c r="AR162" s="203" t="e">
        <f>VLOOKUP($A162,INICIO_BARRA!$A$6:$R$130,11,FALSE)</f>
        <v>#N/A</v>
      </c>
      <c r="AS162" s="203" t="e">
        <f>VLOOKUP($A162,INICIO_BARRA!$A$6:$R$130,12,FALSE)</f>
        <v>#N/A</v>
      </c>
      <c r="AT162" s="11"/>
      <c r="AU162" s="94" t="str">
        <f>IFERROR(IFERROR(IF(AT162&gt;0,"",AT162*VLOOKUP($A162,'VALOR I.'!$B$6:$K$418,10,FALSE)),"")*$C162,"")</f>
        <v/>
      </c>
      <c r="AV162" s="203" t="e">
        <f>VLOOKUP($A162,INICIO_BARRA!$A$6:$R$130,11,FALSE)</f>
        <v>#N/A</v>
      </c>
      <c r="AW162" s="203" t="e">
        <f>VLOOKUP($A162,INICIO_BARRA!$A$6:$R$130,12,FALSE)</f>
        <v>#N/A</v>
      </c>
      <c r="AX162" s="203" t="str">
        <f>IFERROR(VLOOKUP($A162,REPOSICIONES_BARRA!$A$6:$I$130,7,FALSE),"")</f>
        <v/>
      </c>
      <c r="AY162" s="315" t="e">
        <f t="shared" si="173"/>
        <v>#N/A</v>
      </c>
      <c r="AZ162" s="316" t="e">
        <f t="shared" si="174"/>
        <v>#N/A</v>
      </c>
      <c r="BA162" s="317" t="str">
        <f>IFERROR(IFERROR(VLOOKUP($A162,VENTAS!$H$2:$O$201,6,FALSE),"")/$C162,"")</f>
        <v/>
      </c>
      <c r="BB162" s="111"/>
      <c r="BC162" s="203" t="e">
        <f>VLOOKUP($A162,INICIO_BARRA!$A$6:$R$130,13,FALSE)</f>
        <v>#N/A</v>
      </c>
      <c r="BD162" s="203" t="e">
        <f>VLOOKUP($A162,INICIO_BARRA!$A$6:$R$130,14,FALSE)</f>
        <v>#N/A</v>
      </c>
      <c r="BE162" s="11"/>
      <c r="BF162" s="94" t="str">
        <f>IFERROR(IFERROR(IF(BE162&gt;0,"",BE162*VLOOKUP($A162,'VALOR I.'!$B$6:$K$418,10,FALSE)),"")*$C162,"")</f>
        <v/>
      </c>
      <c r="BG162" s="203" t="e">
        <f>VLOOKUP($A162,INICIO_BARRA!$A$6:$R$130,13,FALSE)</f>
        <v>#N/A</v>
      </c>
      <c r="BH162" s="203" t="e">
        <f>VLOOKUP($A162,INICIO_BARRA!$A$6:$R$130,14,FALSE)</f>
        <v>#N/A</v>
      </c>
      <c r="BI162" s="203" t="str">
        <f>IFERROR(VLOOKUP($A162,REPOSICIONES_BARRA!$A$6:$I$130,8,FALSE),"")</f>
        <v/>
      </c>
      <c r="BJ162" s="315" t="e">
        <f t="shared" si="175"/>
        <v>#N/A</v>
      </c>
      <c r="BK162" s="316" t="e">
        <f t="shared" si="176"/>
        <v>#N/A</v>
      </c>
      <c r="BL162" s="317" t="str">
        <f>IFERROR(IFERROR(VLOOKUP($A162,VENTAS!$H$2:$O$201,7,FALSE),"")/$C162,"")</f>
        <v/>
      </c>
      <c r="BM162" s="111"/>
      <c r="BN162" s="203" t="e">
        <f>VLOOKUP($A162,INICIO_BARRA!$A$6:$R$130,15,FALSE)</f>
        <v>#N/A</v>
      </c>
      <c r="BO162" s="203" t="e">
        <f>VLOOKUP($A162,INICIO_BARRA!$A$6:$R$130,16,FALSE)</f>
        <v>#N/A</v>
      </c>
      <c r="BP162" s="11"/>
      <c r="BQ162" s="94" t="str">
        <f>IFERROR(IFERROR(IF(BP162&gt;0,"",BP162*VLOOKUP($A162,'VALOR I.'!$B$6:$K$418,10,FALSE)),"")*$C162,"")</f>
        <v/>
      </c>
      <c r="BR162" s="203" t="e">
        <f>VLOOKUP($A162,INICIO_BARRA!$A$6:$R$130,15,FALSE)</f>
        <v>#N/A</v>
      </c>
      <c r="BS162" s="203" t="e">
        <f>VLOOKUP($A162,INICIO_BARRA!$A$6:$R$130,16,FALSE)</f>
        <v>#N/A</v>
      </c>
      <c r="BT162" s="203" t="str">
        <f>IFERROR(VLOOKUP($A162,REPOSICIONES_BARRA!$A$6:$I$130,9,FALSE),"")</f>
        <v/>
      </c>
      <c r="BU162" s="315" t="e">
        <f t="shared" si="177"/>
        <v>#N/A</v>
      </c>
      <c r="BV162" s="316" t="e">
        <f t="shared" si="178"/>
        <v>#N/A</v>
      </c>
      <c r="BW162" s="317" t="str">
        <f>IFERROR(IFERROR(VLOOKUP($A162,VENTAS!$H$2:$O$201,8,FALSE),"")/$C162,"")</f>
        <v/>
      </c>
      <c r="BX162" s="111"/>
      <c r="BY162" s="203" t="e">
        <f>VLOOKUP($A162,INICIO_BARRA!$A$6:$R$130,17,FALSE)</f>
        <v>#N/A</v>
      </c>
      <c r="BZ162" s="203" t="e">
        <f>VLOOKUP($A162,INICIO_BARRA!$A$6:$R$130,18,FALSE)</f>
        <v>#N/A</v>
      </c>
      <c r="CA162" s="11"/>
      <c r="CB162" s="94" t="str">
        <f>IFERROR(IFERROR(IF(CA162&gt;0,"",CA162*VLOOKUP($A162,'VALOR I.'!$B$6:$K$418,10,FALSE)),"")*$C162,"")</f>
        <v/>
      </c>
    </row>
    <row r="163" spans="1:80" s="7" customFormat="1" ht="30" hidden="1" customHeight="1" x14ac:dyDescent="0.3">
      <c r="A163" s="3"/>
      <c r="B163" s="34"/>
      <c r="C163" s="136"/>
      <c r="D163" s="203" t="e">
        <f>VLOOKUP($A163,INICIO_BARRA!$A$6:$R$130,3,FALSE)</f>
        <v>#N/A</v>
      </c>
      <c r="E163" s="203" t="e">
        <f>VLOOKUP($A163,INICIO_BARRA!$A$6:$R$130,4,FALSE)</f>
        <v>#N/A</v>
      </c>
      <c r="F163" s="203" t="str">
        <f>IFERROR(VLOOKUP($A163,REPOSICIONES_BARRA!$A$6:$I$130,3,FALSE),"")</f>
        <v/>
      </c>
      <c r="G163" s="315" t="e">
        <f t="shared" si="179"/>
        <v>#N/A</v>
      </c>
      <c r="H163" s="316" t="e">
        <f t="shared" si="180"/>
        <v>#N/A</v>
      </c>
      <c r="I163" s="317" t="str">
        <f>IFERROR(IFERROR(VLOOKUP($A163,VENTAS!$H$2:$O$201,2,FALSE),"")/$C163,"")</f>
        <v/>
      </c>
      <c r="J163" s="111"/>
      <c r="K163" s="203" t="e">
        <f>VLOOKUP($A163,INICIO_BARRA!$A$6:$R$130,5,FALSE)</f>
        <v>#N/A</v>
      </c>
      <c r="L163" s="203" t="e">
        <f>VLOOKUP($A163,INICIO_BARRA!$A$6:$R$130,6,FALSE)</f>
        <v>#N/A</v>
      </c>
      <c r="M163" s="11"/>
      <c r="N163" s="204" t="str">
        <f>IFERROR(IFERROR(IF(M163&gt;0,"",M163*VLOOKUP($A163,'VALOR I.'!$B$6:$K$418,10,FALSE)),"")*$C163,"")</f>
        <v/>
      </c>
      <c r="O163" s="203" t="e">
        <f>VLOOKUP($A163,INICIO_BARRA!$A$6:$R$130,5,FALSE)</f>
        <v>#N/A</v>
      </c>
      <c r="P163" s="203" t="e">
        <f>VLOOKUP($A163,INICIO_BARRA!$A$6:$R$130,6,FALSE)</f>
        <v>#N/A</v>
      </c>
      <c r="Q163" s="203" t="str">
        <f>IFERROR(VLOOKUP($A163,REPOSICIONES_BARRA!$A$6:$I$130,4,FALSE),"")</f>
        <v/>
      </c>
      <c r="R163" s="315" t="e">
        <f t="shared" si="167"/>
        <v>#N/A</v>
      </c>
      <c r="S163" s="316" t="e">
        <f t="shared" si="168"/>
        <v>#N/A</v>
      </c>
      <c r="T163" s="317" t="str">
        <f>IFERROR(IFERROR(VLOOKUP($A163,VENTAS!$H$2:$O$201,3,FALSE),"")/$C163,"")</f>
        <v/>
      </c>
      <c r="U163" s="111"/>
      <c r="V163" s="203" t="e">
        <f>VLOOKUP($A163,INICIO_BARRA!$A$6:$R$130,7,FALSE)</f>
        <v>#N/A</v>
      </c>
      <c r="W163" s="203" t="e">
        <f>VLOOKUP($A163,INICIO_BARRA!$A$6:$R$130,8,FALSE)</f>
        <v>#N/A</v>
      </c>
      <c r="X163" s="11"/>
      <c r="Y163" s="204" t="str">
        <f>IFERROR(IFERROR(IF(X163&gt;0,"",X163*VLOOKUP($A163,'VALOR I.'!$B$6:$K$418,10,FALSE)),"")*$C163,"")</f>
        <v/>
      </c>
      <c r="Z163" s="203" t="e">
        <f>VLOOKUP($A163,INICIO_BARRA!$A$6:$R$130,7,FALSE)</f>
        <v>#N/A</v>
      </c>
      <c r="AA163" s="203" t="e">
        <f>VLOOKUP($A163,INICIO_BARRA!$A$6:$R$130,8,FALSE)</f>
        <v>#N/A</v>
      </c>
      <c r="AB163" s="203" t="str">
        <f>IFERROR(VLOOKUP($A163,REPOSICIONES_BARRA!$A$6:$I$130,5,FALSE),"")</f>
        <v/>
      </c>
      <c r="AC163" s="315" t="e">
        <f t="shared" si="169"/>
        <v>#N/A</v>
      </c>
      <c r="AD163" s="316" t="e">
        <f t="shared" si="170"/>
        <v>#N/A</v>
      </c>
      <c r="AE163" s="317" t="str">
        <f>IFERROR(IFERROR(VLOOKUP($A163,VENTAS!$H$2:$O$201,4,FALSE),"")/$C163,"")</f>
        <v/>
      </c>
      <c r="AF163" s="111"/>
      <c r="AG163" s="203" t="e">
        <f>VLOOKUP($A163,INICIO_BARRA!$A$6:$R$130,9,FALSE)</f>
        <v>#N/A</v>
      </c>
      <c r="AH163" s="203" t="e">
        <f>VLOOKUP($A163,INICIO_BARRA!$A$6:$R$130,10,FALSE)</f>
        <v>#N/A</v>
      </c>
      <c r="AI163" s="11"/>
      <c r="AJ163" s="94" t="str">
        <f>IFERROR(IFERROR(IF(AI163&gt;0,"",AI163*VLOOKUP($A163,'VALOR I.'!$B$6:$K$418,10,FALSE)),"")*$C163,"")</f>
        <v/>
      </c>
      <c r="AK163" s="203" t="e">
        <f>VLOOKUP($A163,INICIO_BARRA!$A$6:$R$130,9,FALSE)</f>
        <v>#N/A</v>
      </c>
      <c r="AL163" s="203" t="e">
        <f>VLOOKUP($A163,INICIO_BARRA!$A$6:$R$130,10,FALSE)</f>
        <v>#N/A</v>
      </c>
      <c r="AM163" s="203" t="str">
        <f>IFERROR(VLOOKUP($A163,REPOSICIONES_BARRA!$A$6:$I$130,6,FALSE),"")</f>
        <v/>
      </c>
      <c r="AN163" s="315" t="e">
        <f t="shared" si="171"/>
        <v>#N/A</v>
      </c>
      <c r="AO163" s="316" t="e">
        <f t="shared" si="172"/>
        <v>#N/A</v>
      </c>
      <c r="AP163" s="317" t="str">
        <f>IFERROR(IFERROR(VLOOKUP($A163,VENTAS!$H$2:$O$201,5,FALSE),"")/$C163,"")</f>
        <v/>
      </c>
      <c r="AQ163" s="111"/>
      <c r="AR163" s="203" t="e">
        <f>VLOOKUP($A163,INICIO_BARRA!$A$6:$R$130,11,FALSE)</f>
        <v>#N/A</v>
      </c>
      <c r="AS163" s="203" t="e">
        <f>VLOOKUP($A163,INICIO_BARRA!$A$6:$R$130,12,FALSE)</f>
        <v>#N/A</v>
      </c>
      <c r="AT163" s="11"/>
      <c r="AU163" s="94" t="str">
        <f>IFERROR(IFERROR(IF(AT163&gt;0,"",AT163*VLOOKUP($A163,'VALOR I.'!$B$6:$K$418,10,FALSE)),"")*$C163,"")</f>
        <v/>
      </c>
      <c r="AV163" s="203" t="e">
        <f>VLOOKUP($A163,INICIO_BARRA!$A$6:$R$130,11,FALSE)</f>
        <v>#N/A</v>
      </c>
      <c r="AW163" s="203" t="e">
        <f>VLOOKUP($A163,INICIO_BARRA!$A$6:$R$130,12,FALSE)</f>
        <v>#N/A</v>
      </c>
      <c r="AX163" s="203" t="str">
        <f>IFERROR(VLOOKUP($A163,REPOSICIONES_BARRA!$A$6:$I$130,7,FALSE),"")</f>
        <v/>
      </c>
      <c r="AY163" s="315" t="e">
        <f t="shared" si="173"/>
        <v>#N/A</v>
      </c>
      <c r="AZ163" s="316" t="e">
        <f t="shared" si="174"/>
        <v>#N/A</v>
      </c>
      <c r="BA163" s="317" t="str">
        <f>IFERROR(IFERROR(VLOOKUP($A163,VENTAS!$H$2:$O$201,6,FALSE),"")/$C163,"")</f>
        <v/>
      </c>
      <c r="BB163" s="111"/>
      <c r="BC163" s="203" t="e">
        <f>VLOOKUP($A163,INICIO_BARRA!$A$6:$R$130,13,FALSE)</f>
        <v>#N/A</v>
      </c>
      <c r="BD163" s="203" t="e">
        <f>VLOOKUP($A163,INICIO_BARRA!$A$6:$R$130,14,FALSE)</f>
        <v>#N/A</v>
      </c>
      <c r="BE163" s="11"/>
      <c r="BF163" s="94" t="str">
        <f>IFERROR(IFERROR(IF(BE163&gt;0,"",BE163*VLOOKUP($A163,'VALOR I.'!$B$6:$K$418,10,FALSE)),"")*$C163,"")</f>
        <v/>
      </c>
      <c r="BG163" s="203" t="e">
        <f>VLOOKUP($A163,INICIO_BARRA!$A$6:$R$130,13,FALSE)</f>
        <v>#N/A</v>
      </c>
      <c r="BH163" s="203" t="e">
        <f>VLOOKUP($A163,INICIO_BARRA!$A$6:$R$130,14,FALSE)</f>
        <v>#N/A</v>
      </c>
      <c r="BI163" s="203" t="str">
        <f>IFERROR(VLOOKUP($A163,REPOSICIONES_BARRA!$A$6:$I$130,8,FALSE),"")</f>
        <v/>
      </c>
      <c r="BJ163" s="315" t="e">
        <f t="shared" si="175"/>
        <v>#N/A</v>
      </c>
      <c r="BK163" s="316" t="e">
        <f t="shared" si="176"/>
        <v>#N/A</v>
      </c>
      <c r="BL163" s="317" t="str">
        <f>IFERROR(IFERROR(VLOOKUP($A163,VENTAS!$H$2:$O$201,7,FALSE),"")/$C163,"")</f>
        <v/>
      </c>
      <c r="BM163" s="111"/>
      <c r="BN163" s="203" t="e">
        <f>VLOOKUP($A163,INICIO_BARRA!$A$6:$R$130,15,FALSE)</f>
        <v>#N/A</v>
      </c>
      <c r="BO163" s="203" t="e">
        <f>VLOOKUP($A163,INICIO_BARRA!$A$6:$R$130,16,FALSE)</f>
        <v>#N/A</v>
      </c>
      <c r="BP163" s="11"/>
      <c r="BQ163" s="94" t="str">
        <f>IFERROR(IFERROR(IF(BP163&gt;0,"",BP163*VLOOKUP($A163,'VALOR I.'!$B$6:$K$418,10,FALSE)),"")*$C163,"")</f>
        <v/>
      </c>
      <c r="BR163" s="203" t="e">
        <f>VLOOKUP($A163,INICIO_BARRA!$A$6:$R$130,15,FALSE)</f>
        <v>#N/A</v>
      </c>
      <c r="BS163" s="203" t="e">
        <f>VLOOKUP($A163,INICIO_BARRA!$A$6:$R$130,16,FALSE)</f>
        <v>#N/A</v>
      </c>
      <c r="BT163" s="203" t="str">
        <f>IFERROR(VLOOKUP($A163,REPOSICIONES_BARRA!$A$6:$I$130,9,FALSE),"")</f>
        <v/>
      </c>
      <c r="BU163" s="315" t="e">
        <f t="shared" si="177"/>
        <v>#N/A</v>
      </c>
      <c r="BV163" s="316" t="e">
        <f t="shared" si="178"/>
        <v>#N/A</v>
      </c>
      <c r="BW163" s="317" t="str">
        <f>IFERROR(IFERROR(VLOOKUP($A163,VENTAS!$H$2:$O$201,8,FALSE),"")/$C163,"")</f>
        <v/>
      </c>
      <c r="BX163" s="111"/>
      <c r="BY163" s="203" t="e">
        <f>VLOOKUP($A163,INICIO_BARRA!$A$6:$R$130,17,FALSE)</f>
        <v>#N/A</v>
      </c>
      <c r="BZ163" s="203" t="e">
        <f>VLOOKUP($A163,INICIO_BARRA!$A$6:$R$130,18,FALSE)</f>
        <v>#N/A</v>
      </c>
      <c r="CA163" s="11"/>
      <c r="CB163" s="94" t="str">
        <f>IFERROR(IFERROR(IF(CA163&gt;0,"",CA163*VLOOKUP($A163,'VALOR I.'!$B$6:$K$418,10,FALSE)),"")*$C163,"")</f>
        <v/>
      </c>
    </row>
    <row r="164" spans="1:80" s="7" customFormat="1" ht="30" hidden="1" customHeight="1" x14ac:dyDescent="0.3">
      <c r="A164" s="3"/>
      <c r="B164" s="34"/>
      <c r="C164" s="136"/>
      <c r="D164" s="203" t="e">
        <f>VLOOKUP($A164,INICIO_BARRA!$A$6:$R$130,3,FALSE)</f>
        <v>#N/A</v>
      </c>
      <c r="E164" s="203" t="e">
        <f>VLOOKUP($A164,INICIO_BARRA!$A$6:$R$130,4,FALSE)</f>
        <v>#N/A</v>
      </c>
      <c r="F164" s="203" t="str">
        <f>IFERROR(VLOOKUP($A164,REPOSICIONES_BARRA!$A$6:$I$130,3,FALSE),"")</f>
        <v/>
      </c>
      <c r="G164" s="315" t="e">
        <f t="shared" si="179"/>
        <v>#N/A</v>
      </c>
      <c r="H164" s="316" t="e">
        <f t="shared" si="180"/>
        <v>#N/A</v>
      </c>
      <c r="I164" s="317" t="str">
        <f>IFERROR(IFERROR(VLOOKUP($A164,VENTAS!$H$2:$O$201,2,FALSE),"")/$C164,"")</f>
        <v/>
      </c>
      <c r="J164" s="111"/>
      <c r="K164" s="203" t="e">
        <f>VLOOKUP($A164,INICIO_BARRA!$A$6:$R$130,5,FALSE)</f>
        <v>#N/A</v>
      </c>
      <c r="L164" s="203" t="e">
        <f>VLOOKUP($A164,INICIO_BARRA!$A$6:$R$130,6,FALSE)</f>
        <v>#N/A</v>
      </c>
      <c r="M164" s="11"/>
      <c r="N164" s="204" t="str">
        <f>IFERROR(IFERROR(IF(M164&gt;0,"",M164*VLOOKUP($A164,'VALOR I.'!$B$6:$K$418,10,FALSE)),"")*$C164,"")</f>
        <v/>
      </c>
      <c r="O164" s="203" t="e">
        <f>VLOOKUP($A164,INICIO_BARRA!$A$6:$R$130,5,FALSE)</f>
        <v>#N/A</v>
      </c>
      <c r="P164" s="203" t="e">
        <f>VLOOKUP($A164,INICIO_BARRA!$A$6:$R$130,6,FALSE)</f>
        <v>#N/A</v>
      </c>
      <c r="Q164" s="203" t="str">
        <f>IFERROR(VLOOKUP($A164,REPOSICIONES_BARRA!$A$6:$I$130,4,FALSE),"")</f>
        <v/>
      </c>
      <c r="R164" s="315" t="e">
        <f t="shared" si="167"/>
        <v>#N/A</v>
      </c>
      <c r="S164" s="316" t="e">
        <f t="shared" si="168"/>
        <v>#N/A</v>
      </c>
      <c r="T164" s="317" t="str">
        <f>IFERROR(IFERROR(VLOOKUP($A164,VENTAS!$H$2:$O$201,3,FALSE),"")/$C164,"")</f>
        <v/>
      </c>
      <c r="U164" s="111"/>
      <c r="V164" s="203" t="e">
        <f>VLOOKUP($A164,INICIO_BARRA!$A$6:$R$130,7,FALSE)</f>
        <v>#N/A</v>
      </c>
      <c r="W164" s="203" t="e">
        <f>VLOOKUP($A164,INICIO_BARRA!$A$6:$R$130,8,FALSE)</f>
        <v>#N/A</v>
      </c>
      <c r="X164" s="11"/>
      <c r="Y164" s="204" t="str">
        <f>IFERROR(IFERROR(IF(X164&gt;0,"",X164*VLOOKUP($A164,'VALOR I.'!$B$6:$K$418,10,FALSE)),"")*$C164,"")</f>
        <v/>
      </c>
      <c r="Z164" s="203" t="e">
        <f>VLOOKUP($A164,INICIO_BARRA!$A$6:$R$130,7,FALSE)</f>
        <v>#N/A</v>
      </c>
      <c r="AA164" s="203" t="e">
        <f>VLOOKUP($A164,INICIO_BARRA!$A$6:$R$130,8,FALSE)</f>
        <v>#N/A</v>
      </c>
      <c r="AB164" s="203" t="str">
        <f>IFERROR(VLOOKUP($A164,REPOSICIONES_BARRA!$A$6:$I$130,5,FALSE),"")</f>
        <v/>
      </c>
      <c r="AC164" s="315" t="e">
        <f t="shared" si="169"/>
        <v>#N/A</v>
      </c>
      <c r="AD164" s="316" t="e">
        <f t="shared" si="170"/>
        <v>#N/A</v>
      </c>
      <c r="AE164" s="317" t="str">
        <f>IFERROR(IFERROR(VLOOKUP($A164,VENTAS!$H$2:$O$201,4,FALSE),"")/$C164,"")</f>
        <v/>
      </c>
      <c r="AF164" s="111"/>
      <c r="AG164" s="203" t="e">
        <f>VLOOKUP($A164,INICIO_BARRA!$A$6:$R$130,9,FALSE)</f>
        <v>#N/A</v>
      </c>
      <c r="AH164" s="203" t="e">
        <f>VLOOKUP($A164,INICIO_BARRA!$A$6:$R$130,10,FALSE)</f>
        <v>#N/A</v>
      </c>
      <c r="AI164" s="11"/>
      <c r="AJ164" s="94" t="str">
        <f>IFERROR(IFERROR(IF(AI164&gt;0,"",AI164*VLOOKUP($A164,'VALOR I.'!$B$6:$K$418,10,FALSE)),"")*$C164,"")</f>
        <v/>
      </c>
      <c r="AK164" s="203" t="e">
        <f>VLOOKUP($A164,INICIO_BARRA!$A$6:$R$130,9,FALSE)</f>
        <v>#N/A</v>
      </c>
      <c r="AL164" s="203" t="e">
        <f>VLOOKUP($A164,INICIO_BARRA!$A$6:$R$130,10,FALSE)</f>
        <v>#N/A</v>
      </c>
      <c r="AM164" s="203" t="str">
        <f>IFERROR(VLOOKUP($A164,REPOSICIONES_BARRA!$A$6:$I$130,6,FALSE),"")</f>
        <v/>
      </c>
      <c r="AN164" s="315" t="e">
        <f t="shared" si="171"/>
        <v>#N/A</v>
      </c>
      <c r="AO164" s="316" t="e">
        <f t="shared" si="172"/>
        <v>#N/A</v>
      </c>
      <c r="AP164" s="317" t="str">
        <f>IFERROR(IFERROR(VLOOKUP($A164,VENTAS!$H$2:$O$201,5,FALSE),"")/$C164,"")</f>
        <v/>
      </c>
      <c r="AQ164" s="111"/>
      <c r="AR164" s="203" t="e">
        <f>VLOOKUP($A164,INICIO_BARRA!$A$6:$R$130,11,FALSE)</f>
        <v>#N/A</v>
      </c>
      <c r="AS164" s="203" t="e">
        <f>VLOOKUP($A164,INICIO_BARRA!$A$6:$R$130,12,FALSE)</f>
        <v>#N/A</v>
      </c>
      <c r="AT164" s="11"/>
      <c r="AU164" s="94" t="str">
        <f>IFERROR(IFERROR(IF(AT164&gt;0,"",AT164*VLOOKUP($A164,'VALOR I.'!$B$6:$K$418,10,FALSE)),"")*$C164,"")</f>
        <v/>
      </c>
      <c r="AV164" s="203" t="e">
        <f>VLOOKUP($A164,INICIO_BARRA!$A$6:$R$130,11,FALSE)</f>
        <v>#N/A</v>
      </c>
      <c r="AW164" s="203" t="e">
        <f>VLOOKUP($A164,INICIO_BARRA!$A$6:$R$130,12,FALSE)</f>
        <v>#N/A</v>
      </c>
      <c r="AX164" s="203" t="str">
        <f>IFERROR(VLOOKUP($A164,REPOSICIONES_BARRA!$A$6:$I$130,7,FALSE),"")</f>
        <v/>
      </c>
      <c r="AY164" s="315" t="e">
        <f t="shared" si="173"/>
        <v>#N/A</v>
      </c>
      <c r="AZ164" s="316" t="e">
        <f t="shared" si="174"/>
        <v>#N/A</v>
      </c>
      <c r="BA164" s="317" t="str">
        <f>IFERROR(IFERROR(VLOOKUP($A164,VENTAS!$H$2:$O$201,6,FALSE),"")/$C164,"")</f>
        <v/>
      </c>
      <c r="BB164" s="111"/>
      <c r="BC164" s="203" t="e">
        <f>VLOOKUP($A164,INICIO_BARRA!$A$6:$R$130,13,FALSE)</f>
        <v>#N/A</v>
      </c>
      <c r="BD164" s="203" t="e">
        <f>VLOOKUP($A164,INICIO_BARRA!$A$6:$R$130,14,FALSE)</f>
        <v>#N/A</v>
      </c>
      <c r="BE164" s="11"/>
      <c r="BF164" s="94" t="str">
        <f>IFERROR(IFERROR(IF(BE164&gt;0,"",BE164*VLOOKUP($A164,'VALOR I.'!$B$6:$K$418,10,FALSE)),"")*$C164,"")</f>
        <v/>
      </c>
      <c r="BG164" s="203" t="e">
        <f>VLOOKUP($A164,INICIO_BARRA!$A$6:$R$130,13,FALSE)</f>
        <v>#N/A</v>
      </c>
      <c r="BH164" s="203" t="e">
        <f>VLOOKUP($A164,INICIO_BARRA!$A$6:$R$130,14,FALSE)</f>
        <v>#N/A</v>
      </c>
      <c r="BI164" s="203" t="str">
        <f>IFERROR(VLOOKUP($A164,REPOSICIONES_BARRA!$A$6:$I$130,8,FALSE),"")</f>
        <v/>
      </c>
      <c r="BJ164" s="315" t="e">
        <f t="shared" si="175"/>
        <v>#N/A</v>
      </c>
      <c r="BK164" s="316" t="e">
        <f t="shared" si="176"/>
        <v>#N/A</v>
      </c>
      <c r="BL164" s="317" t="str">
        <f>IFERROR(IFERROR(VLOOKUP($A164,VENTAS!$H$2:$O$201,7,FALSE),"")/$C164,"")</f>
        <v/>
      </c>
      <c r="BM164" s="111"/>
      <c r="BN164" s="203" t="e">
        <f>VLOOKUP($A164,INICIO_BARRA!$A$6:$R$130,15,FALSE)</f>
        <v>#N/A</v>
      </c>
      <c r="BO164" s="203" t="e">
        <f>VLOOKUP($A164,INICIO_BARRA!$A$6:$R$130,16,FALSE)</f>
        <v>#N/A</v>
      </c>
      <c r="BP164" s="11"/>
      <c r="BQ164" s="94" t="str">
        <f>IFERROR(IFERROR(IF(BP164&gt;0,"",BP164*VLOOKUP($A164,'VALOR I.'!$B$6:$K$418,10,FALSE)),"")*$C164,"")</f>
        <v/>
      </c>
      <c r="BR164" s="203" t="e">
        <f>VLOOKUP($A164,INICIO_BARRA!$A$6:$R$130,15,FALSE)</f>
        <v>#N/A</v>
      </c>
      <c r="BS164" s="203" t="e">
        <f>VLOOKUP($A164,INICIO_BARRA!$A$6:$R$130,16,FALSE)</f>
        <v>#N/A</v>
      </c>
      <c r="BT164" s="203" t="str">
        <f>IFERROR(VLOOKUP($A164,REPOSICIONES_BARRA!$A$6:$I$130,9,FALSE),"")</f>
        <v/>
      </c>
      <c r="BU164" s="315" t="e">
        <f t="shared" si="177"/>
        <v>#N/A</v>
      </c>
      <c r="BV164" s="316" t="e">
        <f t="shared" si="178"/>
        <v>#N/A</v>
      </c>
      <c r="BW164" s="317" t="str">
        <f>IFERROR(IFERROR(VLOOKUP($A164,VENTAS!$H$2:$O$201,8,FALSE),"")/$C164,"")</f>
        <v/>
      </c>
      <c r="BX164" s="111"/>
      <c r="BY164" s="203" t="e">
        <f>VLOOKUP($A164,INICIO_BARRA!$A$6:$R$130,17,FALSE)</f>
        <v>#N/A</v>
      </c>
      <c r="BZ164" s="203" t="e">
        <f>VLOOKUP($A164,INICIO_BARRA!$A$6:$R$130,18,FALSE)</f>
        <v>#N/A</v>
      </c>
      <c r="CA164" s="11"/>
      <c r="CB164" s="94" t="str">
        <f>IFERROR(IFERROR(IF(CA164&gt;0,"",CA164*VLOOKUP($A164,'VALOR I.'!$B$6:$K$418,10,FALSE)),"")*$C164,"")</f>
        <v/>
      </c>
    </row>
    <row r="165" spans="1:80" s="7" customFormat="1" ht="30" hidden="1" customHeight="1" x14ac:dyDescent="0.3">
      <c r="A165" s="3"/>
      <c r="B165" s="34"/>
      <c r="C165" s="136"/>
      <c r="D165" s="203" t="e">
        <f>VLOOKUP($A165,INICIO_BARRA!$A$6:$R$130,3,FALSE)</f>
        <v>#N/A</v>
      </c>
      <c r="E165" s="203" t="e">
        <f>VLOOKUP($A165,INICIO_BARRA!$A$6:$R$130,4,FALSE)</f>
        <v>#N/A</v>
      </c>
      <c r="F165" s="203" t="str">
        <f>IFERROR(VLOOKUP($A165,REPOSICIONES_BARRA!$A$6:$I$130,3,FALSE),"")</f>
        <v/>
      </c>
      <c r="G165" s="315" t="e">
        <f t="shared" si="179"/>
        <v>#N/A</v>
      </c>
      <c r="H165" s="316" t="e">
        <f t="shared" si="180"/>
        <v>#N/A</v>
      </c>
      <c r="I165" s="317" t="str">
        <f>IFERROR(IFERROR(VLOOKUP($A165,VENTAS!$H$2:$O$201,2,FALSE),"")/$C165,"")</f>
        <v/>
      </c>
      <c r="J165" s="111"/>
      <c r="K165" s="203" t="e">
        <f>VLOOKUP($A165,INICIO_BARRA!$A$6:$R$130,5,FALSE)</f>
        <v>#N/A</v>
      </c>
      <c r="L165" s="203" t="e">
        <f>VLOOKUP($A165,INICIO_BARRA!$A$6:$R$130,6,FALSE)</f>
        <v>#N/A</v>
      </c>
      <c r="M165" s="11"/>
      <c r="N165" s="204" t="str">
        <f>IFERROR(IFERROR(IF(M165&gt;0,"",M165*VLOOKUP($A165,'VALOR I.'!$B$6:$K$418,10,FALSE)),"")*$C165,"")</f>
        <v/>
      </c>
      <c r="O165" s="203" t="e">
        <f>VLOOKUP($A165,INICIO_BARRA!$A$6:$R$130,5,FALSE)</f>
        <v>#N/A</v>
      </c>
      <c r="P165" s="203" t="e">
        <f>VLOOKUP($A165,INICIO_BARRA!$A$6:$R$130,6,FALSE)</f>
        <v>#N/A</v>
      </c>
      <c r="Q165" s="203" t="str">
        <f>IFERROR(VLOOKUP($A165,REPOSICIONES_BARRA!$A$6:$I$130,4,FALSE),"")</f>
        <v/>
      </c>
      <c r="R165" s="315" t="e">
        <f t="shared" si="167"/>
        <v>#N/A</v>
      </c>
      <c r="S165" s="316" t="e">
        <f t="shared" si="168"/>
        <v>#N/A</v>
      </c>
      <c r="T165" s="317" t="str">
        <f>IFERROR(IFERROR(VLOOKUP($A165,VENTAS!$H$2:$O$201,3,FALSE),"")/$C165,"")</f>
        <v/>
      </c>
      <c r="U165" s="111"/>
      <c r="V165" s="203" t="e">
        <f>VLOOKUP($A165,INICIO_BARRA!$A$6:$R$130,7,FALSE)</f>
        <v>#N/A</v>
      </c>
      <c r="W165" s="203" t="e">
        <f>VLOOKUP($A165,INICIO_BARRA!$A$6:$R$130,8,FALSE)</f>
        <v>#N/A</v>
      </c>
      <c r="X165" s="11"/>
      <c r="Y165" s="204" t="str">
        <f>IFERROR(IFERROR(IF(X165&gt;0,"",X165*VLOOKUP($A165,'VALOR I.'!$B$6:$K$418,10,FALSE)),"")*$C165,"")</f>
        <v/>
      </c>
      <c r="Z165" s="203" t="e">
        <f>VLOOKUP($A165,INICIO_BARRA!$A$6:$R$130,7,FALSE)</f>
        <v>#N/A</v>
      </c>
      <c r="AA165" s="203" t="e">
        <f>VLOOKUP($A165,INICIO_BARRA!$A$6:$R$130,8,FALSE)</f>
        <v>#N/A</v>
      </c>
      <c r="AB165" s="203" t="str">
        <f>IFERROR(VLOOKUP($A165,REPOSICIONES_BARRA!$A$6:$I$130,5,FALSE),"")</f>
        <v/>
      </c>
      <c r="AC165" s="315" t="e">
        <f t="shared" si="169"/>
        <v>#N/A</v>
      </c>
      <c r="AD165" s="316" t="e">
        <f t="shared" si="170"/>
        <v>#N/A</v>
      </c>
      <c r="AE165" s="317" t="str">
        <f>IFERROR(IFERROR(VLOOKUP($A165,VENTAS!$H$2:$O$201,4,FALSE),"")/$C165,"")</f>
        <v/>
      </c>
      <c r="AF165" s="111"/>
      <c r="AG165" s="203" t="e">
        <f>VLOOKUP($A165,INICIO_BARRA!$A$6:$R$130,9,FALSE)</f>
        <v>#N/A</v>
      </c>
      <c r="AH165" s="203" t="e">
        <f>VLOOKUP($A165,INICIO_BARRA!$A$6:$R$130,10,FALSE)</f>
        <v>#N/A</v>
      </c>
      <c r="AI165" s="11"/>
      <c r="AJ165" s="94" t="str">
        <f>IFERROR(IFERROR(IF(AI165&gt;0,"",AI165*VLOOKUP($A165,'VALOR I.'!$B$6:$K$418,10,FALSE)),"")*$C165,"")</f>
        <v/>
      </c>
      <c r="AK165" s="203" t="e">
        <f>VLOOKUP($A165,INICIO_BARRA!$A$6:$R$130,9,FALSE)</f>
        <v>#N/A</v>
      </c>
      <c r="AL165" s="203" t="e">
        <f>VLOOKUP($A165,INICIO_BARRA!$A$6:$R$130,10,FALSE)</f>
        <v>#N/A</v>
      </c>
      <c r="AM165" s="203" t="str">
        <f>IFERROR(VLOOKUP($A165,REPOSICIONES_BARRA!$A$6:$I$130,6,FALSE),"")</f>
        <v/>
      </c>
      <c r="AN165" s="315" t="e">
        <f t="shared" si="171"/>
        <v>#N/A</v>
      </c>
      <c r="AO165" s="316" t="e">
        <f t="shared" si="172"/>
        <v>#N/A</v>
      </c>
      <c r="AP165" s="317" t="str">
        <f>IFERROR(IFERROR(VLOOKUP($A165,VENTAS!$H$2:$O$201,5,FALSE),"")/$C165,"")</f>
        <v/>
      </c>
      <c r="AQ165" s="111"/>
      <c r="AR165" s="203" t="e">
        <f>VLOOKUP($A165,INICIO_BARRA!$A$6:$R$130,11,FALSE)</f>
        <v>#N/A</v>
      </c>
      <c r="AS165" s="203" t="e">
        <f>VLOOKUP($A165,INICIO_BARRA!$A$6:$R$130,12,FALSE)</f>
        <v>#N/A</v>
      </c>
      <c r="AT165" s="11"/>
      <c r="AU165" s="94" t="str">
        <f>IFERROR(IFERROR(IF(AT165&gt;0,"",AT165*VLOOKUP($A165,'VALOR I.'!$B$6:$K$418,10,FALSE)),"")*$C165,"")</f>
        <v/>
      </c>
      <c r="AV165" s="203" t="e">
        <f>VLOOKUP($A165,INICIO_BARRA!$A$6:$R$130,11,FALSE)</f>
        <v>#N/A</v>
      </c>
      <c r="AW165" s="203" t="e">
        <f>VLOOKUP($A165,INICIO_BARRA!$A$6:$R$130,12,FALSE)</f>
        <v>#N/A</v>
      </c>
      <c r="AX165" s="203" t="str">
        <f>IFERROR(VLOOKUP($A165,REPOSICIONES_BARRA!$A$6:$I$130,7,FALSE),"")</f>
        <v/>
      </c>
      <c r="AY165" s="315" t="e">
        <f t="shared" si="173"/>
        <v>#N/A</v>
      </c>
      <c r="AZ165" s="316" t="e">
        <f t="shared" si="174"/>
        <v>#N/A</v>
      </c>
      <c r="BA165" s="317" t="str">
        <f>IFERROR(IFERROR(VLOOKUP($A165,VENTAS!$H$2:$O$201,6,FALSE),"")/$C165,"")</f>
        <v/>
      </c>
      <c r="BB165" s="111"/>
      <c r="BC165" s="203" t="e">
        <f>VLOOKUP($A165,INICIO_BARRA!$A$6:$R$130,13,FALSE)</f>
        <v>#N/A</v>
      </c>
      <c r="BD165" s="203" t="e">
        <f>VLOOKUP($A165,INICIO_BARRA!$A$6:$R$130,14,FALSE)</f>
        <v>#N/A</v>
      </c>
      <c r="BE165" s="11"/>
      <c r="BF165" s="94" t="str">
        <f>IFERROR(IFERROR(IF(BE165&gt;0,"",BE165*VLOOKUP($A165,'VALOR I.'!$B$6:$K$418,10,FALSE)),"")*$C165,"")</f>
        <v/>
      </c>
      <c r="BG165" s="203" t="e">
        <f>VLOOKUP($A165,INICIO_BARRA!$A$6:$R$130,13,FALSE)</f>
        <v>#N/A</v>
      </c>
      <c r="BH165" s="203" t="e">
        <f>VLOOKUP($A165,INICIO_BARRA!$A$6:$R$130,14,FALSE)</f>
        <v>#N/A</v>
      </c>
      <c r="BI165" s="203" t="str">
        <f>IFERROR(VLOOKUP($A165,REPOSICIONES_BARRA!$A$6:$I$130,8,FALSE),"")</f>
        <v/>
      </c>
      <c r="BJ165" s="315" t="e">
        <f t="shared" si="175"/>
        <v>#N/A</v>
      </c>
      <c r="BK165" s="316" t="e">
        <f t="shared" si="176"/>
        <v>#N/A</v>
      </c>
      <c r="BL165" s="317" t="str">
        <f>IFERROR(IFERROR(VLOOKUP($A165,VENTAS!$H$2:$O$201,7,FALSE),"")/$C165,"")</f>
        <v/>
      </c>
      <c r="BM165" s="111"/>
      <c r="BN165" s="203" t="e">
        <f>VLOOKUP($A165,INICIO_BARRA!$A$6:$R$130,15,FALSE)</f>
        <v>#N/A</v>
      </c>
      <c r="BO165" s="203" t="e">
        <f>VLOOKUP($A165,INICIO_BARRA!$A$6:$R$130,16,FALSE)</f>
        <v>#N/A</v>
      </c>
      <c r="BP165" s="11"/>
      <c r="BQ165" s="94" t="str">
        <f>IFERROR(IFERROR(IF(BP165&gt;0,"",BP165*VLOOKUP($A165,'VALOR I.'!$B$6:$K$418,10,FALSE)),"")*$C165,"")</f>
        <v/>
      </c>
      <c r="BR165" s="203" t="e">
        <f>VLOOKUP($A165,INICIO_BARRA!$A$6:$R$130,15,FALSE)</f>
        <v>#N/A</v>
      </c>
      <c r="BS165" s="203" t="e">
        <f>VLOOKUP($A165,INICIO_BARRA!$A$6:$R$130,16,FALSE)</f>
        <v>#N/A</v>
      </c>
      <c r="BT165" s="203" t="str">
        <f>IFERROR(VLOOKUP($A165,REPOSICIONES_BARRA!$A$6:$I$130,9,FALSE),"")</f>
        <v/>
      </c>
      <c r="BU165" s="315" t="e">
        <f t="shared" si="177"/>
        <v>#N/A</v>
      </c>
      <c r="BV165" s="316" t="e">
        <f t="shared" si="178"/>
        <v>#N/A</v>
      </c>
      <c r="BW165" s="317" t="str">
        <f>IFERROR(IFERROR(VLOOKUP($A165,VENTAS!$H$2:$O$201,8,FALSE),"")/$C165,"")</f>
        <v/>
      </c>
      <c r="BX165" s="111"/>
      <c r="BY165" s="203" t="e">
        <f>VLOOKUP($A165,INICIO_BARRA!$A$6:$R$130,17,FALSE)</f>
        <v>#N/A</v>
      </c>
      <c r="BZ165" s="203" t="e">
        <f>VLOOKUP($A165,INICIO_BARRA!$A$6:$R$130,18,FALSE)</f>
        <v>#N/A</v>
      </c>
      <c r="CA165" s="11"/>
      <c r="CB165" s="94" t="str">
        <f>IFERROR(IFERROR(IF(CA165&gt;0,"",CA165*VLOOKUP($A165,'VALOR I.'!$B$6:$K$418,10,FALSE)),"")*$C165,"")</f>
        <v/>
      </c>
    </row>
    <row r="166" spans="1:80" s="7" customFormat="1" ht="30" hidden="1" customHeight="1" x14ac:dyDescent="0.3">
      <c r="A166" s="3"/>
      <c r="B166" s="34"/>
      <c r="C166" s="136"/>
      <c r="D166" s="203" t="e">
        <f>VLOOKUP($A166,INICIO_BARRA!$A$6:$R$130,3,FALSE)</f>
        <v>#N/A</v>
      </c>
      <c r="E166" s="203" t="e">
        <f>VLOOKUP($A166,INICIO_BARRA!$A$6:$R$130,4,FALSE)</f>
        <v>#N/A</v>
      </c>
      <c r="F166" s="203" t="str">
        <f>IFERROR(VLOOKUP($A166,REPOSICIONES_BARRA!$A$6:$I$130,3,FALSE),"")</f>
        <v/>
      </c>
      <c r="G166" s="315" t="e">
        <f t="shared" si="179"/>
        <v>#N/A</v>
      </c>
      <c r="H166" s="316" t="e">
        <f t="shared" si="180"/>
        <v>#N/A</v>
      </c>
      <c r="I166" s="317" t="str">
        <f>IFERROR(IFERROR(VLOOKUP($A166,VENTAS!$H$2:$O$201,2,FALSE),"")/$C166,"")</f>
        <v/>
      </c>
      <c r="J166" s="111"/>
      <c r="K166" s="203" t="e">
        <f>VLOOKUP($A166,INICIO_BARRA!$A$6:$R$130,5,FALSE)</f>
        <v>#N/A</v>
      </c>
      <c r="L166" s="203" t="e">
        <f>VLOOKUP($A166,INICIO_BARRA!$A$6:$R$130,6,FALSE)</f>
        <v>#N/A</v>
      </c>
      <c r="M166" s="11"/>
      <c r="N166" s="204" t="str">
        <f>IFERROR(IFERROR(IF(M166&gt;0,"",M166*VLOOKUP($A166,'VALOR I.'!$B$6:$K$418,10,FALSE)),"")*$C166,"")</f>
        <v/>
      </c>
      <c r="O166" s="203" t="e">
        <f>VLOOKUP($A166,INICIO_BARRA!$A$6:$R$130,5,FALSE)</f>
        <v>#N/A</v>
      </c>
      <c r="P166" s="203" t="e">
        <f>VLOOKUP($A166,INICIO_BARRA!$A$6:$R$130,6,FALSE)</f>
        <v>#N/A</v>
      </c>
      <c r="Q166" s="203" t="str">
        <f>IFERROR(VLOOKUP($A166,REPOSICIONES_BARRA!$A$6:$I$130,4,FALSE),"")</f>
        <v/>
      </c>
      <c r="R166" s="315" t="e">
        <f t="shared" si="167"/>
        <v>#N/A</v>
      </c>
      <c r="S166" s="316" t="e">
        <f t="shared" si="168"/>
        <v>#N/A</v>
      </c>
      <c r="T166" s="317" t="str">
        <f>IFERROR(IFERROR(VLOOKUP($A166,VENTAS!$H$2:$O$201,3,FALSE),"")/$C166,"")</f>
        <v/>
      </c>
      <c r="U166" s="111"/>
      <c r="V166" s="203" t="e">
        <f>VLOOKUP($A166,INICIO_BARRA!$A$6:$R$130,7,FALSE)</f>
        <v>#N/A</v>
      </c>
      <c r="W166" s="203" t="e">
        <f>VLOOKUP($A166,INICIO_BARRA!$A$6:$R$130,8,FALSE)</f>
        <v>#N/A</v>
      </c>
      <c r="X166" s="11"/>
      <c r="Y166" s="204" t="str">
        <f>IFERROR(IFERROR(IF(X166&gt;0,"",X166*VLOOKUP($A166,'VALOR I.'!$B$6:$K$418,10,FALSE)),"")*$C166,"")</f>
        <v/>
      </c>
      <c r="Z166" s="203" t="e">
        <f>VLOOKUP($A166,INICIO_BARRA!$A$6:$R$130,7,FALSE)</f>
        <v>#N/A</v>
      </c>
      <c r="AA166" s="203" t="e">
        <f>VLOOKUP($A166,INICIO_BARRA!$A$6:$R$130,8,FALSE)</f>
        <v>#N/A</v>
      </c>
      <c r="AB166" s="203" t="str">
        <f>IFERROR(VLOOKUP($A166,REPOSICIONES_BARRA!$A$6:$I$130,5,FALSE),"")</f>
        <v/>
      </c>
      <c r="AC166" s="315" t="e">
        <f t="shared" si="169"/>
        <v>#N/A</v>
      </c>
      <c r="AD166" s="316" t="e">
        <f t="shared" si="170"/>
        <v>#N/A</v>
      </c>
      <c r="AE166" s="317" t="str">
        <f>IFERROR(IFERROR(VLOOKUP($A166,VENTAS!$H$2:$O$201,4,FALSE),"")/$C166,"")</f>
        <v/>
      </c>
      <c r="AF166" s="111"/>
      <c r="AG166" s="203" t="e">
        <f>VLOOKUP($A166,INICIO_BARRA!$A$6:$R$130,9,FALSE)</f>
        <v>#N/A</v>
      </c>
      <c r="AH166" s="203" t="e">
        <f>VLOOKUP($A166,INICIO_BARRA!$A$6:$R$130,10,FALSE)</f>
        <v>#N/A</v>
      </c>
      <c r="AI166" s="11"/>
      <c r="AJ166" s="94" t="str">
        <f>IFERROR(IFERROR(IF(AI166&gt;0,"",AI166*VLOOKUP($A166,'VALOR I.'!$B$6:$K$418,10,FALSE)),"")*$C166,"")</f>
        <v/>
      </c>
      <c r="AK166" s="203" t="e">
        <f>VLOOKUP($A166,INICIO_BARRA!$A$6:$R$130,9,FALSE)</f>
        <v>#N/A</v>
      </c>
      <c r="AL166" s="203" t="e">
        <f>VLOOKUP($A166,INICIO_BARRA!$A$6:$R$130,10,FALSE)</f>
        <v>#N/A</v>
      </c>
      <c r="AM166" s="203" t="str">
        <f>IFERROR(VLOOKUP($A166,REPOSICIONES_BARRA!$A$6:$I$130,6,FALSE),"")</f>
        <v/>
      </c>
      <c r="AN166" s="315" t="e">
        <f t="shared" si="171"/>
        <v>#N/A</v>
      </c>
      <c r="AO166" s="316" t="e">
        <f t="shared" si="172"/>
        <v>#N/A</v>
      </c>
      <c r="AP166" s="317" t="str">
        <f>IFERROR(IFERROR(VLOOKUP($A166,VENTAS!$H$2:$O$201,5,FALSE),"")/$C166,"")</f>
        <v/>
      </c>
      <c r="AQ166" s="111"/>
      <c r="AR166" s="203" t="e">
        <f>VLOOKUP($A166,INICIO_BARRA!$A$6:$R$130,11,FALSE)</f>
        <v>#N/A</v>
      </c>
      <c r="AS166" s="203" t="e">
        <f>VLOOKUP($A166,INICIO_BARRA!$A$6:$R$130,12,FALSE)</f>
        <v>#N/A</v>
      </c>
      <c r="AT166" s="11"/>
      <c r="AU166" s="94" t="str">
        <f>IFERROR(IFERROR(IF(AT166&gt;0,"",AT166*VLOOKUP($A166,'VALOR I.'!$B$6:$K$418,10,FALSE)),"")*$C166,"")</f>
        <v/>
      </c>
      <c r="AV166" s="203" t="e">
        <f>VLOOKUP($A166,INICIO_BARRA!$A$6:$R$130,11,FALSE)</f>
        <v>#N/A</v>
      </c>
      <c r="AW166" s="203" t="e">
        <f>VLOOKUP($A166,INICIO_BARRA!$A$6:$R$130,12,FALSE)</f>
        <v>#N/A</v>
      </c>
      <c r="AX166" s="203" t="str">
        <f>IFERROR(VLOOKUP($A166,REPOSICIONES_BARRA!$A$6:$I$130,7,FALSE),"")</f>
        <v/>
      </c>
      <c r="AY166" s="315" t="e">
        <f t="shared" si="173"/>
        <v>#N/A</v>
      </c>
      <c r="AZ166" s="316" t="e">
        <f t="shared" si="174"/>
        <v>#N/A</v>
      </c>
      <c r="BA166" s="317" t="str">
        <f>IFERROR(IFERROR(VLOOKUP($A166,VENTAS!$H$2:$O$201,6,FALSE),"")/$C166,"")</f>
        <v/>
      </c>
      <c r="BB166" s="111"/>
      <c r="BC166" s="203" t="e">
        <f>VLOOKUP($A166,INICIO_BARRA!$A$6:$R$130,13,FALSE)</f>
        <v>#N/A</v>
      </c>
      <c r="BD166" s="203" t="e">
        <f>VLOOKUP($A166,INICIO_BARRA!$A$6:$R$130,14,FALSE)</f>
        <v>#N/A</v>
      </c>
      <c r="BE166" s="11"/>
      <c r="BF166" s="94" t="str">
        <f>IFERROR(IFERROR(IF(BE166&gt;0,"",BE166*VLOOKUP($A166,'VALOR I.'!$B$6:$K$418,10,FALSE)),"")*$C166,"")</f>
        <v/>
      </c>
      <c r="BG166" s="203" t="e">
        <f>VLOOKUP($A166,INICIO_BARRA!$A$6:$R$130,13,FALSE)</f>
        <v>#N/A</v>
      </c>
      <c r="BH166" s="203" t="e">
        <f>VLOOKUP($A166,INICIO_BARRA!$A$6:$R$130,14,FALSE)</f>
        <v>#N/A</v>
      </c>
      <c r="BI166" s="203" t="str">
        <f>IFERROR(VLOOKUP($A166,REPOSICIONES_BARRA!$A$6:$I$130,8,FALSE),"")</f>
        <v/>
      </c>
      <c r="BJ166" s="315" t="e">
        <f t="shared" si="175"/>
        <v>#N/A</v>
      </c>
      <c r="BK166" s="316" t="e">
        <f t="shared" si="176"/>
        <v>#N/A</v>
      </c>
      <c r="BL166" s="317" t="str">
        <f>IFERROR(IFERROR(VLOOKUP($A166,VENTAS!$H$2:$O$201,7,FALSE),"")/$C166,"")</f>
        <v/>
      </c>
      <c r="BM166" s="111"/>
      <c r="BN166" s="203" t="e">
        <f>VLOOKUP($A166,INICIO_BARRA!$A$6:$R$130,15,FALSE)</f>
        <v>#N/A</v>
      </c>
      <c r="BO166" s="203" t="e">
        <f>VLOOKUP($A166,INICIO_BARRA!$A$6:$R$130,16,FALSE)</f>
        <v>#N/A</v>
      </c>
      <c r="BP166" s="11"/>
      <c r="BQ166" s="94" t="str">
        <f>IFERROR(IFERROR(IF(BP166&gt;0,"",BP166*VLOOKUP($A166,'VALOR I.'!$B$6:$K$418,10,FALSE)),"")*$C166,"")</f>
        <v/>
      </c>
      <c r="BR166" s="203" t="e">
        <f>VLOOKUP($A166,INICIO_BARRA!$A$6:$R$130,15,FALSE)</f>
        <v>#N/A</v>
      </c>
      <c r="BS166" s="203" t="e">
        <f>VLOOKUP($A166,INICIO_BARRA!$A$6:$R$130,16,FALSE)</f>
        <v>#N/A</v>
      </c>
      <c r="BT166" s="203" t="str">
        <f>IFERROR(VLOOKUP($A166,REPOSICIONES_BARRA!$A$6:$I$130,9,FALSE),"")</f>
        <v/>
      </c>
      <c r="BU166" s="315" t="e">
        <f t="shared" si="177"/>
        <v>#N/A</v>
      </c>
      <c r="BV166" s="316" t="e">
        <f t="shared" si="178"/>
        <v>#N/A</v>
      </c>
      <c r="BW166" s="317" t="str">
        <f>IFERROR(IFERROR(VLOOKUP($A166,VENTAS!$H$2:$O$201,8,FALSE),"")/$C166,"")</f>
        <v/>
      </c>
      <c r="BX166" s="111"/>
      <c r="BY166" s="203" t="e">
        <f>VLOOKUP($A166,INICIO_BARRA!$A$6:$R$130,17,FALSE)</f>
        <v>#N/A</v>
      </c>
      <c r="BZ166" s="203" t="e">
        <f>VLOOKUP($A166,INICIO_BARRA!$A$6:$R$130,18,FALSE)</f>
        <v>#N/A</v>
      </c>
      <c r="CA166" s="11"/>
      <c r="CB166" s="94" t="str">
        <f>IFERROR(IFERROR(IF(CA166&gt;0,"",CA166*VLOOKUP($A166,'VALOR I.'!$B$6:$K$418,10,FALSE)),"")*$C166,"")</f>
        <v/>
      </c>
    </row>
    <row r="167" spans="1:80" s="7" customFormat="1" ht="30" hidden="1" customHeight="1" x14ac:dyDescent="0.3">
      <c r="A167" s="66"/>
      <c r="B167" s="34"/>
      <c r="C167" s="136"/>
      <c r="D167" s="203" t="e">
        <f>VLOOKUP($A167,INICIO_BARRA!$A$6:$R$130,3,FALSE)</f>
        <v>#N/A</v>
      </c>
      <c r="E167" s="203" t="e">
        <f>VLOOKUP($A167,INICIO_BARRA!$A$6:$R$130,4,FALSE)</f>
        <v>#N/A</v>
      </c>
      <c r="F167" s="203" t="str">
        <f>IFERROR(VLOOKUP($A167,REPOSICIONES_BARRA!$A$6:$I$130,3,FALSE),"")</f>
        <v/>
      </c>
      <c r="G167" s="315" t="e">
        <f t="shared" si="179"/>
        <v>#N/A</v>
      </c>
      <c r="H167" s="316" t="e">
        <f t="shared" si="180"/>
        <v>#N/A</v>
      </c>
      <c r="I167" s="317" t="str">
        <f>IFERROR(IFERROR(VLOOKUP($A167,VENTAS!$H$2:$O$201,2,FALSE),"")/$C167,"")</f>
        <v/>
      </c>
      <c r="J167" s="111"/>
      <c r="K167" s="203" t="e">
        <f>VLOOKUP($A167,INICIO_BARRA!$A$6:$R$130,5,FALSE)</f>
        <v>#N/A</v>
      </c>
      <c r="L167" s="203" t="e">
        <f>VLOOKUP($A167,INICIO_BARRA!$A$6:$R$130,6,FALSE)</f>
        <v>#N/A</v>
      </c>
      <c r="M167" s="11"/>
      <c r="N167" s="204" t="str">
        <f>IFERROR(IFERROR(IF(M167&gt;0,"",M167*VLOOKUP($A167,'VALOR I.'!$B$6:$K$418,10,FALSE)),"")*$C167,"")</f>
        <v/>
      </c>
      <c r="O167" s="203" t="e">
        <f>VLOOKUP($A167,INICIO_BARRA!$A$6:$R$130,5,FALSE)</f>
        <v>#N/A</v>
      </c>
      <c r="P167" s="203" t="e">
        <f>VLOOKUP($A167,INICIO_BARRA!$A$6:$R$130,6,FALSE)</f>
        <v>#N/A</v>
      </c>
      <c r="Q167" s="203" t="str">
        <f>IFERROR(VLOOKUP($A167,REPOSICIONES_BARRA!$A$6:$I$130,4,FALSE),"")</f>
        <v/>
      </c>
      <c r="R167" s="315" t="e">
        <f t="shared" si="167"/>
        <v>#N/A</v>
      </c>
      <c r="S167" s="316" t="e">
        <f t="shared" si="168"/>
        <v>#N/A</v>
      </c>
      <c r="T167" s="317" t="str">
        <f>IFERROR(IFERROR(VLOOKUP($A167,VENTAS!$H$2:$O$201,3,FALSE),"")/$C167,"")</f>
        <v/>
      </c>
      <c r="U167" s="111"/>
      <c r="V167" s="203" t="e">
        <f>VLOOKUP($A167,INICIO_BARRA!$A$6:$R$130,7,FALSE)</f>
        <v>#N/A</v>
      </c>
      <c r="W167" s="203" t="e">
        <f>VLOOKUP($A167,INICIO_BARRA!$A$6:$R$130,8,FALSE)</f>
        <v>#N/A</v>
      </c>
      <c r="X167" s="11"/>
      <c r="Y167" s="204" t="str">
        <f>IFERROR(IFERROR(IF(X167&gt;0,"",X167*VLOOKUP($A167,'VALOR I.'!$B$6:$K$418,10,FALSE)),"")*$C167,"")</f>
        <v/>
      </c>
      <c r="Z167" s="203" t="e">
        <f>VLOOKUP($A167,INICIO_BARRA!$A$6:$R$130,7,FALSE)</f>
        <v>#N/A</v>
      </c>
      <c r="AA167" s="203" t="e">
        <f>VLOOKUP($A167,INICIO_BARRA!$A$6:$R$130,8,FALSE)</f>
        <v>#N/A</v>
      </c>
      <c r="AB167" s="203" t="str">
        <f>IFERROR(VLOOKUP($A167,REPOSICIONES_BARRA!$A$6:$I$130,5,FALSE),"")</f>
        <v/>
      </c>
      <c r="AC167" s="315" t="e">
        <f t="shared" si="169"/>
        <v>#N/A</v>
      </c>
      <c r="AD167" s="316" t="e">
        <f t="shared" si="170"/>
        <v>#N/A</v>
      </c>
      <c r="AE167" s="317" t="str">
        <f>IFERROR(IFERROR(VLOOKUP($A167,VENTAS!$H$2:$O$201,4,FALSE),"")/$C167,"")</f>
        <v/>
      </c>
      <c r="AF167" s="111"/>
      <c r="AG167" s="203" t="e">
        <f>VLOOKUP($A167,INICIO_BARRA!$A$6:$R$130,9,FALSE)</f>
        <v>#N/A</v>
      </c>
      <c r="AH167" s="203" t="e">
        <f>VLOOKUP($A167,INICIO_BARRA!$A$6:$R$130,10,FALSE)</f>
        <v>#N/A</v>
      </c>
      <c r="AI167" s="11"/>
      <c r="AJ167" s="94" t="str">
        <f>IFERROR(IFERROR(IF(AI167&gt;0,"",AI167*VLOOKUP($A167,'VALOR I.'!$B$6:$K$418,10,FALSE)),"")*$C167,"")</f>
        <v/>
      </c>
      <c r="AK167" s="203" t="e">
        <f>VLOOKUP($A167,INICIO_BARRA!$A$6:$R$130,9,FALSE)</f>
        <v>#N/A</v>
      </c>
      <c r="AL167" s="203" t="e">
        <f>VLOOKUP($A167,INICIO_BARRA!$A$6:$R$130,10,FALSE)</f>
        <v>#N/A</v>
      </c>
      <c r="AM167" s="203" t="str">
        <f>IFERROR(VLOOKUP($A167,REPOSICIONES_BARRA!$A$6:$I$130,6,FALSE),"")</f>
        <v/>
      </c>
      <c r="AN167" s="315" t="e">
        <f t="shared" si="171"/>
        <v>#N/A</v>
      </c>
      <c r="AO167" s="316" t="e">
        <f t="shared" si="172"/>
        <v>#N/A</v>
      </c>
      <c r="AP167" s="317" t="str">
        <f>IFERROR(IFERROR(VLOOKUP($A167,VENTAS!$H$2:$O$201,5,FALSE),"")/$C167,"")</f>
        <v/>
      </c>
      <c r="AQ167" s="111"/>
      <c r="AR167" s="203" t="e">
        <f>VLOOKUP($A167,INICIO_BARRA!$A$6:$R$130,11,FALSE)</f>
        <v>#N/A</v>
      </c>
      <c r="AS167" s="203" t="e">
        <f>VLOOKUP($A167,INICIO_BARRA!$A$6:$R$130,12,FALSE)</f>
        <v>#N/A</v>
      </c>
      <c r="AT167" s="11"/>
      <c r="AU167" s="94" t="str">
        <f>IFERROR(IFERROR(IF(AT167&gt;0,"",AT167*VLOOKUP($A167,'VALOR I.'!$B$6:$K$418,10,FALSE)),"")*$C167,"")</f>
        <v/>
      </c>
      <c r="AV167" s="203" t="e">
        <f>VLOOKUP($A167,INICIO_BARRA!$A$6:$R$130,11,FALSE)</f>
        <v>#N/A</v>
      </c>
      <c r="AW167" s="203" t="e">
        <f>VLOOKUP($A167,INICIO_BARRA!$A$6:$R$130,12,FALSE)</f>
        <v>#N/A</v>
      </c>
      <c r="AX167" s="203" t="str">
        <f>IFERROR(VLOOKUP($A167,REPOSICIONES_BARRA!$A$6:$I$130,7,FALSE),"")</f>
        <v/>
      </c>
      <c r="AY167" s="315" t="e">
        <f t="shared" si="173"/>
        <v>#N/A</v>
      </c>
      <c r="AZ167" s="316" t="e">
        <f t="shared" si="174"/>
        <v>#N/A</v>
      </c>
      <c r="BA167" s="317" t="str">
        <f>IFERROR(IFERROR(VLOOKUP($A167,VENTAS!$H$2:$O$201,6,FALSE),"")/$C167,"")</f>
        <v/>
      </c>
      <c r="BB167" s="111"/>
      <c r="BC167" s="203" t="e">
        <f>VLOOKUP($A167,INICIO_BARRA!$A$6:$R$130,13,FALSE)</f>
        <v>#N/A</v>
      </c>
      <c r="BD167" s="203" t="e">
        <f>VLOOKUP($A167,INICIO_BARRA!$A$6:$R$130,14,FALSE)</f>
        <v>#N/A</v>
      </c>
      <c r="BE167" s="11"/>
      <c r="BF167" s="94" t="str">
        <f>IFERROR(IFERROR(IF(BE167&gt;0,"",BE167*VLOOKUP($A167,'VALOR I.'!$B$6:$K$418,10,FALSE)),"")*$C167,"")</f>
        <v/>
      </c>
      <c r="BG167" s="203" t="e">
        <f>VLOOKUP($A167,INICIO_BARRA!$A$6:$R$130,13,FALSE)</f>
        <v>#N/A</v>
      </c>
      <c r="BH167" s="203" t="e">
        <f>VLOOKUP($A167,INICIO_BARRA!$A$6:$R$130,14,FALSE)</f>
        <v>#N/A</v>
      </c>
      <c r="BI167" s="203" t="str">
        <f>IFERROR(VLOOKUP($A167,REPOSICIONES_BARRA!$A$6:$I$130,8,FALSE),"")</f>
        <v/>
      </c>
      <c r="BJ167" s="315" t="e">
        <f t="shared" si="175"/>
        <v>#N/A</v>
      </c>
      <c r="BK167" s="316" t="e">
        <f t="shared" si="176"/>
        <v>#N/A</v>
      </c>
      <c r="BL167" s="317" t="str">
        <f>IFERROR(IFERROR(VLOOKUP($A167,VENTAS!$H$2:$O$201,7,FALSE),"")/$C167,"")</f>
        <v/>
      </c>
      <c r="BM167" s="111"/>
      <c r="BN167" s="203" t="e">
        <f>VLOOKUP($A167,INICIO_BARRA!$A$6:$R$130,15,FALSE)</f>
        <v>#N/A</v>
      </c>
      <c r="BO167" s="203" t="e">
        <f>VLOOKUP($A167,INICIO_BARRA!$A$6:$R$130,16,FALSE)</f>
        <v>#N/A</v>
      </c>
      <c r="BP167" s="11"/>
      <c r="BQ167" s="94" t="str">
        <f>IFERROR(IFERROR(IF(BP167&gt;0,"",BP167*VLOOKUP($A167,'VALOR I.'!$B$6:$K$418,10,FALSE)),"")*$C167,"")</f>
        <v/>
      </c>
      <c r="BR167" s="203" t="e">
        <f>VLOOKUP($A167,INICIO_BARRA!$A$6:$R$130,15,FALSE)</f>
        <v>#N/A</v>
      </c>
      <c r="BS167" s="203" t="e">
        <f>VLOOKUP($A167,INICIO_BARRA!$A$6:$R$130,16,FALSE)</f>
        <v>#N/A</v>
      </c>
      <c r="BT167" s="203" t="str">
        <f>IFERROR(VLOOKUP($A167,REPOSICIONES_BARRA!$A$6:$I$130,9,FALSE),"")</f>
        <v/>
      </c>
      <c r="BU167" s="315" t="e">
        <f t="shared" si="177"/>
        <v>#N/A</v>
      </c>
      <c r="BV167" s="316" t="e">
        <f t="shared" si="178"/>
        <v>#N/A</v>
      </c>
      <c r="BW167" s="317" t="str">
        <f>IFERROR(IFERROR(VLOOKUP($A167,VENTAS!$H$2:$O$201,8,FALSE),"")/$C167,"")</f>
        <v/>
      </c>
      <c r="BX167" s="111"/>
      <c r="BY167" s="203" t="e">
        <f>VLOOKUP($A167,INICIO_BARRA!$A$6:$R$130,17,FALSE)</f>
        <v>#N/A</v>
      </c>
      <c r="BZ167" s="203" t="e">
        <f>VLOOKUP($A167,INICIO_BARRA!$A$6:$R$130,18,FALSE)</f>
        <v>#N/A</v>
      </c>
      <c r="CA167" s="11"/>
      <c r="CB167" s="94" t="str">
        <f>IFERROR(IFERROR(IF(CA167&gt;0,"",CA167*VLOOKUP($A167,'VALOR I.'!$B$6:$K$418,10,FALSE)),"")*$C167,"")</f>
        <v/>
      </c>
    </row>
    <row r="168" spans="1:80" s="7" customFormat="1" ht="30" hidden="1" customHeight="1" x14ac:dyDescent="0.3">
      <c r="A168" s="66"/>
      <c r="B168" s="34"/>
      <c r="C168" s="136"/>
      <c r="D168" s="203" t="e">
        <f>VLOOKUP($A168,INICIO_BARRA!$A$6:$R$130,3,FALSE)</f>
        <v>#N/A</v>
      </c>
      <c r="E168" s="203" t="e">
        <f>VLOOKUP($A168,INICIO_BARRA!$A$6:$R$130,4,FALSE)</f>
        <v>#N/A</v>
      </c>
      <c r="F168" s="203" t="str">
        <f>IFERROR(VLOOKUP($A168,REPOSICIONES_BARRA!$A$6:$I$130,3,FALSE),"")</f>
        <v/>
      </c>
      <c r="G168" s="315" t="e">
        <f t="shared" si="179"/>
        <v>#N/A</v>
      </c>
      <c r="H168" s="316" t="e">
        <f t="shared" si="180"/>
        <v>#N/A</v>
      </c>
      <c r="I168" s="317" t="str">
        <f>IFERROR(IFERROR(VLOOKUP($A168,VENTAS!$H$2:$O$201,2,FALSE),"")/$C168,"")</f>
        <v/>
      </c>
      <c r="J168" s="111"/>
      <c r="K168" s="203" t="e">
        <f>VLOOKUP($A168,INICIO_BARRA!$A$6:$R$130,5,FALSE)</f>
        <v>#N/A</v>
      </c>
      <c r="L168" s="203" t="e">
        <f>VLOOKUP($A168,INICIO_BARRA!$A$6:$R$130,6,FALSE)</f>
        <v>#N/A</v>
      </c>
      <c r="M168" s="11"/>
      <c r="N168" s="204" t="str">
        <f>IFERROR(IFERROR(IF(M168&gt;0,"",M168*VLOOKUP($A168,'VALOR I.'!$B$6:$K$418,10,FALSE)),"")*$C168,"")</f>
        <v/>
      </c>
      <c r="O168" s="203" t="e">
        <f>VLOOKUP($A168,INICIO_BARRA!$A$6:$R$130,5,FALSE)</f>
        <v>#N/A</v>
      </c>
      <c r="P168" s="203" t="e">
        <f>VLOOKUP($A168,INICIO_BARRA!$A$6:$R$130,6,FALSE)</f>
        <v>#N/A</v>
      </c>
      <c r="Q168" s="203" t="str">
        <f>IFERROR(VLOOKUP($A168,REPOSICIONES_BARRA!$A$6:$I$130,4,FALSE),"")</f>
        <v/>
      </c>
      <c r="R168" s="315" t="e">
        <f t="shared" si="167"/>
        <v>#N/A</v>
      </c>
      <c r="S168" s="316" t="e">
        <f t="shared" si="168"/>
        <v>#N/A</v>
      </c>
      <c r="T168" s="317" t="str">
        <f>IFERROR(IFERROR(VLOOKUP($A168,VENTAS!$H$2:$O$201,3,FALSE),"")/$C168,"")</f>
        <v/>
      </c>
      <c r="U168" s="111"/>
      <c r="V168" s="203" t="e">
        <f>VLOOKUP($A168,INICIO_BARRA!$A$6:$R$130,7,FALSE)</f>
        <v>#N/A</v>
      </c>
      <c r="W168" s="203" t="e">
        <f>VLOOKUP($A168,INICIO_BARRA!$A$6:$R$130,8,FALSE)</f>
        <v>#N/A</v>
      </c>
      <c r="X168" s="11"/>
      <c r="Y168" s="204" t="str">
        <f>IFERROR(IFERROR(IF(X168&gt;0,"",X168*VLOOKUP($A168,'VALOR I.'!$B$6:$K$418,10,FALSE)),"")*$C168,"")</f>
        <v/>
      </c>
      <c r="Z168" s="203" t="e">
        <f>VLOOKUP($A168,INICIO_BARRA!$A$6:$R$130,7,FALSE)</f>
        <v>#N/A</v>
      </c>
      <c r="AA168" s="203" t="e">
        <f>VLOOKUP($A168,INICIO_BARRA!$A$6:$R$130,8,FALSE)</f>
        <v>#N/A</v>
      </c>
      <c r="AB168" s="203" t="str">
        <f>IFERROR(VLOOKUP($A168,REPOSICIONES_BARRA!$A$6:$I$130,5,FALSE),"")</f>
        <v/>
      </c>
      <c r="AC168" s="315" t="e">
        <f t="shared" si="169"/>
        <v>#N/A</v>
      </c>
      <c r="AD168" s="316" t="e">
        <f t="shared" si="170"/>
        <v>#N/A</v>
      </c>
      <c r="AE168" s="317" t="str">
        <f>IFERROR(IFERROR(VLOOKUP($A168,VENTAS!$H$2:$O$201,4,FALSE),"")/$C168,"")</f>
        <v/>
      </c>
      <c r="AF168" s="111"/>
      <c r="AG168" s="203" t="e">
        <f>VLOOKUP($A168,INICIO_BARRA!$A$6:$R$130,9,FALSE)</f>
        <v>#N/A</v>
      </c>
      <c r="AH168" s="203" t="e">
        <f>VLOOKUP($A168,INICIO_BARRA!$A$6:$R$130,10,FALSE)</f>
        <v>#N/A</v>
      </c>
      <c r="AI168" s="11"/>
      <c r="AJ168" s="94" t="str">
        <f>IFERROR(IFERROR(IF(AI168&gt;0,"",AI168*VLOOKUP($A168,'VALOR I.'!$B$6:$K$418,10,FALSE)),"")*$C168,"")</f>
        <v/>
      </c>
      <c r="AK168" s="203" t="e">
        <f>VLOOKUP($A168,INICIO_BARRA!$A$6:$R$130,9,FALSE)</f>
        <v>#N/A</v>
      </c>
      <c r="AL168" s="203" t="e">
        <f>VLOOKUP($A168,INICIO_BARRA!$A$6:$R$130,10,FALSE)</f>
        <v>#N/A</v>
      </c>
      <c r="AM168" s="203" t="str">
        <f>IFERROR(VLOOKUP($A168,REPOSICIONES_BARRA!$A$6:$I$130,6,FALSE),"")</f>
        <v/>
      </c>
      <c r="AN168" s="315" t="e">
        <f t="shared" si="171"/>
        <v>#N/A</v>
      </c>
      <c r="AO168" s="316" t="e">
        <f t="shared" si="172"/>
        <v>#N/A</v>
      </c>
      <c r="AP168" s="317" t="str">
        <f>IFERROR(IFERROR(VLOOKUP($A168,VENTAS!$H$2:$O$201,5,FALSE),"")/$C168,"")</f>
        <v/>
      </c>
      <c r="AQ168" s="111"/>
      <c r="AR168" s="203" t="e">
        <f>VLOOKUP($A168,INICIO_BARRA!$A$6:$R$130,11,FALSE)</f>
        <v>#N/A</v>
      </c>
      <c r="AS168" s="203" t="e">
        <f>VLOOKUP($A168,INICIO_BARRA!$A$6:$R$130,12,FALSE)</f>
        <v>#N/A</v>
      </c>
      <c r="AT168" s="11"/>
      <c r="AU168" s="94" t="str">
        <f>IFERROR(IFERROR(IF(AT168&gt;0,"",AT168*VLOOKUP($A168,'VALOR I.'!$B$6:$K$418,10,FALSE)),"")*$C168,"")</f>
        <v/>
      </c>
      <c r="AV168" s="203" t="e">
        <f>VLOOKUP($A168,INICIO_BARRA!$A$6:$R$130,11,FALSE)</f>
        <v>#N/A</v>
      </c>
      <c r="AW168" s="203" t="e">
        <f>VLOOKUP($A168,INICIO_BARRA!$A$6:$R$130,12,FALSE)</f>
        <v>#N/A</v>
      </c>
      <c r="AX168" s="203" t="str">
        <f>IFERROR(VLOOKUP($A168,REPOSICIONES_BARRA!$A$6:$I$130,7,FALSE),"")</f>
        <v/>
      </c>
      <c r="AY168" s="315" t="e">
        <f t="shared" si="173"/>
        <v>#N/A</v>
      </c>
      <c r="AZ168" s="316" t="e">
        <f t="shared" si="174"/>
        <v>#N/A</v>
      </c>
      <c r="BA168" s="317" t="str">
        <f>IFERROR(IFERROR(VLOOKUP($A168,VENTAS!$H$2:$O$201,6,FALSE),"")/$C168,"")</f>
        <v/>
      </c>
      <c r="BB168" s="111"/>
      <c r="BC168" s="203" t="e">
        <f>VLOOKUP($A168,INICIO_BARRA!$A$6:$R$130,13,FALSE)</f>
        <v>#N/A</v>
      </c>
      <c r="BD168" s="203" t="e">
        <f>VLOOKUP($A168,INICIO_BARRA!$A$6:$R$130,14,FALSE)</f>
        <v>#N/A</v>
      </c>
      <c r="BE168" s="11"/>
      <c r="BF168" s="94" t="str">
        <f>IFERROR(IFERROR(IF(BE168&gt;0,"",BE168*VLOOKUP($A168,'VALOR I.'!$B$6:$K$418,10,FALSE)),"")*$C168,"")</f>
        <v/>
      </c>
      <c r="BG168" s="203" t="e">
        <f>VLOOKUP($A168,INICIO_BARRA!$A$6:$R$130,13,FALSE)</f>
        <v>#N/A</v>
      </c>
      <c r="BH168" s="203" t="e">
        <f>VLOOKUP($A168,INICIO_BARRA!$A$6:$R$130,14,FALSE)</f>
        <v>#N/A</v>
      </c>
      <c r="BI168" s="203" t="str">
        <f>IFERROR(VLOOKUP($A168,REPOSICIONES_BARRA!$A$6:$I$130,8,FALSE),"")</f>
        <v/>
      </c>
      <c r="BJ168" s="315" t="e">
        <f t="shared" si="175"/>
        <v>#N/A</v>
      </c>
      <c r="BK168" s="316" t="e">
        <f t="shared" si="176"/>
        <v>#N/A</v>
      </c>
      <c r="BL168" s="317" t="str">
        <f>IFERROR(IFERROR(VLOOKUP($A168,VENTAS!$H$2:$O$201,7,FALSE),"")/$C168,"")</f>
        <v/>
      </c>
      <c r="BM168" s="111"/>
      <c r="BN168" s="203" t="e">
        <f>VLOOKUP($A168,INICIO_BARRA!$A$6:$R$130,15,FALSE)</f>
        <v>#N/A</v>
      </c>
      <c r="BO168" s="203" t="e">
        <f>VLOOKUP($A168,INICIO_BARRA!$A$6:$R$130,16,FALSE)</f>
        <v>#N/A</v>
      </c>
      <c r="BP168" s="11"/>
      <c r="BQ168" s="94" t="str">
        <f>IFERROR(IFERROR(IF(BP168&gt;0,"",BP168*VLOOKUP($A168,'VALOR I.'!$B$6:$K$418,10,FALSE)),"")*$C168,"")</f>
        <v/>
      </c>
      <c r="BR168" s="203" t="e">
        <f>VLOOKUP($A168,INICIO_BARRA!$A$6:$R$130,15,FALSE)</f>
        <v>#N/A</v>
      </c>
      <c r="BS168" s="203" t="e">
        <f>VLOOKUP($A168,INICIO_BARRA!$A$6:$R$130,16,FALSE)</f>
        <v>#N/A</v>
      </c>
      <c r="BT168" s="203" t="str">
        <f>IFERROR(VLOOKUP($A168,REPOSICIONES_BARRA!$A$6:$I$130,9,FALSE),"")</f>
        <v/>
      </c>
      <c r="BU168" s="315" t="e">
        <f t="shared" si="177"/>
        <v>#N/A</v>
      </c>
      <c r="BV168" s="316" t="e">
        <f t="shared" si="178"/>
        <v>#N/A</v>
      </c>
      <c r="BW168" s="317" t="str">
        <f>IFERROR(IFERROR(VLOOKUP($A168,VENTAS!$H$2:$O$201,8,FALSE),"")/$C168,"")</f>
        <v/>
      </c>
      <c r="BX168" s="111"/>
      <c r="BY168" s="203" t="e">
        <f>VLOOKUP($A168,INICIO_BARRA!$A$6:$R$130,17,FALSE)</f>
        <v>#N/A</v>
      </c>
      <c r="BZ168" s="203" t="e">
        <f>VLOOKUP($A168,INICIO_BARRA!$A$6:$R$130,18,FALSE)</f>
        <v>#N/A</v>
      </c>
      <c r="CA168" s="11"/>
      <c r="CB168" s="94" t="str">
        <f>IFERROR(IFERROR(IF(CA168&gt;0,"",CA168*VLOOKUP($A168,'VALOR I.'!$B$6:$K$418,10,FALSE)),"")*$C168,"")</f>
        <v/>
      </c>
    </row>
    <row r="169" spans="1:80" s="7" customFormat="1" ht="30" customHeight="1" x14ac:dyDescent="0.45">
      <c r="A169"/>
      <c r="B169" s="45"/>
      <c r="C169" s="152"/>
      <c r="D169" s="196"/>
      <c r="E169" s="196"/>
      <c r="F169" s="196"/>
      <c r="G169" s="196"/>
      <c r="H169" s="196"/>
      <c r="I169" s="122"/>
      <c r="J169" s="102"/>
      <c r="K169" s="97"/>
      <c r="L169" s="97"/>
      <c r="M169" s="47"/>
      <c r="N169" s="47"/>
    </row>
    <row r="170" spans="1:80" s="7" customFormat="1" ht="21.95" customHeight="1" thickBot="1" x14ac:dyDescent="0.5">
      <c r="A170"/>
      <c r="B170" s="45"/>
      <c r="C170" s="152"/>
      <c r="D170" s="123"/>
      <c r="E170" s="123"/>
      <c r="F170" s="123"/>
      <c r="G170" s="123"/>
      <c r="H170" s="123"/>
      <c r="I170" s="122"/>
      <c r="J170" s="102"/>
      <c r="K170" s="123"/>
      <c r="L170" s="123"/>
      <c r="M170" s="47"/>
      <c r="N170" s="47"/>
    </row>
    <row r="171" spans="1:80" s="7" customFormat="1" ht="21.95" customHeight="1" thickBot="1" x14ac:dyDescent="0.5">
      <c r="A171"/>
      <c r="B171" s="46"/>
      <c r="C171" s="153"/>
      <c r="D171" s="123"/>
      <c r="E171" s="123"/>
      <c r="F171" s="123"/>
      <c r="G171" s="123"/>
      <c r="H171" s="123"/>
      <c r="I171" s="122"/>
      <c r="J171" s="102"/>
      <c r="K171" s="123"/>
      <c r="L171" s="123"/>
      <c r="M171" s="201" t="s">
        <v>302</v>
      </c>
      <c r="N171" s="202">
        <f>SUM(N10:N134)</f>
        <v>0</v>
      </c>
      <c r="X171" s="201" t="s">
        <v>302</v>
      </c>
      <c r="Y171" s="202">
        <f>SUM(Y9:Y133)</f>
        <v>-29353.8629</v>
      </c>
      <c r="AI171" s="201" t="s">
        <v>302</v>
      </c>
      <c r="AJ171" s="202">
        <f>SUM(AJ9:AJ133)</f>
        <v>-29480.632399999999</v>
      </c>
      <c r="AT171" s="201" t="s">
        <v>302</v>
      </c>
      <c r="AU171" s="202">
        <f>SUM(AU9:AU133)</f>
        <v>-34731.717449999996</v>
      </c>
      <c r="BE171" s="201" t="s">
        <v>302</v>
      </c>
      <c r="BF171" s="202">
        <f>SUM(BF9:BF133)</f>
        <v>-54751.891799999998</v>
      </c>
      <c r="BP171" s="201" t="s">
        <v>302</v>
      </c>
      <c r="BQ171" s="202">
        <f>SUM(BQ9:BQ133)</f>
        <v>-26808.494633333328</v>
      </c>
      <c r="CA171" s="201"/>
      <c r="CB171" s="202"/>
    </row>
    <row r="173" spans="1:80" ht="45" customHeight="1" x14ac:dyDescent="0.5">
      <c r="B173" s="48" t="s">
        <v>68</v>
      </c>
      <c r="H173" s="124"/>
      <c r="I173" s="125"/>
    </row>
    <row r="174" spans="1:80" ht="31.5" x14ac:dyDescent="0.5">
      <c r="B174" s="48"/>
    </row>
    <row r="175" spans="1:80" ht="31.5" x14ac:dyDescent="0.5">
      <c r="B175" s="48"/>
    </row>
    <row r="176" spans="1:80" ht="31.5" x14ac:dyDescent="0.5">
      <c r="B176" s="48"/>
    </row>
    <row r="177" spans="2:2" ht="31.5" x14ac:dyDescent="0.5">
      <c r="B177" s="48"/>
    </row>
    <row r="178" spans="2:2" ht="31.5" x14ac:dyDescent="0.5">
      <c r="B178" s="48"/>
    </row>
    <row r="179" spans="2:2" ht="31.5" x14ac:dyDescent="0.5">
      <c r="B179" s="48"/>
    </row>
  </sheetData>
  <autoFilter ref="B5:N168" xr:uid="{00000000-0009-0000-0000-000002000000}">
    <filterColumn colId="0">
      <customFilters>
        <customFilter operator="notEqual" val=" "/>
      </customFilters>
    </filterColumn>
    <filterColumn colId="2" showButton="0"/>
    <filterColumn colId="5" showButton="0"/>
    <filterColumn colId="9" showButton="0"/>
  </autoFilter>
  <mergeCells count="21">
    <mergeCell ref="G5:H5"/>
    <mergeCell ref="K5:L5"/>
    <mergeCell ref="D4:N4"/>
    <mergeCell ref="O4:Y4"/>
    <mergeCell ref="R5:S5"/>
    <mergeCell ref="V5:W5"/>
    <mergeCell ref="Z4:AJ4"/>
    <mergeCell ref="AC5:AD5"/>
    <mergeCell ref="AG5:AH5"/>
    <mergeCell ref="AK4:AU4"/>
    <mergeCell ref="AN5:AO5"/>
    <mergeCell ref="AR5:AS5"/>
    <mergeCell ref="BR4:CB4"/>
    <mergeCell ref="BU5:BV5"/>
    <mergeCell ref="BY5:BZ5"/>
    <mergeCell ref="AV4:BF4"/>
    <mergeCell ref="AY5:AZ5"/>
    <mergeCell ref="BC5:BD5"/>
    <mergeCell ref="BG4:BQ4"/>
    <mergeCell ref="BJ5:BK5"/>
    <mergeCell ref="BN5:BO5"/>
  </mergeCells>
  <conditionalFormatting sqref="M8:M36 M38:M68 M70:M94 M96:M105 M107 M109:M113 M115:M121 M123:M125 M136:M168 M127:M134">
    <cfRule type="cellIs" dxfId="38" priority="26" operator="equal">
      <formula>0</formula>
    </cfRule>
    <cfRule type="cellIs" dxfId="37" priority="27" operator="greaterThan">
      <formula>0</formula>
    </cfRule>
    <cfRule type="cellIs" dxfId="36" priority="28" operator="lessThan">
      <formula>0</formula>
    </cfRule>
  </conditionalFormatting>
  <conditionalFormatting sqref="X8:X36 X38:X68 X70:X94 X96:X105 X107 X109:X113 X115:X121 X123:X125 X136:X168 X127:X134">
    <cfRule type="cellIs" dxfId="35" priority="22" operator="equal">
      <formula>0</formula>
    </cfRule>
    <cfRule type="cellIs" dxfId="34" priority="23" operator="greaterThan">
      <formula>0</formula>
    </cfRule>
    <cfRule type="cellIs" dxfId="33" priority="24" operator="lessThan">
      <formula>0</formula>
    </cfRule>
  </conditionalFormatting>
  <conditionalFormatting sqref="AI8:AI36 AI38:AI68 AI70:AI94 AI96:AI105 AI107 AI109:AI113 AI115:AI121 AI123:AI125 AI136:AI168 AI127:AI134">
    <cfRule type="cellIs" dxfId="32" priority="18" operator="equal">
      <formula>0</formula>
    </cfRule>
    <cfRule type="cellIs" dxfId="31" priority="19" operator="greaterThan">
      <formula>0</formula>
    </cfRule>
    <cfRule type="cellIs" dxfId="30" priority="20" operator="lessThan">
      <formula>0</formula>
    </cfRule>
  </conditionalFormatting>
  <conditionalFormatting sqref="AT8:AT36 AT38:AT68 AT70:AT94 AT96:AT105 AT107 AT109:AT113 AT115:AT121 AT123:AT125 AT136:AT168 AT127:AT134">
    <cfRule type="cellIs" dxfId="29" priority="14" operator="equal">
      <formula>0</formula>
    </cfRule>
    <cfRule type="cellIs" dxfId="28" priority="15" operator="greaterThan">
      <formula>0</formula>
    </cfRule>
    <cfRule type="cellIs" dxfId="27" priority="16" operator="lessThan">
      <formula>0</formula>
    </cfRule>
  </conditionalFormatting>
  <conditionalFormatting sqref="BE8:BE36 BE38:BE68 BE70:BE94 BE96:BE105 BE107 BE109:BE113 BE115:BE121 BE123:BE125 BE136:BE168 BE127:BE134">
    <cfRule type="cellIs" dxfId="26" priority="10" operator="equal">
      <formula>0</formula>
    </cfRule>
    <cfRule type="cellIs" dxfId="25" priority="11" operator="greaterThan">
      <formula>0</formula>
    </cfRule>
    <cfRule type="cellIs" dxfId="24" priority="12" operator="lessThan">
      <formula>0</formula>
    </cfRule>
  </conditionalFormatting>
  <conditionalFormatting sqref="BP8:BP36 BP38:BP68 BP70:BP94 BP96:BP105 BP107 BP109:BP113 BP115:BP121 BP123:BP125 BP136:BP168 BP127:BP134">
    <cfRule type="cellIs" dxfId="23" priority="6" operator="equal">
      <formula>0</formula>
    </cfRule>
    <cfRule type="cellIs" dxfId="22" priority="7" operator="greaterThan">
      <formula>0</formula>
    </cfRule>
    <cfRule type="cellIs" dxfId="21" priority="8" operator="lessThan">
      <formula>0</formula>
    </cfRule>
  </conditionalFormatting>
  <conditionalFormatting sqref="CA8:CA36 CA38:CA68 CA70:CA94 CA96:CA105 CA107 CA109:CA113 CA115:CA121 CA123:CA125 CA136:CA168 CA127:CA134">
    <cfRule type="cellIs" dxfId="20" priority="2" operator="equal">
      <formula>0</formula>
    </cfRule>
    <cfRule type="cellIs" dxfId="19" priority="3" operator="greaterThan">
      <formula>0</formula>
    </cfRule>
    <cfRule type="cellIs" dxfId="18" priority="4" operator="lessThan">
      <formula>0</formula>
    </cfRule>
  </conditionalFormatting>
  <pageMargins left="0.25" right="0.25" top="0.75" bottom="0.75" header="0.3" footer="0.3"/>
  <pageSetup paperSize="129" scale="36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" id="{8DF431FC-D038-41E5-B7E2-0C04ACBC815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M8:M36 M38:M68 M70:M94 M96:M105 M107 M109:M113 M115:M121 M123:M125 M136:M168 M127:M134</xm:sqref>
        </x14:conditionalFormatting>
        <x14:conditionalFormatting xmlns:xm="http://schemas.microsoft.com/office/excel/2006/main">
          <x14:cfRule type="iconSet" priority="21" id="{7E5C2338-F2FC-4D25-9DBF-8A0DE826FBF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X8:X36 X38:X68 X70:X94 X96:X105 X107 X109:X113 X115:X121 X123:X125 X136:X168 X127:X134</xm:sqref>
        </x14:conditionalFormatting>
        <x14:conditionalFormatting xmlns:xm="http://schemas.microsoft.com/office/excel/2006/main">
          <x14:cfRule type="iconSet" priority="17" id="{1C85A0F8-662D-4B50-B647-1B6A48C9F6F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AI8:AI36 AI38:AI68 AI70:AI94 AI96:AI105 AI107 AI109:AI113 AI115:AI121 AI123:AI125 AI136:AI168 AI127:AI134</xm:sqref>
        </x14:conditionalFormatting>
        <x14:conditionalFormatting xmlns:xm="http://schemas.microsoft.com/office/excel/2006/main">
          <x14:cfRule type="iconSet" priority="13" id="{E8E482A2-409D-4FDD-BD50-59C6B5DD473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AT8:AT36 AT38:AT68 AT70:AT94 AT96:AT105 AT107 AT109:AT113 AT115:AT121 AT123:AT125 AT136:AT168 AT127:AT134</xm:sqref>
        </x14:conditionalFormatting>
        <x14:conditionalFormatting xmlns:xm="http://schemas.microsoft.com/office/excel/2006/main">
          <x14:cfRule type="iconSet" priority="9" id="{406FDC37-0608-476E-9894-12575EFC21A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BE8:BE36 BE38:BE68 BE70:BE94 BE96:BE105 BE107 BE109:BE113 BE115:BE121 BE123:BE125 BE136:BE168 BE127:BE134</xm:sqref>
        </x14:conditionalFormatting>
        <x14:conditionalFormatting xmlns:xm="http://schemas.microsoft.com/office/excel/2006/main">
          <x14:cfRule type="iconSet" priority="5" id="{155B2952-F4B4-4CA2-A795-9F5F6C771A0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BP8:BP36 BP38:BP68 BP70:BP94 BP96:BP105 BP107 BP109:BP113 BP115:BP121 BP123:BP125 BP136:BP168 BP127:BP134</xm:sqref>
        </x14:conditionalFormatting>
        <x14:conditionalFormatting xmlns:xm="http://schemas.microsoft.com/office/excel/2006/main">
          <x14:cfRule type="iconSet" priority="1" id="{F050D59B-9A43-4456-9B7B-170C0D2DE7F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CA8:CA36 CA38:CA68 CA70:CA94 CA96:CA105 CA107 CA109:CA113 CA115:CA121 CA123:CA125 CA136:CA168 CA127:CA134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 filterMode="1">
    <pageSetUpPr fitToPage="1"/>
  </sheetPr>
  <dimension ref="A1:J284"/>
  <sheetViews>
    <sheetView zoomScale="70" zoomScaleNormal="70" zoomScaleSheetLayoutView="110" workbookViewId="0">
      <selection activeCell="I5" sqref="I5:I131"/>
    </sheetView>
  </sheetViews>
  <sheetFormatPr baseColWidth="10" defaultColWidth="50" defaultRowHeight="15.75" x14ac:dyDescent="0.25"/>
  <cols>
    <col min="1" max="1" width="2.28515625" style="3" customWidth="1"/>
    <col min="2" max="2" width="34.5703125" bestFit="1" customWidth="1"/>
    <col min="3" max="3" width="13.85546875" style="4" bestFit="1" customWidth="1"/>
    <col min="4" max="4" width="15.7109375" bestFit="1" customWidth="1"/>
    <col min="5" max="5" width="18.5703125" bestFit="1" customWidth="1"/>
    <col min="6" max="6" width="14.5703125" style="3" customWidth="1"/>
    <col min="7" max="7" width="20.5703125" style="72" bestFit="1" customWidth="1"/>
    <col min="8" max="8" width="15.85546875" style="4" bestFit="1" customWidth="1"/>
    <col min="9" max="9" width="17.7109375" style="3" bestFit="1" customWidth="1"/>
    <col min="10" max="10" width="13.140625" customWidth="1"/>
    <col min="11" max="11" width="15.7109375" customWidth="1"/>
    <col min="12" max="12" width="12.5703125" bestFit="1" customWidth="1"/>
    <col min="13" max="13" width="15.85546875" bestFit="1" customWidth="1"/>
    <col min="14" max="14" width="12.5703125" bestFit="1" customWidth="1"/>
    <col min="15" max="15" width="19.140625" bestFit="1" customWidth="1"/>
    <col min="16" max="16" width="12.5703125" bestFit="1" customWidth="1"/>
  </cols>
  <sheetData>
    <row r="1" spans="1:10" x14ac:dyDescent="0.25">
      <c r="A1" s="3">
        <v>1</v>
      </c>
      <c r="B1">
        <v>2</v>
      </c>
      <c r="C1" s="4">
        <v>3</v>
      </c>
      <c r="D1">
        <v>4</v>
      </c>
      <c r="E1">
        <v>5</v>
      </c>
      <c r="F1" s="3">
        <v>6</v>
      </c>
      <c r="G1" s="72">
        <v>7</v>
      </c>
      <c r="H1" s="4">
        <v>8</v>
      </c>
      <c r="I1" s="3">
        <v>9</v>
      </c>
    </row>
    <row r="2" spans="1:10" ht="18.75" customHeight="1" x14ac:dyDescent="0.25">
      <c r="B2" s="391" t="s">
        <v>1</v>
      </c>
      <c r="C2" s="161" t="s">
        <v>577</v>
      </c>
      <c r="D2" s="161" t="s">
        <v>578</v>
      </c>
      <c r="E2" s="161" t="s">
        <v>579</v>
      </c>
      <c r="F2" s="161" t="s">
        <v>580</v>
      </c>
      <c r="G2" s="161" t="s">
        <v>581</v>
      </c>
      <c r="H2" s="161" t="s">
        <v>582</v>
      </c>
      <c r="I2" s="161" t="s">
        <v>577</v>
      </c>
      <c r="J2" s="161"/>
    </row>
    <row r="3" spans="1:10" ht="17.25" hidden="1" customHeight="1" x14ac:dyDescent="0.25">
      <c r="B3" s="391"/>
      <c r="C3" s="161" t="s">
        <v>3</v>
      </c>
      <c r="D3" s="161" t="s">
        <v>3</v>
      </c>
      <c r="E3" s="78" t="s">
        <v>304</v>
      </c>
      <c r="F3" s="77"/>
      <c r="G3" s="161"/>
      <c r="H3" s="75" t="s">
        <v>3</v>
      </c>
      <c r="I3" s="161"/>
    </row>
    <row r="4" spans="1:10" x14ac:dyDescent="0.25">
      <c r="B4" s="55" t="s">
        <v>29</v>
      </c>
      <c r="C4" s="55"/>
      <c r="D4" s="332"/>
      <c r="E4" s="332"/>
      <c r="F4" s="332"/>
      <c r="G4" s="55"/>
      <c r="H4" s="55"/>
      <c r="I4" s="55"/>
      <c r="J4" s="55"/>
    </row>
    <row r="5" spans="1:10" x14ac:dyDescent="0.25">
      <c r="A5" s="3" t="s">
        <v>72</v>
      </c>
      <c r="B5" s="56" t="s">
        <v>53</v>
      </c>
      <c r="C5" s="9"/>
      <c r="D5" s="9">
        <v>20</v>
      </c>
      <c r="E5" s="2">
        <v>23</v>
      </c>
      <c r="F5" s="9">
        <v>21</v>
      </c>
      <c r="G5" s="9">
        <v>19</v>
      </c>
      <c r="H5" s="9">
        <v>13</v>
      </c>
      <c r="I5" s="9">
        <v>16</v>
      </c>
      <c r="J5" s="9"/>
    </row>
    <row r="6" spans="1:10" x14ac:dyDescent="0.25">
      <c r="A6" s="66" t="s">
        <v>73</v>
      </c>
      <c r="B6" s="57" t="s">
        <v>4</v>
      </c>
      <c r="C6" s="11"/>
      <c r="D6" s="11">
        <v>22</v>
      </c>
      <c r="E6" s="2">
        <v>20</v>
      </c>
      <c r="F6" s="11">
        <v>16</v>
      </c>
      <c r="G6" s="11">
        <v>19</v>
      </c>
      <c r="H6" s="11">
        <v>10</v>
      </c>
      <c r="I6" s="11">
        <v>18</v>
      </c>
      <c r="J6" s="11"/>
    </row>
    <row r="7" spans="1:10" x14ac:dyDescent="0.25">
      <c r="A7" s="66" t="s">
        <v>74</v>
      </c>
      <c r="B7" s="57" t="s">
        <v>5</v>
      </c>
      <c r="C7" s="11"/>
      <c r="D7" s="11">
        <v>0</v>
      </c>
      <c r="E7" s="2">
        <v>0</v>
      </c>
      <c r="F7" s="11">
        <v>0</v>
      </c>
      <c r="G7" s="11">
        <v>0</v>
      </c>
      <c r="H7" s="11">
        <v>0</v>
      </c>
      <c r="I7" s="11">
        <v>0</v>
      </c>
      <c r="J7" s="11"/>
    </row>
    <row r="8" spans="1:10" x14ac:dyDescent="0.25">
      <c r="B8" s="12" t="s">
        <v>30</v>
      </c>
      <c r="C8" s="12"/>
      <c r="D8" s="12"/>
      <c r="E8" s="12"/>
      <c r="F8" s="12"/>
      <c r="G8" s="12"/>
      <c r="H8" s="12"/>
      <c r="I8" s="12"/>
      <c r="J8" s="12"/>
    </row>
    <row r="9" spans="1:10" x14ac:dyDescent="0.25">
      <c r="A9" s="3" t="s">
        <v>75</v>
      </c>
      <c r="B9" s="58" t="s">
        <v>8</v>
      </c>
      <c r="C9" s="11"/>
      <c r="D9" s="11">
        <v>46</v>
      </c>
      <c r="E9" s="2">
        <v>47</v>
      </c>
      <c r="F9" s="11">
        <v>49</v>
      </c>
      <c r="G9" s="11">
        <v>13</v>
      </c>
      <c r="H9" s="11">
        <v>45</v>
      </c>
      <c r="I9" s="11">
        <v>36</v>
      </c>
      <c r="J9" s="11"/>
    </row>
    <row r="10" spans="1:10" x14ac:dyDescent="0.25">
      <c r="A10" s="3" t="s">
        <v>76</v>
      </c>
      <c r="B10" s="58" t="s">
        <v>44</v>
      </c>
      <c r="C10" s="11"/>
      <c r="D10" s="11">
        <v>4</v>
      </c>
      <c r="E10" s="2">
        <v>1</v>
      </c>
      <c r="F10" s="11">
        <v>2</v>
      </c>
      <c r="G10" s="11">
        <v>2</v>
      </c>
      <c r="H10" s="11">
        <v>4</v>
      </c>
      <c r="I10" s="11">
        <v>2</v>
      </c>
      <c r="J10" s="11"/>
    </row>
    <row r="11" spans="1:10" x14ac:dyDescent="0.25">
      <c r="A11" s="66" t="s">
        <v>77</v>
      </c>
      <c r="B11" s="57" t="s">
        <v>7</v>
      </c>
      <c r="C11" s="11"/>
      <c r="D11" s="11">
        <v>10</v>
      </c>
      <c r="E11" s="2">
        <v>1</v>
      </c>
      <c r="F11" s="11">
        <v>1</v>
      </c>
      <c r="G11" s="11">
        <v>19</v>
      </c>
      <c r="H11" s="11">
        <v>15</v>
      </c>
      <c r="I11" s="11">
        <v>25</v>
      </c>
      <c r="J11" s="11"/>
    </row>
    <row r="12" spans="1:10" ht="15.75" hidden="1" customHeight="1" x14ac:dyDescent="0.25">
      <c r="A12" s="67"/>
      <c r="B12" s="57"/>
      <c r="C12" s="11">
        <v>4</v>
      </c>
      <c r="D12" s="227">
        <v>5</v>
      </c>
      <c r="E12">
        <v>3</v>
      </c>
      <c r="F12" s="334">
        <v>5</v>
      </c>
      <c r="G12" s="80">
        <v>5</v>
      </c>
      <c r="H12" s="76">
        <v>5</v>
      </c>
      <c r="I12" s="11">
        <v>3</v>
      </c>
    </row>
    <row r="13" spans="1:10" s="5" customFormat="1" x14ac:dyDescent="0.25">
      <c r="A13" s="68" t="s">
        <v>79</v>
      </c>
      <c r="B13" s="59" t="s">
        <v>10</v>
      </c>
      <c r="C13" s="10"/>
      <c r="D13" s="10">
        <v>14</v>
      </c>
      <c r="E13" s="336">
        <v>17</v>
      </c>
      <c r="F13" s="10">
        <v>15</v>
      </c>
      <c r="G13" s="10">
        <v>15</v>
      </c>
      <c r="H13" s="10">
        <v>15</v>
      </c>
      <c r="I13" s="10">
        <v>18</v>
      </c>
      <c r="J13" s="10"/>
    </row>
    <row r="14" spans="1:10" s="5" customFormat="1" ht="15.75" hidden="1" customHeight="1" x14ac:dyDescent="0.25">
      <c r="A14" s="66"/>
      <c r="B14" s="59"/>
      <c r="C14" s="10">
        <v>3</v>
      </c>
      <c r="D14" s="335">
        <v>0</v>
      </c>
      <c r="E14" s="5">
        <v>0</v>
      </c>
      <c r="F14" s="334">
        <v>0</v>
      </c>
      <c r="G14" s="80">
        <v>0</v>
      </c>
      <c r="H14" s="76">
        <v>0</v>
      </c>
      <c r="I14" s="11">
        <v>0</v>
      </c>
    </row>
    <row r="15" spans="1:10" s="5" customFormat="1" x14ac:dyDescent="0.25">
      <c r="A15" s="66" t="s">
        <v>81</v>
      </c>
      <c r="B15" s="60" t="s">
        <v>6</v>
      </c>
      <c r="C15" s="10"/>
      <c r="D15" s="10">
        <v>19</v>
      </c>
      <c r="E15" s="336">
        <v>15</v>
      </c>
      <c r="F15" s="10">
        <v>14</v>
      </c>
      <c r="G15" s="10">
        <v>6</v>
      </c>
      <c r="H15" s="10">
        <v>3</v>
      </c>
      <c r="I15" s="10">
        <v>9</v>
      </c>
      <c r="J15" s="10"/>
    </row>
    <row r="16" spans="1:10" s="5" customFormat="1" x14ac:dyDescent="0.25">
      <c r="A16" s="66" t="s">
        <v>82</v>
      </c>
      <c r="B16" s="59" t="s">
        <v>54</v>
      </c>
      <c r="C16" s="10"/>
      <c r="D16" s="10">
        <v>15</v>
      </c>
      <c r="E16" s="336">
        <v>17</v>
      </c>
      <c r="F16" s="10">
        <v>17</v>
      </c>
      <c r="G16" s="10">
        <v>20</v>
      </c>
      <c r="H16" s="10">
        <v>17</v>
      </c>
      <c r="I16" s="10">
        <v>12</v>
      </c>
      <c r="J16" s="10"/>
    </row>
    <row r="17" spans="1:10" s="5" customFormat="1" ht="15.75" hidden="1" customHeight="1" x14ac:dyDescent="0.25">
      <c r="A17" s="67"/>
      <c r="B17" s="59"/>
      <c r="C17" s="10">
        <v>1</v>
      </c>
      <c r="D17" s="335">
        <v>1</v>
      </c>
      <c r="E17" s="5">
        <v>0</v>
      </c>
      <c r="F17" s="334">
        <v>1</v>
      </c>
      <c r="G17" s="80">
        <v>1</v>
      </c>
      <c r="H17" s="76">
        <v>1</v>
      </c>
      <c r="I17" s="11">
        <v>0</v>
      </c>
    </row>
    <row r="18" spans="1:10" x14ac:dyDescent="0.25">
      <c r="A18" s="68"/>
      <c r="B18" s="14" t="s">
        <v>42</v>
      </c>
      <c r="C18" s="14"/>
      <c r="D18" s="14"/>
      <c r="E18" s="14"/>
      <c r="F18" s="14"/>
      <c r="G18" s="14"/>
      <c r="H18" s="14"/>
      <c r="I18" s="14"/>
      <c r="J18" s="14"/>
    </row>
    <row r="19" spans="1:10" x14ac:dyDescent="0.25">
      <c r="A19" s="66" t="s">
        <v>83</v>
      </c>
      <c r="B19" s="58" t="s">
        <v>13</v>
      </c>
      <c r="C19" s="11"/>
      <c r="D19" s="11">
        <v>40</v>
      </c>
      <c r="E19" s="2">
        <v>32</v>
      </c>
      <c r="F19" s="11">
        <v>36</v>
      </c>
      <c r="G19" s="11">
        <v>32</v>
      </c>
      <c r="H19" s="11">
        <v>28</v>
      </c>
      <c r="I19" s="11">
        <v>28</v>
      </c>
      <c r="J19" s="11"/>
    </row>
    <row r="20" spans="1:10" x14ac:dyDescent="0.25">
      <c r="A20" s="3" t="s">
        <v>84</v>
      </c>
      <c r="B20" s="57" t="s">
        <v>12</v>
      </c>
      <c r="C20" s="11"/>
      <c r="D20" s="11">
        <v>31</v>
      </c>
      <c r="E20" s="2">
        <v>37</v>
      </c>
      <c r="F20" s="11">
        <v>31</v>
      </c>
      <c r="G20" s="11">
        <v>27</v>
      </c>
      <c r="H20" s="11">
        <v>34</v>
      </c>
      <c r="I20" s="11">
        <v>23</v>
      </c>
      <c r="J20" s="11"/>
    </row>
    <row r="21" spans="1:10" x14ac:dyDescent="0.25">
      <c r="A21" s="3" t="s">
        <v>85</v>
      </c>
      <c r="B21" s="58" t="s">
        <v>11</v>
      </c>
      <c r="C21" s="11"/>
      <c r="D21" s="11">
        <v>27</v>
      </c>
      <c r="E21" s="2">
        <v>37</v>
      </c>
      <c r="F21" s="11">
        <v>30</v>
      </c>
      <c r="G21" s="11">
        <v>39</v>
      </c>
      <c r="H21" s="11">
        <v>30</v>
      </c>
      <c r="I21" s="11">
        <v>12</v>
      </c>
      <c r="J21" s="11"/>
    </row>
    <row r="22" spans="1:10" x14ac:dyDescent="0.25">
      <c r="A22" s="3" t="s">
        <v>86</v>
      </c>
      <c r="B22" s="58" t="s">
        <v>43</v>
      </c>
      <c r="C22" s="11"/>
      <c r="D22" s="11">
        <v>14</v>
      </c>
      <c r="E22" s="2">
        <v>14</v>
      </c>
      <c r="F22" s="11">
        <v>11</v>
      </c>
      <c r="G22" s="11">
        <v>12</v>
      </c>
      <c r="H22" s="11">
        <v>12</v>
      </c>
      <c r="I22" s="11">
        <v>8</v>
      </c>
      <c r="J22" s="11"/>
    </row>
    <row r="23" spans="1:10" s="1" customFormat="1" x14ac:dyDescent="0.25">
      <c r="A23" s="69"/>
      <c r="B23" s="14" t="s">
        <v>31</v>
      </c>
      <c r="C23" s="14"/>
      <c r="D23" s="14"/>
      <c r="E23" s="14"/>
      <c r="F23" s="14"/>
      <c r="G23" s="14"/>
      <c r="H23" s="14"/>
      <c r="I23" s="14"/>
      <c r="J23" s="14"/>
    </row>
    <row r="24" spans="1:10" ht="15.75" hidden="1" customHeight="1" x14ac:dyDescent="0.25">
      <c r="B24" s="2"/>
      <c r="C24" s="11">
        <v>1</v>
      </c>
      <c r="D24" s="227">
        <v>1</v>
      </c>
      <c r="E24">
        <v>1.5</v>
      </c>
      <c r="F24" s="334">
        <v>1</v>
      </c>
      <c r="G24" s="80">
        <v>2</v>
      </c>
      <c r="H24" s="76">
        <v>1</v>
      </c>
      <c r="I24" s="11">
        <v>0</v>
      </c>
    </row>
    <row r="25" spans="1:10" x14ac:dyDescent="0.25">
      <c r="A25" s="3" t="s">
        <v>88</v>
      </c>
      <c r="B25" s="58" t="s">
        <v>59</v>
      </c>
      <c r="C25" s="11"/>
      <c r="D25" s="11">
        <v>27</v>
      </c>
      <c r="E25" s="2">
        <v>25</v>
      </c>
      <c r="F25" s="11">
        <v>22</v>
      </c>
      <c r="G25" s="11">
        <v>22</v>
      </c>
      <c r="H25" s="11">
        <v>25</v>
      </c>
      <c r="I25" s="11">
        <v>30</v>
      </c>
      <c r="J25" s="11"/>
    </row>
    <row r="26" spans="1:10" x14ac:dyDescent="0.25">
      <c r="A26" s="3" t="s">
        <v>586</v>
      </c>
      <c r="B26" s="58" t="s">
        <v>60</v>
      </c>
      <c r="C26" s="11"/>
      <c r="D26" s="11">
        <v>28</v>
      </c>
      <c r="E26" s="2">
        <v>28</v>
      </c>
      <c r="F26" s="11">
        <v>27</v>
      </c>
      <c r="G26" s="11">
        <v>20</v>
      </c>
      <c r="H26" s="11">
        <v>23</v>
      </c>
      <c r="I26" s="11">
        <v>27</v>
      </c>
      <c r="J26" s="11"/>
    </row>
    <row r="27" spans="1:10" ht="15.75" hidden="1" customHeight="1" x14ac:dyDescent="0.25">
      <c r="B27" s="58"/>
      <c r="C27" s="11">
        <v>15</v>
      </c>
      <c r="D27" s="228">
        <v>10</v>
      </c>
      <c r="E27">
        <v>8</v>
      </c>
      <c r="F27" s="229">
        <v>5</v>
      </c>
      <c r="G27" s="80">
        <v>11</v>
      </c>
      <c r="H27" s="76">
        <v>7</v>
      </c>
      <c r="I27" s="11">
        <v>6</v>
      </c>
    </row>
    <row r="28" spans="1:10" ht="15.75" hidden="1" customHeight="1" x14ac:dyDescent="0.25">
      <c r="B28" s="58"/>
      <c r="C28" s="11">
        <v>7</v>
      </c>
      <c r="D28" s="11">
        <v>2</v>
      </c>
      <c r="E28">
        <v>2</v>
      </c>
      <c r="F28" s="79">
        <v>2</v>
      </c>
      <c r="G28" s="80">
        <v>2</v>
      </c>
      <c r="H28" s="76">
        <v>2</v>
      </c>
      <c r="I28" s="11">
        <v>2</v>
      </c>
    </row>
    <row r="29" spans="1:10" ht="15.75" hidden="1" customHeight="1" x14ac:dyDescent="0.25">
      <c r="B29" s="58"/>
      <c r="C29" s="11">
        <v>8</v>
      </c>
      <c r="D29" s="11">
        <v>8</v>
      </c>
      <c r="E29">
        <v>6</v>
      </c>
      <c r="F29" s="79">
        <v>8</v>
      </c>
      <c r="G29" s="80">
        <v>2</v>
      </c>
      <c r="H29" s="76">
        <v>6</v>
      </c>
      <c r="I29" s="11">
        <v>7</v>
      </c>
    </row>
    <row r="30" spans="1:10" ht="15.75" hidden="1" customHeight="1" x14ac:dyDescent="0.25">
      <c r="B30" s="58"/>
      <c r="C30" s="11">
        <v>27</v>
      </c>
      <c r="D30" s="11">
        <v>20</v>
      </c>
      <c r="E30">
        <v>27</v>
      </c>
      <c r="F30" s="79">
        <v>27</v>
      </c>
      <c r="G30" s="80">
        <v>20</v>
      </c>
      <c r="H30" s="76">
        <v>21</v>
      </c>
      <c r="I30" s="11">
        <v>28</v>
      </c>
    </row>
    <row r="31" spans="1:10" ht="15.75" hidden="1" customHeight="1" x14ac:dyDescent="0.25">
      <c r="B31" s="58"/>
      <c r="C31" s="11">
        <v>14</v>
      </c>
      <c r="D31" s="11">
        <v>7</v>
      </c>
      <c r="E31">
        <v>4</v>
      </c>
      <c r="F31" s="79">
        <v>0</v>
      </c>
      <c r="G31" s="80">
        <v>0</v>
      </c>
      <c r="H31" s="76">
        <v>6</v>
      </c>
      <c r="I31" s="11">
        <v>6</v>
      </c>
    </row>
    <row r="32" spans="1:10" ht="15.75" hidden="1" customHeight="1" x14ac:dyDescent="0.25">
      <c r="B32" s="58"/>
      <c r="C32" s="11">
        <v>41</v>
      </c>
      <c r="D32" s="11">
        <v>6</v>
      </c>
      <c r="E32">
        <v>6</v>
      </c>
      <c r="F32" s="79">
        <v>6</v>
      </c>
      <c r="G32" s="80">
        <v>4</v>
      </c>
      <c r="H32" s="76">
        <v>4</v>
      </c>
      <c r="I32" s="11">
        <v>4</v>
      </c>
    </row>
    <row r="33" spans="2:9" ht="15.75" hidden="1" customHeight="1" x14ac:dyDescent="0.25">
      <c r="B33" s="58"/>
      <c r="C33" s="11">
        <v>34</v>
      </c>
      <c r="D33" s="11">
        <v>32</v>
      </c>
      <c r="E33">
        <v>24</v>
      </c>
      <c r="F33" s="79">
        <v>25</v>
      </c>
      <c r="G33" s="80">
        <v>26</v>
      </c>
      <c r="H33" s="76">
        <v>18</v>
      </c>
      <c r="I33" s="11">
        <v>17</v>
      </c>
    </row>
    <row r="34" spans="2:9" ht="15.75" hidden="1" customHeight="1" x14ac:dyDescent="0.25">
      <c r="B34" s="15"/>
      <c r="C34" s="15"/>
      <c r="D34" s="16"/>
      <c r="F34" s="16"/>
      <c r="G34" s="16"/>
      <c r="H34" s="16"/>
      <c r="I34" s="16"/>
    </row>
    <row r="35" spans="2:9" ht="15.75" hidden="1" customHeight="1" x14ac:dyDescent="0.25">
      <c r="B35" s="58"/>
      <c r="C35" s="11">
        <v>0</v>
      </c>
      <c r="D35" s="11">
        <v>1</v>
      </c>
      <c r="E35">
        <v>1</v>
      </c>
      <c r="F35" s="79">
        <v>1</v>
      </c>
      <c r="G35" s="80">
        <v>0</v>
      </c>
      <c r="H35" s="76">
        <v>0</v>
      </c>
      <c r="I35" s="11">
        <v>0</v>
      </c>
    </row>
    <row r="36" spans="2:9" ht="15.75" hidden="1" customHeight="1" x14ac:dyDescent="0.25">
      <c r="B36" s="58"/>
      <c r="C36" s="11">
        <v>0</v>
      </c>
      <c r="D36" s="11">
        <v>15</v>
      </c>
      <c r="E36">
        <v>1</v>
      </c>
      <c r="F36" s="79">
        <v>15</v>
      </c>
      <c r="G36" s="80">
        <v>10</v>
      </c>
      <c r="H36" s="76">
        <v>10</v>
      </c>
      <c r="I36" s="11">
        <v>5</v>
      </c>
    </row>
    <row r="37" spans="2:9" ht="15.75" hidden="1" customHeight="1" x14ac:dyDescent="0.25">
      <c r="B37" s="58"/>
      <c r="C37" s="17">
        <v>1</v>
      </c>
      <c r="D37" s="11">
        <v>1</v>
      </c>
      <c r="E37">
        <v>1</v>
      </c>
      <c r="F37" s="79">
        <v>1</v>
      </c>
      <c r="G37" s="80">
        <v>1</v>
      </c>
      <c r="H37" s="82">
        <v>1</v>
      </c>
      <c r="I37" s="11">
        <v>1</v>
      </c>
    </row>
    <row r="38" spans="2:9" ht="15.75" hidden="1" customHeight="1" x14ac:dyDescent="0.25">
      <c r="B38" s="12"/>
      <c r="C38" s="12"/>
      <c r="D38" s="13"/>
      <c r="F38" s="13"/>
      <c r="G38" s="13"/>
      <c r="H38" s="13"/>
      <c r="I38" s="13"/>
    </row>
    <row r="39" spans="2:9" ht="15.75" hidden="1" customHeight="1" x14ac:dyDescent="0.25">
      <c r="B39" s="56"/>
      <c r="C39" s="9">
        <v>9</v>
      </c>
      <c r="D39" s="10">
        <v>6</v>
      </c>
      <c r="E39">
        <v>16</v>
      </c>
      <c r="F39" s="79">
        <v>13</v>
      </c>
      <c r="G39" s="80">
        <v>9</v>
      </c>
      <c r="H39" s="81">
        <v>4</v>
      </c>
      <c r="I39" s="11">
        <v>3</v>
      </c>
    </row>
    <row r="40" spans="2:9" ht="15.75" hidden="1" customHeight="1" x14ac:dyDescent="0.25">
      <c r="B40" s="56"/>
      <c r="C40" s="9">
        <v>1</v>
      </c>
      <c r="D40" s="10">
        <v>0</v>
      </c>
      <c r="E40">
        <v>1</v>
      </c>
      <c r="F40" s="79">
        <v>1</v>
      </c>
      <c r="G40" s="80">
        <v>0</v>
      </c>
      <c r="H40" s="81">
        <v>1</v>
      </c>
      <c r="I40" s="11">
        <v>1</v>
      </c>
    </row>
    <row r="41" spans="2:9" ht="15.75" hidden="1" customHeight="1" x14ac:dyDescent="0.25">
      <c r="B41" s="56"/>
      <c r="C41" s="9">
        <v>24</v>
      </c>
      <c r="D41" s="10">
        <v>34</v>
      </c>
      <c r="E41">
        <v>31</v>
      </c>
      <c r="F41" s="79">
        <v>28</v>
      </c>
      <c r="G41" s="80">
        <v>24</v>
      </c>
      <c r="H41" s="200">
        <v>23</v>
      </c>
      <c r="I41" s="11">
        <v>20</v>
      </c>
    </row>
    <row r="42" spans="2:9" ht="15.75" hidden="1" customHeight="1" x14ac:dyDescent="0.25">
      <c r="B42" s="56"/>
      <c r="C42" s="9">
        <v>3</v>
      </c>
      <c r="D42" s="10">
        <v>0</v>
      </c>
      <c r="E42">
        <v>0</v>
      </c>
      <c r="F42" s="79">
        <v>0</v>
      </c>
      <c r="G42" s="80">
        <v>0</v>
      </c>
      <c r="H42" s="81">
        <v>0</v>
      </c>
      <c r="I42" s="11">
        <v>0</v>
      </c>
    </row>
    <row r="43" spans="2:9" ht="15.75" hidden="1" customHeight="1" x14ac:dyDescent="0.25">
      <c r="B43" s="56"/>
      <c r="C43" s="9">
        <v>3.5</v>
      </c>
      <c r="D43" s="10">
        <v>2</v>
      </c>
      <c r="E43">
        <v>1</v>
      </c>
      <c r="F43" s="79">
        <v>1</v>
      </c>
      <c r="G43" s="80">
        <v>1</v>
      </c>
      <c r="H43" s="81">
        <v>1</v>
      </c>
      <c r="I43" s="11">
        <v>0</v>
      </c>
    </row>
    <row r="44" spans="2:9" ht="15.75" hidden="1" customHeight="1" x14ac:dyDescent="0.25">
      <c r="B44" s="56"/>
      <c r="C44" s="9">
        <v>2</v>
      </c>
      <c r="D44" s="10">
        <v>1</v>
      </c>
      <c r="E44">
        <v>1</v>
      </c>
      <c r="F44" s="79">
        <v>1</v>
      </c>
      <c r="G44" s="80">
        <v>0</v>
      </c>
      <c r="H44" s="81">
        <v>1</v>
      </c>
      <c r="I44" s="11">
        <v>1</v>
      </c>
    </row>
    <row r="45" spans="2:9" ht="15.75" hidden="1" customHeight="1" x14ac:dyDescent="0.25">
      <c r="B45" s="12"/>
      <c r="C45" s="12"/>
      <c r="D45" s="13"/>
      <c r="F45" s="13"/>
      <c r="G45" s="13"/>
      <c r="H45" s="13"/>
      <c r="I45" s="13"/>
    </row>
    <row r="46" spans="2:9" ht="15.75" hidden="1" customHeight="1" x14ac:dyDescent="0.25">
      <c r="B46" s="61"/>
      <c r="C46" s="11">
        <v>1</v>
      </c>
      <c r="D46" s="11">
        <v>1</v>
      </c>
      <c r="E46">
        <v>1</v>
      </c>
      <c r="F46" s="79">
        <v>1</v>
      </c>
      <c r="G46" s="80">
        <v>1</v>
      </c>
      <c r="H46" s="76">
        <v>1</v>
      </c>
      <c r="I46" s="11">
        <v>1</v>
      </c>
    </row>
    <row r="47" spans="2:9" ht="15.75" hidden="1" customHeight="1" x14ac:dyDescent="0.25">
      <c r="B47" s="62"/>
      <c r="C47" s="11">
        <v>1</v>
      </c>
      <c r="D47" s="11">
        <v>1</v>
      </c>
      <c r="E47">
        <v>1</v>
      </c>
      <c r="F47" s="79">
        <v>1</v>
      </c>
      <c r="G47" s="80">
        <v>1</v>
      </c>
      <c r="H47" s="76">
        <v>1</v>
      </c>
      <c r="I47" s="11">
        <v>1</v>
      </c>
    </row>
    <row r="48" spans="2:9" ht="15.75" hidden="1" customHeight="1" x14ac:dyDescent="0.25">
      <c r="B48" s="62"/>
      <c r="C48" s="11">
        <v>1</v>
      </c>
      <c r="D48" s="11">
        <v>1</v>
      </c>
      <c r="E48">
        <v>1</v>
      </c>
      <c r="F48" s="79">
        <v>1</v>
      </c>
      <c r="G48" s="80">
        <v>1</v>
      </c>
      <c r="H48" s="76">
        <v>1</v>
      </c>
      <c r="I48" s="11">
        <v>1</v>
      </c>
    </row>
    <row r="49" spans="2:9" ht="15.75" hidden="1" customHeight="1" x14ac:dyDescent="0.25">
      <c r="B49" s="63"/>
      <c r="C49" s="199">
        <v>1</v>
      </c>
      <c r="D49" s="11">
        <v>1</v>
      </c>
      <c r="E49">
        <v>1</v>
      </c>
      <c r="F49" s="79">
        <v>1</v>
      </c>
      <c r="G49" s="80">
        <v>1</v>
      </c>
      <c r="H49" s="207">
        <v>1</v>
      </c>
      <c r="I49" s="11">
        <v>1</v>
      </c>
    </row>
    <row r="50" spans="2:9" ht="15.75" hidden="1" customHeight="1" x14ac:dyDescent="0.25">
      <c r="B50" s="58"/>
      <c r="C50" s="11">
        <v>1</v>
      </c>
      <c r="D50" s="11">
        <v>0</v>
      </c>
      <c r="E50">
        <v>0</v>
      </c>
      <c r="F50" s="79">
        <v>0</v>
      </c>
      <c r="G50" s="80">
        <v>0</v>
      </c>
      <c r="H50" s="76">
        <v>0</v>
      </c>
      <c r="I50" s="11">
        <v>0</v>
      </c>
    </row>
    <row r="51" spans="2:9" ht="15.75" hidden="1" customHeight="1" x14ac:dyDescent="0.25">
      <c r="B51" s="62"/>
      <c r="C51" s="11">
        <v>1</v>
      </c>
      <c r="D51" s="11">
        <v>1</v>
      </c>
      <c r="E51">
        <v>1</v>
      </c>
      <c r="F51" s="79">
        <v>1</v>
      </c>
      <c r="G51" s="80">
        <v>1</v>
      </c>
      <c r="H51" s="76">
        <v>1</v>
      </c>
      <c r="I51" s="11">
        <v>1</v>
      </c>
    </row>
    <row r="52" spans="2:9" ht="15.75" hidden="1" customHeight="1" x14ac:dyDescent="0.25">
      <c r="B52" s="58"/>
      <c r="C52" s="199">
        <v>3</v>
      </c>
      <c r="D52" s="11">
        <v>1</v>
      </c>
      <c r="E52">
        <v>1</v>
      </c>
      <c r="F52" s="79">
        <v>1</v>
      </c>
      <c r="G52" s="80">
        <v>1</v>
      </c>
      <c r="H52" s="207">
        <v>1</v>
      </c>
      <c r="I52" s="11">
        <v>1</v>
      </c>
    </row>
    <row r="53" spans="2:9" ht="15.75" hidden="1" customHeight="1" x14ac:dyDescent="0.25">
      <c r="B53" s="62"/>
      <c r="C53" s="11">
        <v>0</v>
      </c>
      <c r="D53" s="11">
        <v>0</v>
      </c>
      <c r="E53">
        <v>0</v>
      </c>
      <c r="F53" s="79">
        <v>0</v>
      </c>
      <c r="G53" s="80">
        <v>0</v>
      </c>
      <c r="H53" s="76">
        <v>0</v>
      </c>
      <c r="I53" s="11">
        <v>0</v>
      </c>
    </row>
    <row r="54" spans="2:9" ht="15.75" hidden="1" customHeight="1" x14ac:dyDescent="0.25">
      <c r="B54" s="58"/>
      <c r="C54" s="11">
        <v>1</v>
      </c>
      <c r="D54" s="11">
        <v>0</v>
      </c>
      <c r="E54">
        <v>0</v>
      </c>
      <c r="F54" s="79">
        <v>0</v>
      </c>
      <c r="G54" s="80">
        <v>0</v>
      </c>
      <c r="H54" s="76">
        <v>0</v>
      </c>
      <c r="I54" s="11">
        <v>0</v>
      </c>
    </row>
    <row r="55" spans="2:9" ht="15.75" hidden="1" customHeight="1" x14ac:dyDescent="0.25">
      <c r="B55" s="58"/>
      <c r="C55" s="11">
        <v>1</v>
      </c>
      <c r="D55" s="11">
        <v>0</v>
      </c>
      <c r="E55">
        <v>0</v>
      </c>
      <c r="F55" s="79">
        <v>0</v>
      </c>
      <c r="G55" s="80">
        <v>0</v>
      </c>
      <c r="H55" s="76">
        <v>0</v>
      </c>
      <c r="I55" s="11">
        <v>0</v>
      </c>
    </row>
    <row r="56" spans="2:9" ht="15.75" hidden="1" customHeight="1" x14ac:dyDescent="0.25">
      <c r="B56" s="62"/>
      <c r="C56" s="11">
        <v>1</v>
      </c>
      <c r="D56" s="11">
        <v>1</v>
      </c>
      <c r="E56">
        <v>1</v>
      </c>
      <c r="F56" s="79">
        <v>1</v>
      </c>
      <c r="G56" s="80">
        <v>1</v>
      </c>
      <c r="H56" s="76">
        <v>1</v>
      </c>
      <c r="I56" s="11">
        <v>1</v>
      </c>
    </row>
    <row r="57" spans="2:9" ht="15.75" hidden="1" customHeight="1" x14ac:dyDescent="0.25">
      <c r="B57" s="62"/>
      <c r="C57" s="11">
        <v>1</v>
      </c>
      <c r="D57" s="11">
        <v>1</v>
      </c>
      <c r="E57">
        <v>1</v>
      </c>
      <c r="F57" s="79">
        <v>1</v>
      </c>
      <c r="G57" s="80">
        <v>1</v>
      </c>
      <c r="H57" s="76">
        <v>1</v>
      </c>
      <c r="I57" s="11">
        <v>1</v>
      </c>
    </row>
    <row r="58" spans="2:9" ht="15.75" hidden="1" customHeight="1" x14ac:dyDescent="0.25">
      <c r="B58" s="61"/>
      <c r="C58" s="11">
        <v>2</v>
      </c>
      <c r="D58" s="11">
        <v>1</v>
      </c>
      <c r="E58">
        <v>0</v>
      </c>
      <c r="F58" s="79">
        <v>0</v>
      </c>
      <c r="G58" s="80">
        <v>0</v>
      </c>
      <c r="H58" s="76">
        <v>1</v>
      </c>
      <c r="I58" s="11">
        <v>0</v>
      </c>
    </row>
    <row r="59" spans="2:9" ht="15.75" hidden="1" customHeight="1" x14ac:dyDescent="0.25">
      <c r="B59" s="62"/>
      <c r="C59" s="11">
        <v>0</v>
      </c>
      <c r="D59" s="11">
        <v>0</v>
      </c>
      <c r="E59">
        <v>0</v>
      </c>
      <c r="F59" s="79">
        <v>0</v>
      </c>
      <c r="G59" s="80">
        <v>1</v>
      </c>
      <c r="H59" s="76">
        <v>0</v>
      </c>
      <c r="I59" s="11">
        <v>0</v>
      </c>
    </row>
    <row r="60" spans="2:9" ht="15.75" hidden="1" customHeight="1" x14ac:dyDescent="0.25">
      <c r="B60" s="62"/>
      <c r="C60" s="11">
        <v>1</v>
      </c>
      <c r="D60" s="11">
        <v>1</v>
      </c>
      <c r="E60">
        <v>1</v>
      </c>
      <c r="F60" s="79">
        <v>0</v>
      </c>
      <c r="G60" s="80">
        <v>1</v>
      </c>
      <c r="H60" s="76">
        <v>1</v>
      </c>
      <c r="I60" s="11">
        <v>1</v>
      </c>
    </row>
    <row r="61" spans="2:9" ht="15.75" hidden="1" customHeight="1" x14ac:dyDescent="0.25">
      <c r="B61" s="62"/>
      <c r="C61" s="11">
        <v>1</v>
      </c>
      <c r="D61" s="11">
        <v>1</v>
      </c>
      <c r="E61">
        <v>1</v>
      </c>
      <c r="F61" s="79">
        <v>1</v>
      </c>
      <c r="G61" s="80">
        <v>1</v>
      </c>
      <c r="H61" s="76">
        <v>1</v>
      </c>
      <c r="I61" s="11">
        <v>1</v>
      </c>
    </row>
    <row r="62" spans="2:9" ht="15.75" hidden="1" customHeight="1" x14ac:dyDescent="0.25">
      <c r="B62" s="62"/>
      <c r="C62" s="11">
        <v>1</v>
      </c>
      <c r="D62" s="11">
        <v>1</v>
      </c>
      <c r="E62">
        <v>1</v>
      </c>
      <c r="F62" s="79">
        <v>1</v>
      </c>
      <c r="G62" s="80">
        <v>1</v>
      </c>
      <c r="H62" s="76">
        <v>1</v>
      </c>
      <c r="I62" s="11">
        <v>1</v>
      </c>
    </row>
    <row r="63" spans="2:9" ht="15.75" hidden="1" customHeight="1" x14ac:dyDescent="0.25">
      <c r="B63" s="62"/>
      <c r="C63" s="11">
        <v>1</v>
      </c>
      <c r="D63" s="11">
        <v>1</v>
      </c>
      <c r="E63">
        <v>1</v>
      </c>
      <c r="F63" s="79">
        <v>1</v>
      </c>
      <c r="G63" s="80">
        <v>1</v>
      </c>
      <c r="H63" s="76">
        <v>1</v>
      </c>
      <c r="I63" s="11">
        <v>1</v>
      </c>
    </row>
    <row r="64" spans="2:9" ht="15.75" hidden="1" customHeight="1" x14ac:dyDescent="0.25">
      <c r="B64" s="18"/>
      <c r="C64" s="18"/>
      <c r="D64" s="19"/>
      <c r="F64" s="19"/>
      <c r="G64" s="19"/>
      <c r="H64" s="19"/>
      <c r="I64" s="19"/>
    </row>
    <row r="65" spans="1:10" ht="15.75" hidden="1" customHeight="1" x14ac:dyDescent="0.25">
      <c r="B65" s="56"/>
      <c r="C65" s="10">
        <v>0</v>
      </c>
      <c r="D65" s="10">
        <v>5</v>
      </c>
      <c r="E65">
        <v>5</v>
      </c>
      <c r="F65" s="79">
        <v>5</v>
      </c>
      <c r="G65" s="80">
        <v>5</v>
      </c>
      <c r="H65" s="76">
        <v>5</v>
      </c>
      <c r="I65" s="11">
        <v>5</v>
      </c>
    </row>
    <row r="66" spans="1:10" ht="15.75" hidden="1" customHeight="1" x14ac:dyDescent="0.25">
      <c r="B66" s="56"/>
      <c r="C66" s="10">
        <v>5</v>
      </c>
      <c r="D66" s="10">
        <v>5</v>
      </c>
      <c r="E66">
        <v>3</v>
      </c>
      <c r="F66" s="79">
        <v>0</v>
      </c>
      <c r="G66" s="80">
        <v>0</v>
      </c>
      <c r="H66" s="76">
        <v>2</v>
      </c>
      <c r="I66" s="11">
        <v>3</v>
      </c>
    </row>
    <row r="67" spans="1:10" ht="15.75" hidden="1" customHeight="1" x14ac:dyDescent="0.25">
      <c r="B67" s="56"/>
      <c r="C67" s="10">
        <v>1</v>
      </c>
      <c r="D67" s="10">
        <v>1</v>
      </c>
      <c r="E67">
        <v>1</v>
      </c>
      <c r="F67" s="79">
        <v>1</v>
      </c>
      <c r="G67" s="80">
        <v>1</v>
      </c>
      <c r="H67" s="76">
        <v>1</v>
      </c>
      <c r="I67" s="11">
        <v>1</v>
      </c>
    </row>
    <row r="68" spans="1:10" ht="15.75" hidden="1" customHeight="1" x14ac:dyDescent="0.25">
      <c r="B68" s="56"/>
      <c r="C68" s="10">
        <v>1</v>
      </c>
      <c r="D68" s="10">
        <v>0</v>
      </c>
      <c r="E68">
        <v>0</v>
      </c>
      <c r="F68" s="79">
        <v>0</v>
      </c>
      <c r="G68" s="80">
        <v>1</v>
      </c>
      <c r="H68" s="76">
        <v>1</v>
      </c>
      <c r="I68" s="11">
        <v>1</v>
      </c>
    </row>
    <row r="69" spans="1:10" ht="15.75" hidden="1" customHeight="1" x14ac:dyDescent="0.25">
      <c r="B69" s="56"/>
      <c r="C69" s="10">
        <v>1</v>
      </c>
      <c r="D69" s="10">
        <v>1</v>
      </c>
      <c r="E69">
        <v>1</v>
      </c>
      <c r="F69" s="79">
        <v>1</v>
      </c>
      <c r="G69" s="80">
        <v>1</v>
      </c>
      <c r="H69" s="76">
        <v>1</v>
      </c>
      <c r="I69" s="11">
        <v>1</v>
      </c>
    </row>
    <row r="70" spans="1:10" ht="15.75" hidden="1" customHeight="1" x14ac:dyDescent="0.25">
      <c r="A70" s="66"/>
      <c r="B70" s="56"/>
      <c r="C70" s="10">
        <v>5</v>
      </c>
      <c r="D70" s="10">
        <v>6</v>
      </c>
      <c r="E70">
        <v>6</v>
      </c>
      <c r="F70" s="79">
        <v>6</v>
      </c>
      <c r="G70" s="80">
        <v>4</v>
      </c>
      <c r="H70" s="76">
        <v>0</v>
      </c>
      <c r="I70" s="11">
        <v>4</v>
      </c>
    </row>
    <row r="71" spans="1:10" ht="15.75" hidden="1" customHeight="1" x14ac:dyDescent="0.25">
      <c r="B71" s="58"/>
      <c r="C71" s="11">
        <v>5</v>
      </c>
      <c r="D71" s="222">
        <v>3</v>
      </c>
      <c r="E71">
        <v>5</v>
      </c>
      <c r="F71" s="333">
        <v>5</v>
      </c>
      <c r="G71" s="80">
        <v>5</v>
      </c>
      <c r="H71" s="76">
        <v>3</v>
      </c>
      <c r="I71" s="11">
        <v>3</v>
      </c>
    </row>
    <row r="72" spans="1:10" x14ac:dyDescent="0.25">
      <c r="A72" s="3" t="s">
        <v>124</v>
      </c>
      <c r="B72" s="56" t="s">
        <v>9</v>
      </c>
      <c r="C72" s="10"/>
      <c r="D72" s="10">
        <v>35</v>
      </c>
      <c r="E72" s="2">
        <v>29</v>
      </c>
      <c r="F72" s="10">
        <v>29</v>
      </c>
      <c r="G72" s="10">
        <v>21</v>
      </c>
      <c r="H72" s="10">
        <v>30</v>
      </c>
      <c r="I72" s="10">
        <v>39</v>
      </c>
      <c r="J72" s="10"/>
    </row>
    <row r="73" spans="1:10" ht="15.75" hidden="1" customHeight="1" x14ac:dyDescent="0.25">
      <c r="B73" s="56"/>
      <c r="C73" s="10">
        <v>3</v>
      </c>
      <c r="D73" s="232">
        <v>0</v>
      </c>
      <c r="E73" s="229">
        <v>0</v>
      </c>
      <c r="F73" s="230">
        <v>0</v>
      </c>
      <c r="G73" s="10">
        <v>5</v>
      </c>
      <c r="H73" s="76">
        <v>5</v>
      </c>
      <c r="I73" s="11">
        <v>5</v>
      </c>
    </row>
    <row r="74" spans="1:10" ht="15.75" hidden="1" customHeight="1" x14ac:dyDescent="0.25">
      <c r="B74" s="56"/>
      <c r="C74" s="10">
        <v>10</v>
      </c>
      <c r="D74" s="10">
        <v>10</v>
      </c>
      <c r="E74" s="79">
        <v>6</v>
      </c>
      <c r="F74" s="80">
        <v>10</v>
      </c>
      <c r="G74" s="10">
        <v>10</v>
      </c>
      <c r="H74" s="76">
        <v>8</v>
      </c>
      <c r="I74" s="11">
        <v>5</v>
      </c>
    </row>
    <row r="75" spans="1:10" ht="15.75" hidden="1" customHeight="1" x14ac:dyDescent="0.25">
      <c r="B75" s="56"/>
      <c r="C75" s="10">
        <v>1</v>
      </c>
      <c r="D75" s="10">
        <v>1</v>
      </c>
      <c r="E75" s="79">
        <v>1</v>
      </c>
      <c r="F75" s="80">
        <v>0</v>
      </c>
      <c r="G75" s="10">
        <v>0</v>
      </c>
      <c r="H75" s="76">
        <v>0</v>
      </c>
      <c r="I75" s="11">
        <v>1</v>
      </c>
    </row>
    <row r="76" spans="1:10" ht="15.75" hidden="1" customHeight="1" x14ac:dyDescent="0.25">
      <c r="B76" s="56"/>
      <c r="C76" s="10">
        <v>2</v>
      </c>
      <c r="D76" s="10">
        <v>1</v>
      </c>
      <c r="E76" s="79">
        <v>1</v>
      </c>
      <c r="F76" s="80">
        <v>1</v>
      </c>
      <c r="G76" s="10">
        <v>0</v>
      </c>
      <c r="H76" s="76">
        <v>1</v>
      </c>
      <c r="I76" s="11">
        <v>1</v>
      </c>
    </row>
    <row r="77" spans="1:10" ht="15.75" hidden="1" customHeight="1" x14ac:dyDescent="0.25">
      <c r="B77" s="56"/>
      <c r="C77" s="10">
        <v>2</v>
      </c>
      <c r="D77" s="10">
        <v>1</v>
      </c>
      <c r="E77" s="79">
        <v>1</v>
      </c>
      <c r="F77" s="80">
        <v>2</v>
      </c>
      <c r="G77" s="10">
        <v>0</v>
      </c>
      <c r="H77" s="76">
        <v>1</v>
      </c>
      <c r="I77" s="11">
        <v>0</v>
      </c>
    </row>
    <row r="78" spans="1:10" ht="15.75" hidden="1" customHeight="1" x14ac:dyDescent="0.25">
      <c r="B78" s="56"/>
      <c r="C78" s="10">
        <v>0</v>
      </c>
      <c r="D78" s="10">
        <v>0</v>
      </c>
      <c r="E78" s="79">
        <v>0</v>
      </c>
      <c r="F78" s="80">
        <v>0</v>
      </c>
      <c r="G78" s="10">
        <v>0</v>
      </c>
      <c r="H78" s="76">
        <v>0</v>
      </c>
      <c r="I78" s="11">
        <v>0</v>
      </c>
    </row>
    <row r="79" spans="1:10" ht="15.75" hidden="1" customHeight="1" x14ac:dyDescent="0.25">
      <c r="B79" s="56"/>
      <c r="C79" s="10">
        <v>3</v>
      </c>
      <c r="D79" s="10">
        <v>5</v>
      </c>
      <c r="E79" s="79">
        <v>2</v>
      </c>
      <c r="F79" s="80">
        <v>5</v>
      </c>
      <c r="G79" s="10">
        <v>5</v>
      </c>
      <c r="H79" s="76">
        <v>5</v>
      </c>
      <c r="I79" s="11">
        <v>5</v>
      </c>
    </row>
    <row r="80" spans="1:10" ht="15.75" hidden="1" customHeight="1" x14ac:dyDescent="0.25">
      <c r="B80" s="56"/>
      <c r="C80" s="20">
        <v>0</v>
      </c>
      <c r="D80" s="344">
        <v>0</v>
      </c>
      <c r="E80" s="345">
        <v>1</v>
      </c>
      <c r="F80" s="80">
        <v>1</v>
      </c>
      <c r="G80" s="20">
        <v>1</v>
      </c>
      <c r="H80" s="82">
        <v>0</v>
      </c>
      <c r="I80" s="11">
        <v>1</v>
      </c>
    </row>
    <row r="81" spans="1:9" ht="15.75" hidden="1" customHeight="1" x14ac:dyDescent="0.25">
      <c r="B81" s="56"/>
      <c r="C81" s="10">
        <v>11</v>
      </c>
      <c r="D81" s="10">
        <v>16</v>
      </c>
      <c r="E81" s="79">
        <v>5</v>
      </c>
      <c r="F81" s="80">
        <v>13</v>
      </c>
      <c r="G81" s="10">
        <v>14</v>
      </c>
      <c r="H81" s="76">
        <v>15</v>
      </c>
      <c r="I81" s="11">
        <v>5</v>
      </c>
    </row>
    <row r="82" spans="1:9" ht="15.75" hidden="1" customHeight="1" x14ac:dyDescent="0.25">
      <c r="B82" s="56"/>
      <c r="C82" s="20">
        <v>2</v>
      </c>
      <c r="D82" s="10">
        <v>3</v>
      </c>
      <c r="E82" s="79">
        <v>5</v>
      </c>
      <c r="F82" s="80">
        <v>10</v>
      </c>
      <c r="G82" s="20">
        <v>5</v>
      </c>
      <c r="H82" s="82">
        <v>3</v>
      </c>
      <c r="I82" s="11">
        <v>3</v>
      </c>
    </row>
    <row r="83" spans="1:9" ht="15.75" hidden="1" customHeight="1" x14ac:dyDescent="0.25">
      <c r="B83" s="56"/>
      <c r="C83" s="10">
        <v>5</v>
      </c>
      <c r="D83" s="10">
        <v>5</v>
      </c>
      <c r="E83" s="79">
        <v>0</v>
      </c>
      <c r="F83" s="80">
        <v>5</v>
      </c>
      <c r="G83" s="10">
        <v>0</v>
      </c>
      <c r="H83" s="76">
        <v>5</v>
      </c>
      <c r="I83" s="11">
        <v>5</v>
      </c>
    </row>
    <row r="84" spans="1:9" ht="15.75" hidden="1" customHeight="1" x14ac:dyDescent="0.25">
      <c r="B84" s="56"/>
      <c r="C84" s="10">
        <v>1</v>
      </c>
      <c r="D84" s="10">
        <v>1</v>
      </c>
      <c r="E84" s="79">
        <v>1</v>
      </c>
      <c r="F84" s="80">
        <v>1</v>
      </c>
      <c r="G84" s="10">
        <v>2</v>
      </c>
      <c r="H84" s="76">
        <v>1</v>
      </c>
      <c r="I84" s="11">
        <v>1</v>
      </c>
    </row>
    <row r="85" spans="1:9" ht="15.75" hidden="1" customHeight="1" x14ac:dyDescent="0.25">
      <c r="B85" s="56"/>
      <c r="C85" s="10">
        <v>1</v>
      </c>
      <c r="D85" s="10">
        <v>1</v>
      </c>
      <c r="E85" s="79">
        <v>0</v>
      </c>
      <c r="F85" s="80">
        <v>1</v>
      </c>
      <c r="G85" s="10">
        <v>1</v>
      </c>
      <c r="H85" s="76">
        <v>0</v>
      </c>
      <c r="I85" s="11">
        <v>0</v>
      </c>
    </row>
    <row r="86" spans="1:9" ht="15.75" hidden="1" customHeight="1" x14ac:dyDescent="0.25">
      <c r="B86" s="58"/>
      <c r="C86" s="10">
        <v>0</v>
      </c>
      <c r="D86" s="10">
        <v>0</v>
      </c>
      <c r="E86" s="79">
        <v>0</v>
      </c>
      <c r="F86" s="80">
        <v>0</v>
      </c>
      <c r="G86" s="10">
        <v>0</v>
      </c>
      <c r="H86" s="76">
        <v>0</v>
      </c>
      <c r="I86" s="11">
        <v>0</v>
      </c>
    </row>
    <row r="87" spans="1:9" ht="15.75" hidden="1" customHeight="1" x14ac:dyDescent="0.25">
      <c r="B87" s="56"/>
      <c r="C87" s="10">
        <v>7</v>
      </c>
      <c r="D87" s="10">
        <v>8</v>
      </c>
      <c r="E87" s="79">
        <v>8</v>
      </c>
      <c r="F87" s="80">
        <v>8</v>
      </c>
      <c r="G87" s="10">
        <v>0</v>
      </c>
      <c r="H87" s="76">
        <v>8</v>
      </c>
      <c r="I87" s="11">
        <v>0</v>
      </c>
    </row>
    <row r="88" spans="1:9" ht="15.75" hidden="1" customHeight="1" x14ac:dyDescent="0.25">
      <c r="B88" s="56"/>
      <c r="C88" s="10">
        <v>1</v>
      </c>
      <c r="D88" s="10">
        <v>1</v>
      </c>
      <c r="E88" s="79">
        <v>1</v>
      </c>
      <c r="F88" s="80">
        <v>1</v>
      </c>
      <c r="G88" s="10">
        <v>8</v>
      </c>
      <c r="H88" s="76">
        <v>1</v>
      </c>
      <c r="I88" s="11">
        <v>0</v>
      </c>
    </row>
    <row r="89" spans="1:9" ht="15.75" hidden="1" customHeight="1" x14ac:dyDescent="0.25">
      <c r="A89" s="66"/>
      <c r="B89" s="56"/>
      <c r="C89" s="10">
        <v>2</v>
      </c>
      <c r="D89" s="10">
        <v>2</v>
      </c>
      <c r="E89" s="79">
        <v>0</v>
      </c>
      <c r="F89" s="80">
        <v>1</v>
      </c>
      <c r="G89" s="10">
        <v>0</v>
      </c>
      <c r="H89" s="76">
        <v>2</v>
      </c>
      <c r="I89" s="11">
        <v>0</v>
      </c>
    </row>
    <row r="90" spans="1:9" ht="15.75" hidden="1" customHeight="1" x14ac:dyDescent="0.25">
      <c r="B90" s="56"/>
      <c r="C90" s="10">
        <v>0</v>
      </c>
      <c r="D90" s="10">
        <v>0</v>
      </c>
      <c r="E90" s="79">
        <v>0</v>
      </c>
      <c r="F90" s="80">
        <v>0</v>
      </c>
      <c r="G90" s="10">
        <v>0</v>
      </c>
      <c r="H90" s="76">
        <v>0</v>
      </c>
      <c r="I90" s="11">
        <v>1</v>
      </c>
    </row>
    <row r="91" spans="1:9" ht="15.75" hidden="1" customHeight="1" x14ac:dyDescent="0.25">
      <c r="B91" s="56"/>
      <c r="C91" s="10">
        <v>10</v>
      </c>
      <c r="D91" s="10">
        <v>6</v>
      </c>
      <c r="E91" s="79">
        <v>3</v>
      </c>
      <c r="F91" s="80">
        <v>6</v>
      </c>
      <c r="G91" s="10">
        <v>0</v>
      </c>
      <c r="H91" s="76">
        <v>0</v>
      </c>
      <c r="I91" s="11">
        <v>0</v>
      </c>
    </row>
    <row r="92" spans="1:9" ht="15.75" hidden="1" customHeight="1" x14ac:dyDescent="0.25">
      <c r="B92" s="56"/>
      <c r="C92" s="10">
        <v>4</v>
      </c>
      <c r="D92" s="10">
        <v>2</v>
      </c>
      <c r="E92" s="79">
        <v>0</v>
      </c>
      <c r="F92" s="80">
        <v>4</v>
      </c>
      <c r="G92" s="10">
        <v>4</v>
      </c>
      <c r="H92" s="76">
        <v>0</v>
      </c>
      <c r="I92" s="11">
        <v>2</v>
      </c>
    </row>
    <row r="93" spans="1:9" ht="15.75" hidden="1" customHeight="1" x14ac:dyDescent="0.25">
      <c r="B93" s="12"/>
      <c r="C93" s="12"/>
      <c r="D93" s="13"/>
      <c r="E93" s="13"/>
      <c r="F93" s="13"/>
      <c r="G93" s="13"/>
      <c r="H93" s="13"/>
      <c r="I93" s="13"/>
    </row>
    <row r="94" spans="1:9" ht="15.75" hidden="1" customHeight="1" x14ac:dyDescent="0.25">
      <c r="B94" s="58"/>
      <c r="C94" s="11">
        <v>0</v>
      </c>
      <c r="D94" s="11">
        <v>0</v>
      </c>
      <c r="E94" s="79">
        <v>0</v>
      </c>
      <c r="F94" s="80">
        <v>0</v>
      </c>
      <c r="G94" s="11">
        <v>0</v>
      </c>
      <c r="H94" s="76">
        <v>0</v>
      </c>
      <c r="I94" s="11">
        <v>4</v>
      </c>
    </row>
    <row r="95" spans="1:9" ht="15.75" hidden="1" customHeight="1" x14ac:dyDescent="0.25">
      <c r="B95" s="58"/>
      <c r="C95" s="11">
        <v>6</v>
      </c>
      <c r="D95" s="11">
        <v>0</v>
      </c>
      <c r="E95" s="79">
        <v>0</v>
      </c>
      <c r="F95" s="80">
        <v>0</v>
      </c>
      <c r="G95" s="11">
        <v>0</v>
      </c>
      <c r="H95" s="76">
        <v>0</v>
      </c>
      <c r="I95" s="11">
        <v>0</v>
      </c>
    </row>
    <row r="96" spans="1:9" ht="15.75" hidden="1" customHeight="1" x14ac:dyDescent="0.25">
      <c r="B96" s="56"/>
      <c r="C96" s="11">
        <v>4</v>
      </c>
      <c r="D96" s="11">
        <v>6</v>
      </c>
      <c r="E96" s="79">
        <v>8</v>
      </c>
      <c r="F96" s="80">
        <v>4</v>
      </c>
      <c r="G96" s="11">
        <v>8</v>
      </c>
      <c r="H96" s="76">
        <v>8</v>
      </c>
      <c r="I96" s="11">
        <v>0</v>
      </c>
    </row>
    <row r="97" spans="1:9" ht="15.75" hidden="1" customHeight="1" x14ac:dyDescent="0.25">
      <c r="B97" s="56"/>
      <c r="C97" s="11">
        <v>0.5</v>
      </c>
      <c r="D97" s="11">
        <v>0</v>
      </c>
      <c r="E97" s="79">
        <v>0</v>
      </c>
      <c r="F97" s="80">
        <v>0</v>
      </c>
      <c r="G97" s="11">
        <v>0</v>
      </c>
      <c r="H97" s="76">
        <v>0</v>
      </c>
      <c r="I97" s="11">
        <v>8</v>
      </c>
    </row>
    <row r="98" spans="1:9" ht="15.75" hidden="1" customHeight="1" x14ac:dyDescent="0.25">
      <c r="B98" s="56"/>
      <c r="C98" s="11">
        <v>0</v>
      </c>
      <c r="D98" s="11">
        <v>1</v>
      </c>
      <c r="E98" s="79">
        <v>1</v>
      </c>
      <c r="F98" s="80">
        <v>1</v>
      </c>
      <c r="G98" s="11">
        <v>1</v>
      </c>
      <c r="H98" s="76">
        <v>1</v>
      </c>
      <c r="I98" s="11">
        <v>0</v>
      </c>
    </row>
    <row r="99" spans="1:9" ht="15.75" hidden="1" customHeight="1" x14ac:dyDescent="0.25">
      <c r="A99" s="70"/>
      <c r="B99" s="56"/>
      <c r="C99" s="11">
        <v>1</v>
      </c>
      <c r="D99" s="11">
        <v>1</v>
      </c>
      <c r="E99" s="79">
        <v>1</v>
      </c>
      <c r="F99" s="80">
        <v>1</v>
      </c>
      <c r="G99" s="11">
        <v>1</v>
      </c>
      <c r="H99" s="76">
        <v>1</v>
      </c>
      <c r="I99" s="11">
        <v>1</v>
      </c>
    </row>
    <row r="100" spans="1:9" ht="15.75" hidden="1" customHeight="1" x14ac:dyDescent="0.25">
      <c r="B100" s="12"/>
      <c r="C100" s="12"/>
      <c r="D100" s="13"/>
      <c r="E100" s="13"/>
      <c r="F100" s="13"/>
      <c r="G100" s="13"/>
      <c r="H100" s="13"/>
      <c r="I100" s="13"/>
    </row>
    <row r="101" spans="1:9" ht="15.75" hidden="1" customHeight="1" x14ac:dyDescent="0.25">
      <c r="A101" s="71"/>
      <c r="B101" s="58"/>
      <c r="C101" s="11">
        <v>1</v>
      </c>
      <c r="D101" s="11">
        <v>0</v>
      </c>
      <c r="E101" s="79">
        <v>0</v>
      </c>
      <c r="F101" s="80">
        <v>0</v>
      </c>
      <c r="G101" s="11">
        <v>0</v>
      </c>
      <c r="H101" s="76">
        <v>1</v>
      </c>
      <c r="I101" s="11">
        <v>1</v>
      </c>
    </row>
    <row r="102" spans="1:9" ht="15.75" hidden="1" customHeight="1" x14ac:dyDescent="0.25">
      <c r="B102" s="58"/>
      <c r="C102" s="11">
        <v>1</v>
      </c>
      <c r="D102" s="11">
        <v>1</v>
      </c>
      <c r="E102" s="79">
        <v>1</v>
      </c>
      <c r="F102" s="80">
        <v>1</v>
      </c>
      <c r="G102" s="11">
        <v>1</v>
      </c>
      <c r="H102" s="76">
        <v>1</v>
      </c>
      <c r="I102" s="11">
        <v>1</v>
      </c>
    </row>
    <row r="103" spans="1:9" ht="15.75" hidden="1" customHeight="1" x14ac:dyDescent="0.25">
      <c r="B103" s="57"/>
      <c r="C103" s="11">
        <v>60</v>
      </c>
      <c r="D103" s="11">
        <v>0</v>
      </c>
      <c r="E103" s="79">
        <v>0</v>
      </c>
      <c r="F103" s="80">
        <v>0</v>
      </c>
      <c r="G103" s="11">
        <v>0</v>
      </c>
      <c r="H103" s="76">
        <v>39</v>
      </c>
      <c r="I103" s="11">
        <v>30</v>
      </c>
    </row>
    <row r="104" spans="1:9" ht="15.75" hidden="1" customHeight="1" x14ac:dyDescent="0.25">
      <c r="B104" s="58"/>
      <c r="C104" s="11">
        <v>70</v>
      </c>
      <c r="D104" s="11">
        <v>100</v>
      </c>
      <c r="E104" s="79">
        <v>100</v>
      </c>
      <c r="F104" s="80">
        <v>100</v>
      </c>
      <c r="G104" s="11">
        <v>100</v>
      </c>
      <c r="H104" s="76">
        <v>100</v>
      </c>
      <c r="I104" s="11">
        <v>100</v>
      </c>
    </row>
    <row r="105" spans="1:9" ht="15.75" hidden="1" customHeight="1" x14ac:dyDescent="0.25">
      <c r="B105" s="58"/>
      <c r="C105" s="11">
        <v>0</v>
      </c>
      <c r="D105" s="11">
        <v>0</v>
      </c>
      <c r="E105" s="79">
        <v>0</v>
      </c>
      <c r="F105" s="80">
        <v>0</v>
      </c>
      <c r="G105" s="11">
        <v>0</v>
      </c>
      <c r="H105" s="76">
        <v>0</v>
      </c>
      <c r="I105" s="11">
        <v>0</v>
      </c>
    </row>
    <row r="106" spans="1:9" ht="15.75" hidden="1" customHeight="1" x14ac:dyDescent="0.25">
      <c r="B106" s="58"/>
      <c r="C106" s="11">
        <v>0</v>
      </c>
      <c r="D106" s="11">
        <v>0</v>
      </c>
      <c r="E106" s="79">
        <v>0</v>
      </c>
      <c r="F106" s="80">
        <v>0</v>
      </c>
      <c r="G106" s="11">
        <v>0</v>
      </c>
      <c r="H106" s="76">
        <v>0</v>
      </c>
      <c r="I106" s="11">
        <v>0</v>
      </c>
    </row>
    <row r="107" spans="1:9" ht="15.75" hidden="1" customHeight="1" x14ac:dyDescent="0.25">
      <c r="B107" s="58"/>
      <c r="C107" s="11">
        <v>20</v>
      </c>
      <c r="D107" s="11">
        <v>0</v>
      </c>
      <c r="E107" s="79">
        <v>0</v>
      </c>
      <c r="F107" s="80">
        <v>0</v>
      </c>
      <c r="G107" s="11">
        <v>0</v>
      </c>
      <c r="H107" s="76">
        <v>0</v>
      </c>
      <c r="I107" s="11">
        <v>0</v>
      </c>
    </row>
    <row r="108" spans="1:9" ht="15.75" hidden="1" customHeight="1" x14ac:dyDescent="0.25">
      <c r="B108" s="58"/>
      <c r="C108" s="11">
        <v>1</v>
      </c>
      <c r="D108" s="11">
        <v>0</v>
      </c>
      <c r="E108" s="79">
        <v>0</v>
      </c>
      <c r="F108" s="80">
        <v>0</v>
      </c>
      <c r="G108" s="11">
        <v>0</v>
      </c>
      <c r="H108" s="76">
        <v>0</v>
      </c>
      <c r="I108" s="11">
        <v>0</v>
      </c>
    </row>
    <row r="109" spans="1:9" ht="15.75" hidden="1" customHeight="1" x14ac:dyDescent="0.25">
      <c r="B109" s="58"/>
      <c r="C109" s="11">
        <v>0</v>
      </c>
      <c r="D109" s="11">
        <v>0.5</v>
      </c>
      <c r="E109" s="79">
        <v>0.5</v>
      </c>
      <c r="F109" s="80">
        <v>0.5</v>
      </c>
      <c r="G109" s="11">
        <v>0.5</v>
      </c>
      <c r="H109" s="76">
        <v>0.4</v>
      </c>
      <c r="I109" s="11">
        <v>0.4</v>
      </c>
    </row>
    <row r="110" spans="1:9" ht="15.75" hidden="1" customHeight="1" x14ac:dyDescent="0.25">
      <c r="B110" s="58"/>
      <c r="C110" s="11">
        <v>0</v>
      </c>
      <c r="D110" s="11">
        <v>0</v>
      </c>
      <c r="E110" s="79">
        <v>0</v>
      </c>
      <c r="F110" s="80">
        <v>0</v>
      </c>
      <c r="G110" s="11">
        <v>0</v>
      </c>
      <c r="H110" s="76">
        <v>0</v>
      </c>
      <c r="I110" s="11">
        <v>0</v>
      </c>
    </row>
    <row r="111" spans="1:9" ht="15.75" hidden="1" customHeight="1" x14ac:dyDescent="0.25">
      <c r="B111" s="58"/>
      <c r="C111" s="11">
        <v>50</v>
      </c>
      <c r="D111" s="11">
        <v>60</v>
      </c>
      <c r="E111" s="79">
        <v>50</v>
      </c>
      <c r="F111" s="80">
        <v>50</v>
      </c>
      <c r="G111" s="11">
        <v>38</v>
      </c>
      <c r="H111" s="76">
        <v>30</v>
      </c>
      <c r="I111" s="11">
        <v>25</v>
      </c>
    </row>
    <row r="112" spans="1:9" ht="15.75" hidden="1" customHeight="1" x14ac:dyDescent="0.25">
      <c r="B112" s="58"/>
      <c r="C112" s="11">
        <v>40</v>
      </c>
      <c r="D112" s="11">
        <v>100</v>
      </c>
      <c r="E112" s="79">
        <v>80</v>
      </c>
      <c r="F112" s="80">
        <v>68</v>
      </c>
      <c r="G112" s="11">
        <v>44</v>
      </c>
      <c r="H112" s="76">
        <v>0</v>
      </c>
      <c r="I112" s="11">
        <v>80</v>
      </c>
    </row>
    <row r="113" spans="1:9" ht="15.75" hidden="1" customHeight="1" x14ac:dyDescent="0.25">
      <c r="B113" s="64"/>
      <c r="C113" s="11">
        <v>40</v>
      </c>
      <c r="D113" s="11">
        <v>100</v>
      </c>
      <c r="E113" s="79">
        <v>80</v>
      </c>
      <c r="F113" s="80">
        <v>68</v>
      </c>
      <c r="G113" s="11">
        <v>44</v>
      </c>
      <c r="H113" s="76">
        <v>0</v>
      </c>
      <c r="I113" s="11">
        <v>100</v>
      </c>
    </row>
    <row r="114" spans="1:9" ht="15.75" hidden="1" customHeight="1" x14ac:dyDescent="0.25">
      <c r="B114" s="58"/>
      <c r="C114" s="11">
        <v>0</v>
      </c>
      <c r="D114" s="11">
        <v>0</v>
      </c>
      <c r="E114" s="79">
        <v>0</v>
      </c>
      <c r="F114" s="80">
        <v>0</v>
      </c>
      <c r="G114" s="11">
        <v>0</v>
      </c>
      <c r="H114" s="76">
        <v>0</v>
      </c>
      <c r="I114" s="11">
        <v>0</v>
      </c>
    </row>
    <row r="115" spans="1:9" ht="15.75" hidden="1" customHeight="1" x14ac:dyDescent="0.25">
      <c r="B115" s="12"/>
      <c r="C115" s="12"/>
      <c r="D115" s="13"/>
      <c r="E115" s="13"/>
      <c r="F115" s="13"/>
      <c r="G115" s="13"/>
      <c r="H115" s="13"/>
      <c r="I115" s="13"/>
    </row>
    <row r="116" spans="1:9" ht="15.75" hidden="1" customHeight="1" x14ac:dyDescent="0.25">
      <c r="B116" s="58"/>
      <c r="C116" s="17">
        <v>0</v>
      </c>
      <c r="D116" s="11">
        <v>1</v>
      </c>
      <c r="E116" s="79">
        <v>1</v>
      </c>
      <c r="F116" s="80">
        <v>1</v>
      </c>
      <c r="G116" s="17">
        <v>1</v>
      </c>
      <c r="H116" s="82">
        <v>1</v>
      </c>
      <c r="I116" s="11">
        <v>1</v>
      </c>
    </row>
    <row r="117" spans="1:9" ht="15.75" hidden="1" customHeight="1" x14ac:dyDescent="0.25">
      <c r="B117" s="58"/>
      <c r="C117" s="11">
        <v>1</v>
      </c>
      <c r="D117" s="11">
        <v>0</v>
      </c>
      <c r="E117" s="79">
        <v>0</v>
      </c>
      <c r="F117" s="80">
        <v>0</v>
      </c>
      <c r="G117" s="11">
        <v>0</v>
      </c>
      <c r="H117" s="76">
        <v>0</v>
      </c>
      <c r="I117" s="11">
        <v>0</v>
      </c>
    </row>
    <row r="118" spans="1:9" ht="15.75" hidden="1" customHeight="1" x14ac:dyDescent="0.25">
      <c r="B118" s="58"/>
      <c r="C118" s="11">
        <v>0</v>
      </c>
      <c r="D118" s="11">
        <v>1</v>
      </c>
      <c r="E118" s="79">
        <v>1</v>
      </c>
      <c r="F118" s="80">
        <v>0</v>
      </c>
      <c r="G118" s="11">
        <v>1</v>
      </c>
      <c r="H118" s="76">
        <v>1</v>
      </c>
      <c r="I118" s="11">
        <v>1</v>
      </c>
    </row>
    <row r="119" spans="1:9" ht="15.75" hidden="1" customHeight="1" x14ac:dyDescent="0.25">
      <c r="B119" s="58"/>
      <c r="C119" s="11">
        <v>1</v>
      </c>
      <c r="D119" s="11">
        <v>1</v>
      </c>
      <c r="E119" s="79">
        <v>1</v>
      </c>
      <c r="F119" s="80">
        <v>1</v>
      </c>
      <c r="G119" s="11">
        <v>1</v>
      </c>
      <c r="H119" s="76">
        <v>1</v>
      </c>
      <c r="I119" s="11">
        <v>1</v>
      </c>
    </row>
    <row r="120" spans="1:9" ht="15.75" hidden="1" customHeight="1" x14ac:dyDescent="0.25">
      <c r="A120" s="66"/>
      <c r="B120" s="65"/>
      <c r="C120" s="11">
        <v>1</v>
      </c>
      <c r="D120" s="11">
        <v>0</v>
      </c>
      <c r="E120" s="79">
        <v>0</v>
      </c>
      <c r="F120" s="80">
        <v>0</v>
      </c>
      <c r="G120" s="11">
        <v>0</v>
      </c>
      <c r="H120" s="76">
        <v>0</v>
      </c>
      <c r="I120" s="11">
        <v>0</v>
      </c>
    </row>
    <row r="121" spans="1:9" ht="15.75" hidden="1" customHeight="1" x14ac:dyDescent="0.25">
      <c r="B121" s="58"/>
      <c r="C121" s="17">
        <v>1</v>
      </c>
      <c r="D121" s="11">
        <v>1</v>
      </c>
      <c r="E121" s="79">
        <v>1</v>
      </c>
      <c r="F121" s="80">
        <v>1</v>
      </c>
      <c r="G121" s="17">
        <v>1</v>
      </c>
      <c r="H121" s="82">
        <v>1</v>
      </c>
      <c r="I121" s="11">
        <v>1</v>
      </c>
    </row>
    <row r="122" spans="1:9" ht="15.75" hidden="1" customHeight="1" x14ac:dyDescent="0.25">
      <c r="A122" s="66"/>
      <c r="B122" s="58"/>
      <c r="C122" s="11">
        <v>0</v>
      </c>
      <c r="D122" s="11">
        <v>1</v>
      </c>
      <c r="E122" s="79">
        <v>1</v>
      </c>
      <c r="F122" s="80">
        <v>1</v>
      </c>
      <c r="G122" s="11">
        <v>0</v>
      </c>
      <c r="H122" s="76">
        <v>1</v>
      </c>
      <c r="I122" s="11">
        <v>1</v>
      </c>
    </row>
    <row r="123" spans="1:9" ht="15.75" hidden="1" customHeight="1" x14ac:dyDescent="0.25">
      <c r="A123" s="66"/>
      <c r="B123" s="58"/>
      <c r="C123" s="11">
        <v>0</v>
      </c>
      <c r="D123" s="11">
        <v>18</v>
      </c>
      <c r="E123" s="79">
        <v>18</v>
      </c>
      <c r="F123" s="80">
        <v>18</v>
      </c>
      <c r="G123" s="11">
        <v>18</v>
      </c>
      <c r="H123" s="76">
        <v>30</v>
      </c>
      <c r="I123" s="11">
        <v>28</v>
      </c>
    </row>
    <row r="124" spans="1:9" ht="15.75" hidden="1" customHeight="1" x14ac:dyDescent="0.25">
      <c r="B124" s="58"/>
      <c r="C124" s="11">
        <v>10</v>
      </c>
      <c r="D124" s="11">
        <v>0</v>
      </c>
      <c r="E124" s="79">
        <v>18</v>
      </c>
      <c r="F124" s="80">
        <v>16</v>
      </c>
      <c r="G124" s="11">
        <v>14</v>
      </c>
      <c r="H124" s="76">
        <v>12</v>
      </c>
      <c r="I124" s="11">
        <v>10</v>
      </c>
    </row>
    <row r="125" spans="1:9" ht="15.75" hidden="1" customHeight="1" x14ac:dyDescent="0.25">
      <c r="A125" s="66"/>
      <c r="B125" s="58"/>
      <c r="C125" s="11">
        <v>3</v>
      </c>
      <c r="D125" s="11">
        <v>3</v>
      </c>
      <c r="E125" s="79">
        <v>2</v>
      </c>
      <c r="F125" s="80">
        <v>2</v>
      </c>
      <c r="G125" s="11">
        <v>2</v>
      </c>
      <c r="H125" s="76">
        <v>2</v>
      </c>
      <c r="I125" s="11">
        <v>0</v>
      </c>
    </row>
    <row r="126" spans="1:9" ht="15.75" hidden="1" customHeight="1" x14ac:dyDescent="0.25">
      <c r="B126" s="58"/>
      <c r="C126" s="11">
        <v>0</v>
      </c>
      <c r="D126" s="11">
        <v>0</v>
      </c>
      <c r="E126" s="79">
        <v>0</v>
      </c>
      <c r="F126" s="80">
        <v>0</v>
      </c>
      <c r="G126" s="11">
        <v>0</v>
      </c>
      <c r="H126" s="76">
        <v>0</v>
      </c>
      <c r="I126" s="11">
        <v>0</v>
      </c>
    </row>
    <row r="127" spans="1:9" ht="15.75" hidden="1" customHeight="1" x14ac:dyDescent="0.25">
      <c r="B127" s="58"/>
      <c r="C127" s="11">
        <v>2</v>
      </c>
      <c r="D127" s="11">
        <v>3</v>
      </c>
      <c r="E127" s="79">
        <v>3</v>
      </c>
      <c r="F127" s="80">
        <v>3</v>
      </c>
      <c r="G127" s="11">
        <v>3</v>
      </c>
      <c r="H127" s="76">
        <v>3</v>
      </c>
      <c r="I127" s="11">
        <v>1</v>
      </c>
    </row>
    <row r="128" spans="1:9" ht="15.75" hidden="1" customHeight="1" x14ac:dyDescent="0.25">
      <c r="A128" s="66"/>
      <c r="B128" s="58"/>
      <c r="C128" s="11">
        <v>0</v>
      </c>
      <c r="D128" s="11">
        <v>1</v>
      </c>
      <c r="E128" s="79">
        <v>0</v>
      </c>
      <c r="F128" s="80">
        <v>1</v>
      </c>
      <c r="G128" s="11">
        <v>1</v>
      </c>
      <c r="H128" s="76">
        <v>0</v>
      </c>
      <c r="I128" s="11">
        <v>1</v>
      </c>
    </row>
    <row r="129" spans="1:10" ht="15.75" hidden="1" customHeight="1" x14ac:dyDescent="0.25">
      <c r="A129" s="66"/>
      <c r="B129" s="58"/>
      <c r="C129" s="11">
        <v>1</v>
      </c>
      <c r="D129" s="11">
        <v>1</v>
      </c>
      <c r="E129" s="79">
        <v>1</v>
      </c>
      <c r="F129" s="80">
        <v>1</v>
      </c>
      <c r="G129" s="11">
        <v>0</v>
      </c>
      <c r="H129" s="76">
        <v>0</v>
      </c>
      <c r="I129" s="11">
        <v>0</v>
      </c>
    </row>
    <row r="130" spans="1:10" ht="15.75" hidden="1" customHeight="1" x14ac:dyDescent="0.25">
      <c r="A130" s="66"/>
      <c r="B130" s="58"/>
      <c r="C130" s="11">
        <v>2</v>
      </c>
      <c r="D130" s="11">
        <v>0</v>
      </c>
      <c r="E130" s="79">
        <v>0</v>
      </c>
      <c r="F130" s="80">
        <v>0</v>
      </c>
      <c r="G130" s="11">
        <v>0</v>
      </c>
      <c r="H130" s="76">
        <v>0</v>
      </c>
      <c r="I130" s="11">
        <v>0</v>
      </c>
    </row>
    <row r="131" spans="1:10" ht="15.75" hidden="1" customHeight="1" x14ac:dyDescent="0.25">
      <c r="B131" s="58"/>
      <c r="C131" s="11">
        <v>2</v>
      </c>
      <c r="D131" s="11">
        <v>2</v>
      </c>
      <c r="E131" s="79">
        <v>2</v>
      </c>
      <c r="F131" s="80">
        <v>2</v>
      </c>
      <c r="G131" s="11">
        <v>2</v>
      </c>
      <c r="H131" s="76">
        <v>1</v>
      </c>
      <c r="I131" s="11">
        <v>0</v>
      </c>
    </row>
    <row r="132" spans="1:10" x14ac:dyDescent="0.25">
      <c r="A132"/>
      <c r="B132" s="4"/>
      <c r="C132"/>
      <c r="D132" s="4"/>
      <c r="E132" s="4"/>
      <c r="G132" s="4"/>
      <c r="H132" s="3"/>
    </row>
    <row r="133" spans="1:10" x14ac:dyDescent="0.25">
      <c r="A133"/>
      <c r="B133" s="4"/>
      <c r="C133"/>
      <c r="D133" s="4"/>
      <c r="E133" s="4"/>
      <c r="G133" s="4"/>
      <c r="H133" s="3"/>
    </row>
    <row r="134" spans="1:10" s="3" customFormat="1" x14ac:dyDescent="0.25">
      <c r="A134"/>
      <c r="B134" s="4"/>
      <c r="C134"/>
      <c r="D134" s="4"/>
      <c r="E134" s="4"/>
      <c r="G134" s="4"/>
      <c r="J134"/>
    </row>
    <row r="135" spans="1:10" s="3" customFormat="1" x14ac:dyDescent="0.25">
      <c r="A135"/>
      <c r="B135" s="4"/>
      <c r="C135"/>
      <c r="D135" s="4"/>
      <c r="E135" s="4"/>
      <c r="G135" s="4"/>
      <c r="J135"/>
    </row>
    <row r="136" spans="1:10" s="3" customFormat="1" x14ac:dyDescent="0.25">
      <c r="A136"/>
      <c r="B136" s="4"/>
      <c r="C136"/>
      <c r="D136" s="4"/>
      <c r="E136" s="4"/>
      <c r="G136" s="4"/>
      <c r="J136"/>
    </row>
    <row r="137" spans="1:10" s="3" customFormat="1" x14ac:dyDescent="0.25">
      <c r="A137"/>
      <c r="B137" s="4"/>
      <c r="C137"/>
      <c r="D137" s="4"/>
      <c r="E137" s="4"/>
      <c r="G137" s="4"/>
      <c r="J137"/>
    </row>
    <row r="138" spans="1:10" s="3" customFormat="1" x14ac:dyDescent="0.25">
      <c r="A138"/>
      <c r="B138" s="4"/>
      <c r="C138"/>
      <c r="D138" s="4"/>
      <c r="E138" s="4"/>
      <c r="G138" s="4"/>
      <c r="J138"/>
    </row>
    <row r="139" spans="1:10" s="3" customFormat="1" x14ac:dyDescent="0.25">
      <c r="A139"/>
      <c r="B139" s="4"/>
      <c r="C139"/>
      <c r="D139" s="4"/>
      <c r="E139" s="4"/>
      <c r="G139" s="4"/>
      <c r="J139"/>
    </row>
    <row r="140" spans="1:10" s="3" customFormat="1" x14ac:dyDescent="0.25">
      <c r="A140"/>
      <c r="B140" s="4"/>
      <c r="C140"/>
      <c r="D140" s="4"/>
      <c r="E140" s="4"/>
      <c r="G140" s="4"/>
      <c r="J140"/>
    </row>
    <row r="141" spans="1:10" s="3" customFormat="1" x14ac:dyDescent="0.25">
      <c r="A141"/>
      <c r="B141" s="4"/>
      <c r="C141"/>
      <c r="D141" s="4"/>
      <c r="E141" s="4"/>
      <c r="G141" s="4"/>
      <c r="J141"/>
    </row>
    <row r="142" spans="1:10" s="3" customFormat="1" x14ac:dyDescent="0.25">
      <c r="A142"/>
      <c r="B142" s="4"/>
      <c r="C142"/>
      <c r="D142" s="4"/>
      <c r="E142" s="4"/>
      <c r="G142" s="4"/>
      <c r="J142"/>
    </row>
    <row r="143" spans="1:10" s="3" customFormat="1" x14ac:dyDescent="0.25">
      <c r="A143"/>
      <c r="B143" s="4"/>
      <c r="C143"/>
      <c r="D143" s="4"/>
      <c r="E143" s="4"/>
      <c r="G143" s="4"/>
      <c r="J143"/>
    </row>
    <row r="144" spans="1:10" s="3" customFormat="1" x14ac:dyDescent="0.25">
      <c r="A144"/>
      <c r="B144" s="4"/>
      <c r="C144"/>
      <c r="D144" s="4"/>
      <c r="E144" s="4"/>
      <c r="G144" s="4"/>
      <c r="J144"/>
    </row>
    <row r="145" spans="1:10" s="3" customFormat="1" x14ac:dyDescent="0.25">
      <c r="A145"/>
      <c r="B145" s="4"/>
      <c r="C145"/>
      <c r="D145" s="4"/>
      <c r="E145" s="4"/>
      <c r="G145" s="4"/>
      <c r="J145"/>
    </row>
    <row r="146" spans="1:10" s="3" customFormat="1" x14ac:dyDescent="0.25">
      <c r="A146"/>
      <c r="B146" s="4"/>
      <c r="C146"/>
      <c r="D146" s="4"/>
      <c r="E146" s="4"/>
      <c r="G146" s="4"/>
      <c r="J146"/>
    </row>
    <row r="147" spans="1:10" s="3" customFormat="1" x14ac:dyDescent="0.25">
      <c r="A147"/>
      <c r="B147" s="4"/>
      <c r="C147"/>
      <c r="D147" s="4"/>
      <c r="E147" s="4"/>
      <c r="G147" s="4"/>
      <c r="J147"/>
    </row>
    <row r="148" spans="1:10" s="3" customFormat="1" x14ac:dyDescent="0.25">
      <c r="A148"/>
      <c r="B148" s="4"/>
      <c r="C148"/>
      <c r="D148" s="4"/>
      <c r="E148" s="4"/>
      <c r="G148" s="4"/>
      <c r="J148"/>
    </row>
    <row r="149" spans="1:10" s="3" customFormat="1" x14ac:dyDescent="0.25">
      <c r="A149"/>
      <c r="B149" s="4"/>
      <c r="C149"/>
      <c r="D149" s="4"/>
      <c r="E149" s="4"/>
      <c r="G149" s="4"/>
      <c r="J149"/>
    </row>
    <row r="150" spans="1:10" s="3" customFormat="1" x14ac:dyDescent="0.25">
      <c r="A150"/>
      <c r="B150" s="4"/>
      <c r="C150"/>
      <c r="D150" s="4"/>
      <c r="E150" s="4"/>
      <c r="G150" s="4"/>
      <c r="J150"/>
    </row>
    <row r="151" spans="1:10" s="3" customFormat="1" x14ac:dyDescent="0.25">
      <c r="A151"/>
      <c r="B151" s="4"/>
      <c r="C151"/>
      <c r="D151" s="4"/>
      <c r="E151" s="4"/>
      <c r="G151" s="4"/>
      <c r="J151"/>
    </row>
    <row r="152" spans="1:10" s="3" customFormat="1" x14ac:dyDescent="0.25">
      <c r="A152"/>
      <c r="B152" s="4"/>
      <c r="C152"/>
      <c r="D152" s="4"/>
      <c r="E152" s="4"/>
      <c r="G152" s="4"/>
      <c r="J152"/>
    </row>
    <row r="153" spans="1:10" s="3" customFormat="1" x14ac:dyDescent="0.25">
      <c r="A153"/>
      <c r="B153" s="4"/>
      <c r="C153"/>
      <c r="D153" s="4"/>
      <c r="E153" s="4"/>
      <c r="G153" s="4"/>
      <c r="J153"/>
    </row>
    <row r="154" spans="1:10" s="3" customFormat="1" x14ac:dyDescent="0.25">
      <c r="A154"/>
      <c r="B154" s="4"/>
      <c r="C154"/>
      <c r="D154" s="4"/>
      <c r="E154" s="4"/>
      <c r="G154" s="4"/>
      <c r="J154"/>
    </row>
    <row r="155" spans="1:10" s="3" customFormat="1" x14ac:dyDescent="0.25">
      <c r="A155"/>
      <c r="B155" s="4"/>
      <c r="C155"/>
      <c r="D155" s="4"/>
      <c r="E155" s="4"/>
      <c r="G155" s="4"/>
      <c r="J155"/>
    </row>
    <row r="156" spans="1:10" s="3" customFormat="1" x14ac:dyDescent="0.25">
      <c r="A156"/>
      <c r="B156" s="4"/>
      <c r="C156"/>
      <c r="D156" s="4"/>
      <c r="E156" s="4"/>
      <c r="G156" s="4"/>
      <c r="J156"/>
    </row>
    <row r="157" spans="1:10" s="3" customFormat="1" x14ac:dyDescent="0.25">
      <c r="A157"/>
      <c r="B157" s="4"/>
      <c r="C157"/>
      <c r="D157" s="4"/>
      <c r="E157" s="4"/>
      <c r="G157" s="4"/>
      <c r="J157"/>
    </row>
    <row r="158" spans="1:10" s="3" customFormat="1" x14ac:dyDescent="0.25">
      <c r="A158"/>
      <c r="B158" s="4"/>
      <c r="C158"/>
      <c r="D158" s="4"/>
      <c r="E158" s="4"/>
      <c r="G158" s="4"/>
      <c r="J158"/>
    </row>
    <row r="159" spans="1:10" s="3" customFormat="1" x14ac:dyDescent="0.25">
      <c r="A159"/>
      <c r="B159" s="4"/>
      <c r="C159"/>
      <c r="D159" s="4"/>
      <c r="E159" s="4"/>
      <c r="G159" s="4"/>
      <c r="J159"/>
    </row>
    <row r="160" spans="1:10" s="3" customFormat="1" x14ac:dyDescent="0.25">
      <c r="A160"/>
      <c r="B160" s="4"/>
      <c r="C160"/>
      <c r="D160" s="4"/>
      <c r="E160" s="4"/>
      <c r="G160" s="4"/>
      <c r="J160"/>
    </row>
    <row r="161" spans="1:10" s="3" customFormat="1" x14ac:dyDescent="0.25">
      <c r="A161"/>
      <c r="B161" s="4"/>
      <c r="C161"/>
      <c r="D161" s="4"/>
      <c r="E161" s="4"/>
      <c r="G161" s="4"/>
      <c r="J161"/>
    </row>
    <row r="162" spans="1:10" s="3" customFormat="1" x14ac:dyDescent="0.25">
      <c r="A162"/>
      <c r="B162" s="4"/>
      <c r="C162"/>
      <c r="D162" s="4"/>
      <c r="E162" s="4"/>
      <c r="G162" s="4"/>
      <c r="J162"/>
    </row>
    <row r="163" spans="1:10" s="3" customFormat="1" x14ac:dyDescent="0.25">
      <c r="A163"/>
      <c r="B163" s="4"/>
      <c r="C163"/>
      <c r="D163" s="4"/>
      <c r="E163" s="4"/>
      <c r="G163" s="4"/>
      <c r="J163"/>
    </row>
    <row r="164" spans="1:10" s="3" customFormat="1" x14ac:dyDescent="0.25">
      <c r="A164"/>
      <c r="B164" s="4"/>
      <c r="C164"/>
      <c r="D164" s="4"/>
      <c r="E164" s="4"/>
      <c r="G164" s="4"/>
      <c r="J164"/>
    </row>
    <row r="165" spans="1:10" s="3" customFormat="1" x14ac:dyDescent="0.25">
      <c r="A165"/>
      <c r="B165" s="4"/>
      <c r="C165"/>
      <c r="D165" s="4"/>
      <c r="E165" s="4"/>
      <c r="G165" s="4"/>
      <c r="J165"/>
    </row>
    <row r="166" spans="1:10" s="3" customFormat="1" x14ac:dyDescent="0.25">
      <c r="A166"/>
      <c r="B166" s="4"/>
      <c r="C166"/>
      <c r="D166" s="4"/>
      <c r="E166" s="4"/>
      <c r="G166" s="4"/>
      <c r="J166"/>
    </row>
    <row r="167" spans="1:10" s="3" customFormat="1" x14ac:dyDescent="0.25">
      <c r="A167"/>
      <c r="B167" s="4"/>
      <c r="C167"/>
      <c r="D167" s="4"/>
      <c r="E167" s="4"/>
      <c r="G167" s="4"/>
      <c r="J167"/>
    </row>
    <row r="168" spans="1:10" s="3" customFormat="1" x14ac:dyDescent="0.25">
      <c r="A168"/>
      <c r="B168" s="4"/>
      <c r="C168"/>
      <c r="D168" s="4"/>
      <c r="E168" s="4"/>
      <c r="G168" s="4"/>
      <c r="J168"/>
    </row>
    <row r="169" spans="1:10" s="3" customFormat="1" x14ac:dyDescent="0.25">
      <c r="A169"/>
      <c r="B169" s="4"/>
      <c r="C169"/>
      <c r="D169" s="4"/>
      <c r="E169" s="4"/>
      <c r="G169" s="4"/>
      <c r="J169"/>
    </row>
    <row r="170" spans="1:10" s="3" customFormat="1" x14ac:dyDescent="0.25">
      <c r="A170"/>
      <c r="B170" s="4"/>
      <c r="C170"/>
      <c r="D170" s="4"/>
      <c r="E170" s="4"/>
      <c r="G170" s="4"/>
      <c r="J170"/>
    </row>
    <row r="171" spans="1:10" s="3" customFormat="1" x14ac:dyDescent="0.25">
      <c r="A171"/>
      <c r="B171" s="4"/>
      <c r="C171"/>
      <c r="D171" s="4"/>
      <c r="E171" s="4"/>
      <c r="G171" s="4"/>
      <c r="J171"/>
    </row>
    <row r="172" spans="1:10" s="3" customFormat="1" x14ac:dyDescent="0.25">
      <c r="A172"/>
      <c r="B172" s="4"/>
      <c r="C172"/>
      <c r="D172" s="4"/>
      <c r="E172" s="4"/>
      <c r="G172" s="4"/>
      <c r="J172"/>
    </row>
    <row r="173" spans="1:10" s="3" customFormat="1" x14ac:dyDescent="0.25">
      <c r="A173"/>
      <c r="B173" s="4"/>
      <c r="C173"/>
      <c r="D173" s="4"/>
      <c r="E173" s="4"/>
      <c r="G173" s="4"/>
      <c r="J173"/>
    </row>
    <row r="174" spans="1:10" s="3" customFormat="1" x14ac:dyDescent="0.25">
      <c r="A174"/>
      <c r="B174" s="4"/>
      <c r="C174"/>
      <c r="D174" s="4"/>
      <c r="E174" s="4"/>
      <c r="G174" s="4"/>
      <c r="J174"/>
    </row>
    <row r="175" spans="1:10" s="3" customFormat="1" x14ac:dyDescent="0.25">
      <c r="A175"/>
      <c r="B175" s="4"/>
      <c r="C175"/>
      <c r="D175" s="4"/>
      <c r="E175" s="4"/>
      <c r="G175" s="4"/>
      <c r="J175"/>
    </row>
    <row r="176" spans="1:10" s="3" customFormat="1" x14ac:dyDescent="0.25">
      <c r="A176"/>
      <c r="B176" s="4"/>
      <c r="C176"/>
      <c r="D176" s="4"/>
      <c r="E176" s="4"/>
      <c r="G176" s="4"/>
      <c r="J176"/>
    </row>
    <row r="177" spans="1:10" s="3" customFormat="1" x14ac:dyDescent="0.25">
      <c r="A177"/>
      <c r="B177" s="4"/>
      <c r="C177"/>
      <c r="D177" s="4"/>
      <c r="E177" s="4"/>
      <c r="G177" s="4"/>
      <c r="J177"/>
    </row>
    <row r="178" spans="1:10" s="3" customFormat="1" x14ac:dyDescent="0.25">
      <c r="A178"/>
      <c r="B178" s="4"/>
      <c r="C178"/>
      <c r="D178" s="4"/>
      <c r="E178" s="4"/>
      <c r="G178" s="4"/>
      <c r="J178"/>
    </row>
    <row r="179" spans="1:10" s="3" customFormat="1" x14ac:dyDescent="0.25">
      <c r="A179"/>
      <c r="B179" s="4"/>
      <c r="C179"/>
      <c r="D179" s="4"/>
      <c r="E179" s="4"/>
      <c r="G179" s="4"/>
      <c r="J179"/>
    </row>
    <row r="180" spans="1:10" s="3" customFormat="1" x14ac:dyDescent="0.25">
      <c r="A180"/>
      <c r="B180" s="4"/>
      <c r="C180"/>
      <c r="D180" s="4"/>
      <c r="E180" s="4"/>
      <c r="G180" s="4"/>
      <c r="J180"/>
    </row>
    <row r="181" spans="1:10" s="3" customFormat="1" x14ac:dyDescent="0.25">
      <c r="A181"/>
      <c r="B181" s="4"/>
      <c r="C181"/>
      <c r="D181" s="4"/>
      <c r="E181" s="4"/>
      <c r="G181" s="4"/>
      <c r="J181"/>
    </row>
    <row r="182" spans="1:10" s="3" customFormat="1" x14ac:dyDescent="0.25">
      <c r="A182"/>
      <c r="B182" s="4"/>
      <c r="C182"/>
      <c r="D182" s="4"/>
      <c r="E182" s="4"/>
      <c r="G182" s="4"/>
      <c r="J182"/>
    </row>
    <row r="183" spans="1:10" s="3" customFormat="1" x14ac:dyDescent="0.25">
      <c r="A183"/>
      <c r="B183" s="4"/>
      <c r="C183"/>
      <c r="D183" s="4"/>
      <c r="E183" s="4"/>
      <c r="G183" s="4"/>
      <c r="J183"/>
    </row>
    <row r="184" spans="1:10" s="3" customFormat="1" x14ac:dyDescent="0.25">
      <c r="A184"/>
      <c r="B184" s="4"/>
      <c r="C184"/>
      <c r="D184" s="4"/>
      <c r="E184" s="4"/>
      <c r="G184" s="4"/>
      <c r="J184"/>
    </row>
    <row r="185" spans="1:10" s="3" customFormat="1" x14ac:dyDescent="0.25">
      <c r="A185"/>
      <c r="B185" s="4"/>
      <c r="C185"/>
      <c r="D185" s="4"/>
      <c r="E185" s="4"/>
      <c r="G185" s="4"/>
      <c r="J185"/>
    </row>
    <row r="186" spans="1:10" s="3" customFormat="1" x14ac:dyDescent="0.25">
      <c r="A186"/>
      <c r="B186" s="4"/>
      <c r="C186"/>
      <c r="D186" s="4"/>
      <c r="E186" s="4"/>
      <c r="G186" s="4"/>
      <c r="J186"/>
    </row>
    <row r="187" spans="1:10" s="3" customFormat="1" x14ac:dyDescent="0.25">
      <c r="A187"/>
      <c r="B187" s="4"/>
      <c r="C187"/>
      <c r="D187" s="4"/>
      <c r="E187" s="4"/>
      <c r="G187" s="4"/>
      <c r="J187"/>
    </row>
    <row r="188" spans="1:10" s="3" customFormat="1" x14ac:dyDescent="0.25">
      <c r="A188"/>
      <c r="B188" s="4"/>
      <c r="C188"/>
      <c r="D188" s="4"/>
      <c r="E188" s="4"/>
      <c r="G188" s="4"/>
      <c r="J188"/>
    </row>
    <row r="189" spans="1:10" s="3" customFormat="1" x14ac:dyDescent="0.25">
      <c r="A189"/>
      <c r="B189" s="4"/>
      <c r="C189"/>
      <c r="D189" s="4"/>
      <c r="E189" s="4"/>
      <c r="G189" s="4"/>
      <c r="J189"/>
    </row>
    <row r="190" spans="1:10" s="3" customFormat="1" x14ac:dyDescent="0.25">
      <c r="A190"/>
      <c r="B190" s="4"/>
      <c r="C190"/>
      <c r="D190" s="4"/>
      <c r="E190" s="4"/>
      <c r="G190" s="4"/>
      <c r="J190"/>
    </row>
    <row r="191" spans="1:10" s="3" customFormat="1" x14ac:dyDescent="0.25">
      <c r="A191"/>
      <c r="B191" s="4"/>
      <c r="C191"/>
      <c r="D191" s="4"/>
      <c r="E191" s="4"/>
      <c r="G191" s="4"/>
      <c r="J191"/>
    </row>
    <row r="192" spans="1:10" s="3" customFormat="1" x14ac:dyDescent="0.25">
      <c r="A192"/>
      <c r="B192" s="4"/>
      <c r="C192"/>
      <c r="D192" s="4"/>
      <c r="E192" s="4"/>
      <c r="G192" s="4"/>
      <c r="J192"/>
    </row>
    <row r="193" spans="1:10" s="3" customFormat="1" x14ac:dyDescent="0.25">
      <c r="A193"/>
      <c r="B193" s="4"/>
      <c r="C193"/>
      <c r="D193" s="4"/>
      <c r="E193" s="4"/>
      <c r="G193" s="4"/>
      <c r="J193"/>
    </row>
    <row r="194" spans="1:10" s="3" customFormat="1" x14ac:dyDescent="0.25">
      <c r="A194"/>
      <c r="B194" s="4"/>
      <c r="C194"/>
      <c r="D194" s="4"/>
      <c r="E194" s="4"/>
      <c r="G194" s="4"/>
      <c r="J194"/>
    </row>
    <row r="195" spans="1:10" s="3" customFormat="1" x14ac:dyDescent="0.25">
      <c r="A195"/>
      <c r="B195" s="4"/>
      <c r="C195"/>
      <c r="D195" s="4"/>
      <c r="E195" s="4"/>
      <c r="G195" s="4"/>
      <c r="J195"/>
    </row>
    <row r="196" spans="1:10" s="3" customFormat="1" x14ac:dyDescent="0.25">
      <c r="A196"/>
      <c r="B196" s="4"/>
      <c r="C196"/>
      <c r="D196" s="4"/>
      <c r="E196" s="4"/>
      <c r="G196" s="4"/>
      <c r="J196"/>
    </row>
    <row r="197" spans="1:10" s="3" customFormat="1" x14ac:dyDescent="0.25">
      <c r="A197"/>
      <c r="B197" s="4"/>
      <c r="C197"/>
      <c r="D197" s="4"/>
      <c r="E197" s="4"/>
      <c r="G197" s="4"/>
      <c r="J197"/>
    </row>
    <row r="198" spans="1:10" s="3" customFormat="1" x14ac:dyDescent="0.25">
      <c r="A198"/>
      <c r="B198" s="4"/>
      <c r="C198"/>
      <c r="D198" s="4"/>
      <c r="E198" s="4"/>
      <c r="G198" s="4"/>
      <c r="J198"/>
    </row>
    <row r="199" spans="1:10" s="3" customFormat="1" x14ac:dyDescent="0.25">
      <c r="A199"/>
      <c r="B199" s="4"/>
      <c r="C199"/>
      <c r="D199" s="4"/>
      <c r="E199" s="4"/>
      <c r="G199" s="4"/>
      <c r="J199"/>
    </row>
    <row r="200" spans="1:10" s="3" customFormat="1" x14ac:dyDescent="0.25">
      <c r="A200"/>
      <c r="B200" s="4"/>
      <c r="C200"/>
      <c r="D200" s="4"/>
      <c r="E200" s="4"/>
      <c r="G200" s="4"/>
      <c r="J200"/>
    </row>
    <row r="201" spans="1:10" s="3" customFormat="1" x14ac:dyDescent="0.25">
      <c r="A201"/>
      <c r="B201" s="4"/>
      <c r="C201"/>
      <c r="D201" s="4"/>
      <c r="E201" s="4"/>
      <c r="G201" s="4"/>
      <c r="J201"/>
    </row>
    <row r="202" spans="1:10" s="3" customFormat="1" x14ac:dyDescent="0.25">
      <c r="A202"/>
      <c r="B202" s="4"/>
      <c r="C202"/>
      <c r="D202" s="4"/>
      <c r="E202" s="4"/>
      <c r="G202" s="4"/>
      <c r="J202"/>
    </row>
    <row r="203" spans="1:10" s="3" customFormat="1" x14ac:dyDescent="0.25">
      <c r="A203"/>
      <c r="B203" s="4"/>
      <c r="C203"/>
      <c r="D203" s="4"/>
      <c r="E203" s="4"/>
      <c r="G203" s="4"/>
      <c r="J203"/>
    </row>
    <row r="204" spans="1:10" s="3" customFormat="1" x14ac:dyDescent="0.25">
      <c r="A204"/>
      <c r="B204" s="4"/>
      <c r="C204"/>
      <c r="D204" s="4"/>
      <c r="E204" s="4"/>
      <c r="G204" s="4"/>
      <c r="J204"/>
    </row>
    <row r="205" spans="1:10" s="3" customFormat="1" x14ac:dyDescent="0.25">
      <c r="A205"/>
      <c r="B205" s="4"/>
      <c r="C205"/>
      <c r="D205" s="4"/>
      <c r="E205" s="4"/>
      <c r="G205" s="4"/>
      <c r="J205"/>
    </row>
    <row r="206" spans="1:10" s="3" customFormat="1" x14ac:dyDescent="0.25">
      <c r="A206"/>
      <c r="B206" s="4"/>
      <c r="C206"/>
      <c r="D206" s="4"/>
      <c r="E206" s="4"/>
      <c r="G206" s="4"/>
      <c r="J206"/>
    </row>
    <row r="207" spans="1:10" s="3" customFormat="1" x14ac:dyDescent="0.25">
      <c r="A207"/>
      <c r="B207" s="4"/>
      <c r="C207"/>
      <c r="D207" s="4"/>
      <c r="E207" s="4"/>
      <c r="G207" s="4"/>
      <c r="J207"/>
    </row>
    <row r="208" spans="1:10" s="3" customFormat="1" x14ac:dyDescent="0.25">
      <c r="A208"/>
      <c r="B208" s="4"/>
      <c r="C208"/>
      <c r="D208" s="4"/>
      <c r="E208" s="4"/>
      <c r="G208" s="4"/>
      <c r="J208"/>
    </row>
    <row r="209" spans="1:10" s="3" customFormat="1" x14ac:dyDescent="0.25">
      <c r="A209"/>
      <c r="B209" s="4"/>
      <c r="C209"/>
      <c r="D209" s="4"/>
      <c r="E209" s="4"/>
      <c r="G209" s="4"/>
      <c r="J209"/>
    </row>
    <row r="210" spans="1:10" s="3" customFormat="1" x14ac:dyDescent="0.25">
      <c r="A210"/>
      <c r="B210" s="4"/>
      <c r="C210"/>
      <c r="D210" s="4"/>
      <c r="E210" s="4"/>
      <c r="G210" s="4"/>
      <c r="J210"/>
    </row>
    <row r="211" spans="1:10" s="3" customFormat="1" x14ac:dyDescent="0.25">
      <c r="A211"/>
      <c r="B211" s="4"/>
      <c r="C211"/>
      <c r="D211" s="4"/>
      <c r="E211" s="4"/>
      <c r="G211" s="4"/>
      <c r="J211"/>
    </row>
    <row r="212" spans="1:10" s="3" customFormat="1" x14ac:dyDescent="0.25">
      <c r="A212"/>
      <c r="B212" s="4"/>
      <c r="C212"/>
      <c r="D212" s="4"/>
      <c r="E212" s="4"/>
      <c r="G212" s="4"/>
      <c r="J212"/>
    </row>
    <row r="213" spans="1:10" s="3" customFormat="1" x14ac:dyDescent="0.25">
      <c r="A213"/>
      <c r="B213" s="4"/>
      <c r="C213"/>
      <c r="D213" s="4"/>
      <c r="E213" s="4"/>
      <c r="G213" s="4"/>
      <c r="J213"/>
    </row>
    <row r="214" spans="1:10" s="3" customFormat="1" x14ac:dyDescent="0.25">
      <c r="A214"/>
      <c r="B214" s="4"/>
      <c r="C214"/>
      <c r="D214" s="4"/>
      <c r="E214" s="4"/>
      <c r="G214" s="4"/>
      <c r="J214"/>
    </row>
    <row r="215" spans="1:10" s="3" customFormat="1" x14ac:dyDescent="0.25">
      <c r="A215"/>
      <c r="B215" s="4"/>
      <c r="C215"/>
      <c r="D215" s="4"/>
      <c r="E215" s="4"/>
      <c r="G215" s="4"/>
      <c r="J215"/>
    </row>
    <row r="216" spans="1:10" s="3" customFormat="1" x14ac:dyDescent="0.25">
      <c r="A216"/>
      <c r="B216" s="4"/>
      <c r="C216"/>
      <c r="D216" s="4"/>
      <c r="E216" s="4"/>
      <c r="G216" s="4"/>
      <c r="J216"/>
    </row>
    <row r="217" spans="1:10" s="3" customFormat="1" x14ac:dyDescent="0.25">
      <c r="A217"/>
      <c r="B217" s="4"/>
      <c r="C217"/>
      <c r="D217" s="4"/>
      <c r="E217" s="4"/>
      <c r="G217" s="4"/>
      <c r="J217"/>
    </row>
    <row r="218" spans="1:10" s="3" customFormat="1" x14ac:dyDescent="0.25">
      <c r="A218"/>
      <c r="B218" s="4"/>
      <c r="C218"/>
      <c r="D218" s="4"/>
      <c r="E218" s="4"/>
      <c r="G218" s="4"/>
      <c r="J218"/>
    </row>
    <row r="219" spans="1:10" s="3" customFormat="1" x14ac:dyDescent="0.25">
      <c r="A219"/>
      <c r="B219" s="4"/>
      <c r="C219"/>
      <c r="D219" s="4"/>
      <c r="E219" s="4"/>
      <c r="G219" s="4"/>
      <c r="J219"/>
    </row>
    <row r="220" spans="1:10" s="3" customFormat="1" x14ac:dyDescent="0.25">
      <c r="A220"/>
      <c r="B220" s="4"/>
      <c r="C220"/>
      <c r="D220" s="4"/>
      <c r="E220" s="4"/>
      <c r="G220" s="4"/>
      <c r="J220"/>
    </row>
    <row r="221" spans="1:10" s="3" customFormat="1" x14ac:dyDescent="0.25">
      <c r="A221"/>
      <c r="B221" s="4"/>
      <c r="C221"/>
      <c r="D221" s="4"/>
      <c r="E221" s="4"/>
      <c r="G221" s="4"/>
      <c r="J221"/>
    </row>
    <row r="222" spans="1:10" s="3" customFormat="1" x14ac:dyDescent="0.25">
      <c r="A222"/>
      <c r="B222" s="4"/>
      <c r="C222"/>
      <c r="D222" s="4"/>
      <c r="E222" s="4"/>
      <c r="G222" s="4"/>
      <c r="J222"/>
    </row>
    <row r="223" spans="1:10" s="3" customFormat="1" x14ac:dyDescent="0.25">
      <c r="A223"/>
      <c r="B223" s="4"/>
      <c r="C223"/>
      <c r="D223" s="4"/>
      <c r="E223" s="4"/>
      <c r="G223" s="4"/>
      <c r="J223"/>
    </row>
    <row r="224" spans="1:10" s="3" customFormat="1" x14ac:dyDescent="0.25">
      <c r="A224"/>
      <c r="B224" s="4"/>
      <c r="C224"/>
      <c r="D224" s="4"/>
      <c r="E224" s="4"/>
      <c r="G224" s="4"/>
      <c r="J224"/>
    </row>
    <row r="225" spans="1:10" s="3" customFormat="1" x14ac:dyDescent="0.25">
      <c r="A225"/>
      <c r="B225" s="4"/>
      <c r="C225"/>
      <c r="D225" s="4"/>
      <c r="E225" s="4"/>
      <c r="G225" s="4"/>
      <c r="J225"/>
    </row>
    <row r="226" spans="1:10" s="3" customFormat="1" x14ac:dyDescent="0.25">
      <c r="A226"/>
      <c r="B226" s="4"/>
      <c r="C226"/>
      <c r="D226" s="4"/>
      <c r="E226" s="4"/>
      <c r="G226" s="4"/>
      <c r="J226"/>
    </row>
    <row r="227" spans="1:10" s="3" customFormat="1" x14ac:dyDescent="0.25">
      <c r="A227"/>
      <c r="B227" s="4"/>
      <c r="C227"/>
      <c r="D227" s="4"/>
      <c r="E227" s="4"/>
      <c r="G227" s="4"/>
      <c r="J227"/>
    </row>
    <row r="228" spans="1:10" s="3" customFormat="1" x14ac:dyDescent="0.25">
      <c r="A228"/>
      <c r="B228" s="4"/>
      <c r="C228"/>
      <c r="D228" s="4"/>
      <c r="E228" s="4"/>
      <c r="G228" s="4"/>
      <c r="J228"/>
    </row>
    <row r="229" spans="1:10" s="3" customFormat="1" x14ac:dyDescent="0.25">
      <c r="A229"/>
      <c r="B229" s="4"/>
      <c r="C229"/>
      <c r="D229" s="4"/>
      <c r="E229" s="4"/>
      <c r="G229" s="4"/>
      <c r="J229"/>
    </row>
    <row r="230" spans="1:10" s="3" customFormat="1" x14ac:dyDescent="0.25">
      <c r="A230"/>
      <c r="B230" s="4"/>
      <c r="C230"/>
      <c r="D230" s="4"/>
      <c r="E230" s="4"/>
      <c r="G230" s="4"/>
      <c r="J230"/>
    </row>
    <row r="231" spans="1:10" s="3" customFormat="1" x14ac:dyDescent="0.25">
      <c r="A231"/>
      <c r="B231" s="4"/>
      <c r="C231"/>
      <c r="D231" s="4"/>
      <c r="E231" s="4"/>
      <c r="G231" s="4"/>
      <c r="J231"/>
    </row>
    <row r="232" spans="1:10" s="3" customFormat="1" x14ac:dyDescent="0.25">
      <c r="A232"/>
      <c r="B232" s="4"/>
      <c r="C232"/>
      <c r="D232" s="4"/>
      <c r="E232" s="4"/>
      <c r="G232" s="4"/>
      <c r="J232"/>
    </row>
    <row r="233" spans="1:10" s="3" customFormat="1" x14ac:dyDescent="0.25">
      <c r="A233"/>
      <c r="B233" s="4"/>
      <c r="C233"/>
      <c r="D233" s="4"/>
      <c r="E233" s="4"/>
      <c r="G233" s="4"/>
      <c r="J233"/>
    </row>
    <row r="234" spans="1:10" s="3" customFormat="1" x14ac:dyDescent="0.25">
      <c r="A234"/>
      <c r="B234" s="4"/>
      <c r="C234"/>
      <c r="D234" s="4"/>
      <c r="E234" s="4"/>
      <c r="G234" s="4"/>
      <c r="J234"/>
    </row>
    <row r="235" spans="1:10" s="3" customFormat="1" x14ac:dyDescent="0.25">
      <c r="A235"/>
      <c r="B235" s="4"/>
      <c r="C235"/>
      <c r="D235" s="4"/>
      <c r="E235" s="4"/>
      <c r="G235" s="4"/>
      <c r="J235"/>
    </row>
    <row r="236" spans="1:10" s="3" customFormat="1" x14ac:dyDescent="0.25">
      <c r="A236"/>
      <c r="B236" s="4"/>
      <c r="C236"/>
      <c r="D236" s="4"/>
      <c r="E236" s="4"/>
      <c r="G236" s="4"/>
      <c r="J236"/>
    </row>
    <row r="237" spans="1:10" s="3" customFormat="1" x14ac:dyDescent="0.25">
      <c r="A237"/>
      <c r="B237" s="4"/>
      <c r="C237"/>
      <c r="D237" s="4"/>
      <c r="E237" s="4"/>
      <c r="G237" s="4"/>
      <c r="J237"/>
    </row>
    <row r="238" spans="1:10" s="3" customFormat="1" x14ac:dyDescent="0.25">
      <c r="A238"/>
      <c r="B238" s="4"/>
      <c r="C238"/>
      <c r="D238" s="4"/>
      <c r="E238" s="4"/>
      <c r="G238" s="4"/>
      <c r="J238"/>
    </row>
    <row r="239" spans="1:10" s="3" customFormat="1" x14ac:dyDescent="0.25">
      <c r="A239"/>
      <c r="B239" s="4"/>
      <c r="C239"/>
      <c r="D239" s="4"/>
      <c r="E239" s="4"/>
      <c r="G239" s="4"/>
      <c r="J239"/>
    </row>
    <row r="240" spans="1:10" s="3" customFormat="1" x14ac:dyDescent="0.25">
      <c r="A240"/>
      <c r="B240" s="4"/>
      <c r="C240"/>
      <c r="D240" s="4"/>
      <c r="E240" s="4"/>
      <c r="G240" s="4"/>
      <c r="J240"/>
    </row>
    <row r="241" spans="1:10" s="3" customFormat="1" x14ac:dyDescent="0.25">
      <c r="A241"/>
      <c r="B241" s="4"/>
      <c r="C241"/>
      <c r="D241" s="4"/>
      <c r="E241" s="4"/>
      <c r="G241" s="4"/>
      <c r="J241"/>
    </row>
    <row r="242" spans="1:10" s="3" customFormat="1" x14ac:dyDescent="0.25">
      <c r="A242"/>
      <c r="B242" s="4"/>
      <c r="C242"/>
      <c r="D242" s="4"/>
      <c r="E242" s="4"/>
      <c r="G242" s="4"/>
      <c r="J242"/>
    </row>
    <row r="243" spans="1:10" s="3" customFormat="1" x14ac:dyDescent="0.25">
      <c r="A243"/>
      <c r="B243" s="4"/>
      <c r="C243"/>
      <c r="D243" s="4"/>
      <c r="E243" s="4"/>
      <c r="G243" s="4"/>
      <c r="J243"/>
    </row>
    <row r="244" spans="1:10" s="3" customFormat="1" x14ac:dyDescent="0.25">
      <c r="A244"/>
      <c r="B244" s="4"/>
      <c r="C244"/>
      <c r="D244" s="4"/>
      <c r="E244" s="4"/>
      <c r="G244" s="4"/>
      <c r="J244"/>
    </row>
    <row r="245" spans="1:10" s="3" customFormat="1" x14ac:dyDescent="0.25">
      <c r="A245"/>
      <c r="B245" s="4"/>
      <c r="C245"/>
      <c r="D245" s="4"/>
      <c r="E245" s="4"/>
      <c r="G245" s="4"/>
      <c r="J245"/>
    </row>
    <row r="246" spans="1:10" s="3" customFormat="1" x14ac:dyDescent="0.25">
      <c r="A246"/>
      <c r="B246" s="4"/>
      <c r="C246"/>
      <c r="D246" s="4"/>
      <c r="E246" s="4"/>
      <c r="G246" s="4"/>
      <c r="J246"/>
    </row>
    <row r="247" spans="1:10" s="3" customFormat="1" x14ac:dyDescent="0.25">
      <c r="A247"/>
      <c r="B247" s="4"/>
      <c r="C247"/>
      <c r="D247" s="4"/>
      <c r="E247" s="4"/>
      <c r="G247" s="4"/>
      <c r="J247"/>
    </row>
    <row r="248" spans="1:10" s="3" customFormat="1" x14ac:dyDescent="0.25">
      <c r="A248"/>
      <c r="B248" s="4"/>
      <c r="C248"/>
      <c r="D248" s="4"/>
      <c r="E248" s="4"/>
      <c r="G248" s="4"/>
      <c r="J248"/>
    </row>
    <row r="249" spans="1:10" s="3" customFormat="1" x14ac:dyDescent="0.25">
      <c r="A249"/>
      <c r="B249" s="4"/>
      <c r="C249"/>
      <c r="D249" s="4"/>
      <c r="E249" s="4"/>
      <c r="G249" s="4"/>
      <c r="J249"/>
    </row>
    <row r="250" spans="1:10" s="3" customFormat="1" x14ac:dyDescent="0.25">
      <c r="A250"/>
      <c r="B250" s="4"/>
      <c r="C250"/>
      <c r="D250" s="4"/>
      <c r="E250" s="4"/>
      <c r="G250" s="4"/>
      <c r="J250"/>
    </row>
    <row r="251" spans="1:10" s="3" customFormat="1" x14ac:dyDescent="0.25">
      <c r="A251"/>
      <c r="B251" s="4"/>
      <c r="C251"/>
      <c r="D251" s="4"/>
      <c r="E251" s="4"/>
      <c r="G251" s="4"/>
      <c r="J251"/>
    </row>
    <row r="252" spans="1:10" s="3" customFormat="1" x14ac:dyDescent="0.25">
      <c r="A252"/>
      <c r="B252" s="4"/>
      <c r="C252"/>
      <c r="D252" s="4"/>
      <c r="E252" s="4"/>
      <c r="G252" s="4"/>
      <c r="J252"/>
    </row>
    <row r="253" spans="1:10" s="3" customFormat="1" x14ac:dyDescent="0.25">
      <c r="A253"/>
      <c r="B253" s="4"/>
      <c r="C253"/>
      <c r="D253" s="4"/>
      <c r="E253" s="4"/>
      <c r="G253" s="4"/>
      <c r="J253"/>
    </row>
    <row r="254" spans="1:10" s="3" customFormat="1" x14ac:dyDescent="0.25">
      <c r="A254"/>
      <c r="B254" s="4"/>
      <c r="C254"/>
      <c r="D254" s="4"/>
      <c r="E254" s="4"/>
      <c r="G254" s="4"/>
      <c r="J254"/>
    </row>
    <row r="255" spans="1:10" s="3" customFormat="1" x14ac:dyDescent="0.25">
      <c r="A255"/>
      <c r="B255" s="4"/>
      <c r="C255"/>
      <c r="D255" s="4"/>
      <c r="E255" s="4"/>
      <c r="G255" s="4"/>
      <c r="J255"/>
    </row>
    <row r="256" spans="1:10" s="3" customFormat="1" x14ac:dyDescent="0.25">
      <c r="A256"/>
      <c r="B256" s="4"/>
      <c r="C256"/>
      <c r="D256" s="4"/>
      <c r="E256" s="4"/>
      <c r="G256" s="4"/>
      <c r="J256"/>
    </row>
    <row r="257" spans="1:10" s="3" customFormat="1" x14ac:dyDescent="0.25">
      <c r="A257"/>
      <c r="B257" s="4"/>
      <c r="C257"/>
      <c r="D257" s="4"/>
      <c r="E257" s="4"/>
      <c r="G257" s="4"/>
      <c r="J257"/>
    </row>
    <row r="258" spans="1:10" s="3" customFormat="1" x14ac:dyDescent="0.25">
      <c r="A258"/>
      <c r="B258" s="4"/>
      <c r="C258"/>
      <c r="D258" s="4"/>
      <c r="E258" s="4"/>
      <c r="G258" s="4"/>
      <c r="J258"/>
    </row>
    <row r="259" spans="1:10" s="3" customFormat="1" x14ac:dyDescent="0.25">
      <c r="A259"/>
      <c r="B259" s="4"/>
      <c r="C259"/>
      <c r="D259" s="4"/>
      <c r="E259" s="4"/>
      <c r="G259" s="4"/>
      <c r="J259"/>
    </row>
    <row r="260" spans="1:10" s="3" customFormat="1" x14ac:dyDescent="0.25">
      <c r="A260"/>
      <c r="B260" s="4"/>
      <c r="C260"/>
      <c r="D260" s="4"/>
      <c r="E260" s="4"/>
      <c r="G260" s="4"/>
      <c r="J260"/>
    </row>
    <row r="261" spans="1:10" s="3" customFormat="1" x14ac:dyDescent="0.25">
      <c r="A261"/>
      <c r="B261" s="4"/>
      <c r="C261"/>
      <c r="D261" s="4"/>
      <c r="E261" s="4"/>
      <c r="G261" s="4"/>
      <c r="J261"/>
    </row>
    <row r="262" spans="1:10" s="3" customFormat="1" x14ac:dyDescent="0.25">
      <c r="A262"/>
      <c r="B262" s="4"/>
      <c r="C262"/>
      <c r="D262" s="4"/>
      <c r="E262" s="4"/>
      <c r="G262" s="4"/>
      <c r="J262"/>
    </row>
    <row r="263" spans="1:10" s="3" customFormat="1" x14ac:dyDescent="0.25">
      <c r="A263"/>
      <c r="B263" s="4"/>
      <c r="C263"/>
      <c r="D263" s="4"/>
      <c r="E263" s="4"/>
      <c r="G263" s="4"/>
      <c r="J263"/>
    </row>
    <row r="264" spans="1:10" s="3" customFormat="1" x14ac:dyDescent="0.25">
      <c r="A264"/>
      <c r="B264" s="4"/>
      <c r="C264"/>
      <c r="D264" s="4"/>
      <c r="E264" s="4"/>
      <c r="G264" s="4"/>
      <c r="J264"/>
    </row>
    <row r="265" spans="1:10" s="3" customFormat="1" x14ac:dyDescent="0.25">
      <c r="A265"/>
      <c r="B265" s="4"/>
      <c r="C265"/>
      <c r="D265" s="4"/>
      <c r="E265" s="4"/>
      <c r="G265" s="4"/>
      <c r="J265"/>
    </row>
    <row r="266" spans="1:10" s="3" customFormat="1" x14ac:dyDescent="0.25">
      <c r="A266"/>
      <c r="B266" s="4"/>
      <c r="C266"/>
      <c r="D266" s="4"/>
      <c r="E266" s="4"/>
      <c r="G266" s="4"/>
      <c r="J266"/>
    </row>
    <row r="267" spans="1:10" s="3" customFormat="1" x14ac:dyDescent="0.25">
      <c r="A267"/>
      <c r="B267" s="4"/>
      <c r="C267"/>
      <c r="D267" s="4"/>
      <c r="E267" s="4"/>
      <c r="G267" s="4"/>
      <c r="J267"/>
    </row>
    <row r="268" spans="1:10" s="3" customFormat="1" x14ac:dyDescent="0.25">
      <c r="A268"/>
      <c r="B268" s="4"/>
      <c r="C268"/>
      <c r="D268" s="4"/>
      <c r="E268" s="4"/>
      <c r="G268" s="4"/>
      <c r="J268"/>
    </row>
    <row r="269" spans="1:10" s="3" customFormat="1" x14ac:dyDescent="0.25">
      <c r="A269"/>
      <c r="B269" s="4"/>
      <c r="C269"/>
      <c r="D269" s="4"/>
      <c r="E269" s="4"/>
      <c r="G269" s="4"/>
      <c r="J269"/>
    </row>
    <row r="270" spans="1:10" s="3" customFormat="1" x14ac:dyDescent="0.25">
      <c r="A270"/>
      <c r="B270" s="4"/>
      <c r="C270"/>
      <c r="D270" s="4"/>
      <c r="E270" s="4"/>
      <c r="G270" s="4"/>
      <c r="J270"/>
    </row>
    <row r="271" spans="1:10" s="3" customFormat="1" x14ac:dyDescent="0.25">
      <c r="A271"/>
      <c r="B271" s="4"/>
      <c r="C271"/>
      <c r="D271" s="4"/>
      <c r="E271" s="4"/>
      <c r="G271" s="4"/>
      <c r="J271"/>
    </row>
    <row r="272" spans="1:10" s="3" customFormat="1" x14ac:dyDescent="0.25">
      <c r="A272"/>
      <c r="B272" s="4"/>
      <c r="C272"/>
      <c r="D272" s="4"/>
      <c r="E272" s="4"/>
      <c r="G272" s="4"/>
      <c r="J272"/>
    </row>
    <row r="273" spans="1:10" s="3" customFormat="1" x14ac:dyDescent="0.25">
      <c r="A273"/>
      <c r="B273" s="4"/>
      <c r="C273"/>
      <c r="D273" s="4"/>
      <c r="E273" s="4"/>
      <c r="G273" s="4"/>
      <c r="J273"/>
    </row>
    <row r="274" spans="1:10" s="3" customFormat="1" x14ac:dyDescent="0.25">
      <c r="A274"/>
      <c r="B274" s="4"/>
      <c r="C274"/>
      <c r="D274" s="4"/>
      <c r="E274" s="4"/>
      <c r="G274" s="4"/>
      <c r="J274"/>
    </row>
    <row r="275" spans="1:10" s="3" customFormat="1" x14ac:dyDescent="0.25">
      <c r="A275"/>
      <c r="B275" s="4"/>
      <c r="C275"/>
      <c r="D275" s="4"/>
      <c r="E275" s="4"/>
      <c r="G275" s="4"/>
      <c r="J275"/>
    </row>
    <row r="276" spans="1:10" s="3" customFormat="1" x14ac:dyDescent="0.25">
      <c r="A276"/>
      <c r="B276" s="4"/>
      <c r="C276"/>
      <c r="D276" s="4"/>
      <c r="E276" s="4"/>
      <c r="G276" s="4"/>
      <c r="J276"/>
    </row>
    <row r="277" spans="1:10" s="3" customFormat="1" x14ac:dyDescent="0.25">
      <c r="A277"/>
      <c r="B277" s="4"/>
      <c r="C277"/>
      <c r="D277" s="4"/>
      <c r="E277" s="4"/>
      <c r="G277" s="4"/>
      <c r="J277"/>
    </row>
    <row r="278" spans="1:10" s="3" customFormat="1" x14ac:dyDescent="0.25">
      <c r="A278"/>
      <c r="B278" s="4"/>
      <c r="C278"/>
      <c r="D278" s="4"/>
      <c r="E278" s="4"/>
      <c r="G278" s="4"/>
      <c r="J278"/>
    </row>
    <row r="279" spans="1:10" s="3" customFormat="1" x14ac:dyDescent="0.25">
      <c r="A279"/>
      <c r="B279" s="4"/>
      <c r="C279"/>
      <c r="D279" s="4"/>
      <c r="E279" s="4"/>
      <c r="G279" s="4"/>
      <c r="J279"/>
    </row>
    <row r="280" spans="1:10" s="3" customFormat="1" x14ac:dyDescent="0.25">
      <c r="A280"/>
      <c r="B280" s="4"/>
      <c r="C280"/>
      <c r="D280" s="4"/>
      <c r="E280" s="4"/>
      <c r="G280" s="4"/>
      <c r="J280"/>
    </row>
    <row r="281" spans="1:10" s="3" customFormat="1" x14ac:dyDescent="0.25">
      <c r="A281"/>
      <c r="B281" s="4"/>
      <c r="C281"/>
      <c r="D281" s="4"/>
      <c r="E281" s="4"/>
      <c r="G281" s="4"/>
      <c r="J281"/>
    </row>
    <row r="282" spans="1:10" s="3" customFormat="1" x14ac:dyDescent="0.25">
      <c r="A282"/>
      <c r="B282" s="4"/>
      <c r="C282"/>
      <c r="D282" s="4"/>
      <c r="E282" s="4"/>
      <c r="G282" s="4"/>
      <c r="J282"/>
    </row>
    <row r="283" spans="1:10" s="3" customFormat="1" x14ac:dyDescent="0.25">
      <c r="A283"/>
      <c r="B283" s="4"/>
      <c r="C283"/>
      <c r="D283" s="4"/>
      <c r="E283" s="4"/>
      <c r="G283" s="4"/>
      <c r="J283"/>
    </row>
    <row r="284" spans="1:10" s="3" customFormat="1" x14ac:dyDescent="0.25">
      <c r="A284"/>
      <c r="B284" s="4"/>
      <c r="C284"/>
      <c r="D284" s="4"/>
      <c r="E284" s="4"/>
      <c r="G284" s="4"/>
      <c r="J284"/>
    </row>
  </sheetData>
  <autoFilter ref="B2:I131" xr:uid="{00000000-0009-0000-0000-000003000000}">
    <filterColumn colId="0">
      <customFilters>
        <customFilter operator="notEqual" val=" "/>
      </customFilters>
    </filterColumn>
  </autoFilter>
  <mergeCells count="1">
    <mergeCell ref="B2:B3"/>
  </mergeCells>
  <conditionalFormatting sqref="I12 I24 I35:I37 I39:I44 I46:I63 I65:I71 I94:I99 I101:I114 I116:I131 I14 I17 I27:I33 I73:I92">
    <cfRule type="cellIs" dxfId="17" priority="2" operator="equal">
      <formula>0</formula>
    </cfRule>
    <cfRule type="cellIs" dxfId="16" priority="3" operator="greaterThan">
      <formula>0</formula>
    </cfRule>
    <cfRule type="cellIs" dxfId="15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FCCBE022-4930-4C60-8879-E0796FC501B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I24 I12 I35:I37 I39:I44 I46:I63 I65:I71 I94:I99 I101:I114 I116:I131 I14 I17 I27:I33 I73:I92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pageSetUpPr fitToPage="1"/>
  </sheetPr>
  <dimension ref="A1:R175"/>
  <sheetViews>
    <sheetView zoomScale="60" zoomScaleNormal="60" zoomScaleSheetLayoutView="50" zoomScalePageLayoutView="50" workbookViewId="0">
      <selection activeCell="E4" sqref="E4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3" width="27.140625" style="97" bestFit="1" customWidth="1"/>
    <col min="4" max="4" width="24.42578125" style="97" bestFit="1" customWidth="1"/>
    <col min="5" max="5" width="27.140625" style="97" bestFit="1" customWidth="1"/>
    <col min="6" max="6" width="24.42578125" style="97" bestFit="1" customWidth="1"/>
    <col min="7" max="7" width="27.140625" style="97" bestFit="1" customWidth="1"/>
    <col min="8" max="8" width="24.42578125" style="97" bestFit="1" customWidth="1"/>
    <col min="9" max="9" width="27.140625" style="97" bestFit="1" customWidth="1"/>
    <col min="10" max="10" width="24.42578125" style="97" bestFit="1" customWidth="1"/>
    <col min="11" max="11" width="27.140625" style="97" bestFit="1" customWidth="1"/>
    <col min="12" max="12" width="24.42578125" style="97" bestFit="1" customWidth="1"/>
    <col min="13" max="13" width="27.140625" style="97" bestFit="1" customWidth="1"/>
    <col min="14" max="14" width="24.42578125" style="97" bestFit="1" customWidth="1"/>
    <col min="15" max="15" width="27.140625" style="97" bestFit="1" customWidth="1"/>
    <col min="16" max="16" width="24.42578125" style="97" bestFit="1" customWidth="1"/>
    <col min="17" max="17" width="27.140625" style="97" bestFit="1" customWidth="1"/>
    <col min="18" max="18" width="24.42578125" style="97" bestFit="1" customWidth="1"/>
  </cols>
  <sheetData>
    <row r="1" spans="1:18" s="128" customFormat="1" ht="21.95" customHeight="1" x14ac:dyDescent="0.3">
      <c r="B1" s="208" t="s">
        <v>1</v>
      </c>
      <c r="C1" s="323" t="s">
        <v>577</v>
      </c>
      <c r="D1" s="324"/>
      <c r="E1" s="323" t="s">
        <v>578</v>
      </c>
      <c r="F1" s="324"/>
      <c r="G1" s="323" t="s">
        <v>584</v>
      </c>
      <c r="H1" s="324"/>
      <c r="I1" s="323" t="s">
        <v>580</v>
      </c>
      <c r="J1" s="324"/>
      <c r="K1" s="323" t="s">
        <v>581</v>
      </c>
      <c r="L1" s="324"/>
      <c r="M1" s="323" t="s">
        <v>585</v>
      </c>
      <c r="N1" s="324"/>
      <c r="O1" s="323" t="s">
        <v>577</v>
      </c>
      <c r="P1" s="324"/>
      <c r="Q1" s="323"/>
      <c r="R1" s="324"/>
    </row>
    <row r="2" spans="1:18" s="7" customFormat="1" ht="21.95" customHeight="1" x14ac:dyDescent="0.3">
      <c r="B2" s="298"/>
      <c r="C2" s="155" t="s">
        <v>3</v>
      </c>
      <c r="D2" s="155" t="s">
        <v>41</v>
      </c>
      <c r="E2" s="155" t="s">
        <v>3</v>
      </c>
      <c r="F2" s="155" t="s">
        <v>41</v>
      </c>
      <c r="G2" s="155" t="s">
        <v>3</v>
      </c>
      <c r="H2" s="155" t="s">
        <v>41</v>
      </c>
      <c r="I2" s="155" t="s">
        <v>3</v>
      </c>
      <c r="J2" s="155" t="s">
        <v>41</v>
      </c>
      <c r="K2" s="155" t="s">
        <v>3</v>
      </c>
      <c r="L2" s="155" t="s">
        <v>41</v>
      </c>
      <c r="M2" s="155" t="s">
        <v>3</v>
      </c>
      <c r="N2" s="155" t="s">
        <v>41</v>
      </c>
      <c r="O2" s="155" t="s">
        <v>3</v>
      </c>
      <c r="P2" s="155" t="s">
        <v>41</v>
      </c>
      <c r="Q2" s="155" t="s">
        <v>3</v>
      </c>
      <c r="R2" s="155" t="s">
        <v>41</v>
      </c>
    </row>
    <row r="3" spans="1:18" s="7" customFormat="1" ht="21.95" customHeight="1" x14ac:dyDescent="0.3">
      <c r="B3" s="21" t="s">
        <v>32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</row>
    <row r="4" spans="1:18" s="7" customFormat="1" ht="30" customHeight="1" x14ac:dyDescent="0.45">
      <c r="A4" s="3"/>
      <c r="B4" s="22"/>
      <c r="C4" s="109"/>
      <c r="D4" s="110"/>
      <c r="E4" s="109">
        <v>6</v>
      </c>
      <c r="F4" s="356"/>
      <c r="G4" s="342">
        <v>10</v>
      </c>
      <c r="H4" s="342"/>
      <c r="I4" s="367">
        <v>8</v>
      </c>
      <c r="J4" s="110"/>
      <c r="K4" s="109">
        <v>5</v>
      </c>
      <c r="L4" s="110"/>
      <c r="M4" s="109">
        <v>4</v>
      </c>
      <c r="N4" s="110"/>
      <c r="O4" s="109">
        <v>3</v>
      </c>
      <c r="P4" s="110"/>
      <c r="Q4" s="109"/>
      <c r="R4" s="110"/>
    </row>
    <row r="5" spans="1:18" s="7" customFormat="1" ht="30" customHeight="1" x14ac:dyDescent="0.45">
      <c r="A5" s="3"/>
      <c r="B5" s="23"/>
      <c r="C5" s="109"/>
      <c r="D5" s="110"/>
      <c r="E5" s="109">
        <v>20</v>
      </c>
      <c r="F5" s="357"/>
      <c r="G5" s="342">
        <v>20</v>
      </c>
      <c r="H5" s="342"/>
      <c r="I5" s="368">
        <v>20</v>
      </c>
      <c r="J5" s="337"/>
      <c r="K5" s="109">
        <v>20</v>
      </c>
      <c r="L5" s="110"/>
      <c r="M5" s="109">
        <v>18</v>
      </c>
      <c r="N5" s="110"/>
      <c r="O5" s="109">
        <v>19</v>
      </c>
      <c r="P5" s="110"/>
      <c r="Q5" s="109"/>
      <c r="R5" s="110"/>
    </row>
    <row r="6" spans="1:18" s="7" customFormat="1" ht="30" customHeight="1" x14ac:dyDescent="0.3">
      <c r="A6" s="3" t="s">
        <v>213</v>
      </c>
      <c r="B6" s="299" t="s">
        <v>18</v>
      </c>
      <c r="C6" s="203"/>
      <c r="D6" s="203"/>
      <c r="E6" s="203">
        <v>38</v>
      </c>
      <c r="F6" s="358"/>
      <c r="G6" s="342">
        <v>26</v>
      </c>
      <c r="H6" s="342"/>
      <c r="I6" s="369">
        <v>27</v>
      </c>
      <c r="J6" s="203"/>
      <c r="K6" s="203">
        <v>29</v>
      </c>
      <c r="L6" s="203"/>
      <c r="M6" s="203">
        <v>19</v>
      </c>
      <c r="N6" s="203"/>
      <c r="O6" s="203">
        <v>30</v>
      </c>
      <c r="P6" s="203"/>
      <c r="Q6" s="203"/>
      <c r="R6" s="203"/>
    </row>
    <row r="7" spans="1:18" s="7" customFormat="1" ht="30" customHeight="1" x14ac:dyDescent="0.45">
      <c r="A7" s="3"/>
      <c r="B7" s="23"/>
      <c r="C7" s="109"/>
      <c r="D7" s="110"/>
      <c r="E7" s="109">
        <v>0</v>
      </c>
      <c r="F7" s="359"/>
      <c r="G7" s="342">
        <v>0</v>
      </c>
      <c r="H7" s="342"/>
      <c r="I7" s="370">
        <v>0</v>
      </c>
      <c r="J7" s="338"/>
      <c r="K7" s="109">
        <v>0</v>
      </c>
      <c r="L7" s="110"/>
      <c r="M7" s="109">
        <v>0</v>
      </c>
      <c r="N7" s="110"/>
      <c r="O7" s="109">
        <v>0</v>
      </c>
      <c r="P7" s="110"/>
      <c r="Q7" s="109"/>
      <c r="R7" s="110"/>
    </row>
    <row r="8" spans="1:18" s="7" customFormat="1" ht="30" customHeight="1" x14ac:dyDescent="0.45">
      <c r="A8" s="3"/>
      <c r="B8" s="24"/>
      <c r="C8" s="109"/>
      <c r="D8" s="110"/>
      <c r="E8" s="109">
        <v>4</v>
      </c>
      <c r="F8" s="356"/>
      <c r="G8" s="342">
        <v>4</v>
      </c>
      <c r="H8" s="342"/>
      <c r="I8" s="367">
        <v>4</v>
      </c>
      <c r="J8" s="110"/>
      <c r="K8" s="109">
        <v>4</v>
      </c>
      <c r="L8" s="110"/>
      <c r="M8" s="109">
        <v>4</v>
      </c>
      <c r="N8" s="110"/>
      <c r="O8" s="109">
        <v>4</v>
      </c>
      <c r="P8" s="110"/>
      <c r="Q8" s="109"/>
      <c r="R8" s="110"/>
    </row>
    <row r="9" spans="1:18" s="7" customFormat="1" ht="30" customHeight="1" x14ac:dyDescent="0.45">
      <c r="A9" s="3"/>
      <c r="B9" s="22"/>
      <c r="C9" s="109"/>
      <c r="D9" s="110"/>
      <c r="E9" s="109">
        <v>0</v>
      </c>
      <c r="F9" s="356"/>
      <c r="G9" s="342">
        <v>0</v>
      </c>
      <c r="H9" s="342"/>
      <c r="I9" s="367">
        <v>0</v>
      </c>
      <c r="J9" s="110"/>
      <c r="K9" s="109">
        <v>0</v>
      </c>
      <c r="L9" s="110"/>
      <c r="M9" s="109">
        <v>0</v>
      </c>
      <c r="N9" s="110"/>
      <c r="O9" s="109">
        <v>0</v>
      </c>
      <c r="P9" s="110"/>
      <c r="Q9" s="109"/>
      <c r="R9" s="110"/>
    </row>
    <row r="10" spans="1:18" s="7" customFormat="1" ht="30" customHeight="1" x14ac:dyDescent="0.45">
      <c r="A10" s="3"/>
      <c r="B10" s="22"/>
      <c r="C10" s="109"/>
      <c r="D10" s="110"/>
      <c r="E10" s="109">
        <v>0</v>
      </c>
      <c r="F10" s="356"/>
      <c r="G10" s="342">
        <v>0</v>
      </c>
      <c r="H10" s="342"/>
      <c r="I10" s="367">
        <v>0</v>
      </c>
      <c r="J10" s="110"/>
      <c r="K10" s="109">
        <v>0</v>
      </c>
      <c r="L10" s="110"/>
      <c r="M10" s="109">
        <v>0</v>
      </c>
      <c r="N10" s="110"/>
      <c r="O10" s="109">
        <v>0</v>
      </c>
      <c r="P10" s="110"/>
      <c r="Q10" s="109"/>
      <c r="R10" s="110"/>
    </row>
    <row r="11" spans="1:18" s="7" customFormat="1" ht="30" customHeight="1" x14ac:dyDescent="0.45">
      <c r="A11" s="3"/>
      <c r="B11" s="22"/>
      <c r="C11" s="109"/>
      <c r="D11" s="110"/>
      <c r="E11" s="109">
        <v>0</v>
      </c>
      <c r="F11" s="356"/>
      <c r="G11" s="342">
        <v>0</v>
      </c>
      <c r="H11" s="342"/>
      <c r="I11" s="367">
        <v>0</v>
      </c>
      <c r="J11" s="110"/>
      <c r="K11" s="109">
        <v>0</v>
      </c>
      <c r="L11" s="110"/>
      <c r="M11" s="109">
        <v>0</v>
      </c>
      <c r="N11" s="110"/>
      <c r="O11" s="109">
        <v>0</v>
      </c>
      <c r="P11" s="110"/>
      <c r="Q11" s="109"/>
      <c r="R11" s="110"/>
    </row>
    <row r="12" spans="1:18" s="7" customFormat="1" ht="30" customHeight="1" x14ac:dyDescent="0.45">
      <c r="A12" s="3"/>
      <c r="B12" s="23"/>
      <c r="C12" s="109"/>
      <c r="D12" s="110"/>
      <c r="E12" s="109">
        <v>20</v>
      </c>
      <c r="F12" s="356"/>
      <c r="G12" s="342">
        <v>20</v>
      </c>
      <c r="H12" s="342"/>
      <c r="I12" s="367">
        <v>17</v>
      </c>
      <c r="J12" s="110"/>
      <c r="K12" s="109">
        <v>20</v>
      </c>
      <c r="L12" s="110"/>
      <c r="M12" s="109">
        <v>20</v>
      </c>
      <c r="N12" s="110"/>
      <c r="O12" s="109">
        <v>20</v>
      </c>
      <c r="P12" s="110"/>
      <c r="Q12" s="109"/>
      <c r="R12" s="110"/>
    </row>
    <row r="13" spans="1:18" s="7" customFormat="1" ht="30" customHeight="1" x14ac:dyDescent="0.45">
      <c r="A13" s="3"/>
      <c r="B13" s="26"/>
      <c r="C13" s="112"/>
      <c r="D13" s="112"/>
      <c r="E13" s="112"/>
      <c r="F13" s="360"/>
      <c r="G13" s="342"/>
      <c r="H13" s="342"/>
      <c r="I13" s="371"/>
      <c r="J13" s="112"/>
      <c r="K13" s="112"/>
      <c r="L13" s="112"/>
      <c r="M13" s="112"/>
      <c r="N13" s="112"/>
      <c r="O13" s="112"/>
      <c r="P13" s="112"/>
      <c r="Q13" s="112"/>
      <c r="R13" s="112"/>
    </row>
    <row r="14" spans="1:18" s="7" customFormat="1" ht="30" customHeight="1" x14ac:dyDescent="0.4">
      <c r="A14" s="3"/>
      <c r="B14" s="27"/>
      <c r="C14" s="109"/>
      <c r="D14" s="110"/>
      <c r="E14" s="109">
        <v>2</v>
      </c>
      <c r="F14" s="356"/>
      <c r="G14" s="342">
        <v>2</v>
      </c>
      <c r="H14" s="342"/>
      <c r="I14" s="367">
        <v>2</v>
      </c>
      <c r="J14" s="110"/>
      <c r="K14" s="109">
        <v>2</v>
      </c>
      <c r="L14" s="110"/>
      <c r="M14" s="109">
        <v>2</v>
      </c>
      <c r="N14" s="110"/>
      <c r="O14" s="109">
        <v>2</v>
      </c>
      <c r="P14" s="110"/>
      <c r="Q14" s="109"/>
      <c r="R14" s="110"/>
    </row>
    <row r="15" spans="1:18" s="7" customFormat="1" ht="30" customHeight="1" x14ac:dyDescent="0.45">
      <c r="A15" s="3"/>
      <c r="B15" s="28"/>
      <c r="C15" s="109"/>
      <c r="D15" s="110"/>
      <c r="E15" s="109">
        <v>2</v>
      </c>
      <c r="F15" s="356"/>
      <c r="G15" s="342">
        <v>2</v>
      </c>
      <c r="H15" s="342"/>
      <c r="I15" s="367">
        <v>2</v>
      </c>
      <c r="J15" s="110"/>
      <c r="K15" s="109">
        <v>2</v>
      </c>
      <c r="L15" s="110"/>
      <c r="M15" s="109">
        <v>2</v>
      </c>
      <c r="N15" s="110"/>
      <c r="O15" s="109">
        <v>2</v>
      </c>
      <c r="P15" s="110"/>
      <c r="Q15" s="109"/>
      <c r="R15" s="110"/>
    </row>
    <row r="16" spans="1:18" s="7" customFormat="1" ht="30" customHeight="1" x14ac:dyDescent="0.4">
      <c r="A16" s="3"/>
      <c r="B16" s="29"/>
      <c r="C16" s="109"/>
      <c r="D16" s="110"/>
      <c r="E16" s="109">
        <v>2</v>
      </c>
      <c r="F16" s="356"/>
      <c r="G16" s="342">
        <v>2</v>
      </c>
      <c r="H16" s="342"/>
      <c r="I16" s="367">
        <v>2</v>
      </c>
      <c r="J16" s="110"/>
      <c r="K16" s="109">
        <v>1</v>
      </c>
      <c r="L16" s="110"/>
      <c r="M16" s="109">
        <v>2</v>
      </c>
      <c r="N16" s="110"/>
      <c r="O16" s="109">
        <v>2</v>
      </c>
      <c r="P16" s="110"/>
      <c r="Q16" s="109"/>
      <c r="R16" s="110"/>
    </row>
    <row r="17" spans="1:18" s="7" customFormat="1" ht="30" customHeight="1" x14ac:dyDescent="0.45">
      <c r="A17" s="3"/>
      <c r="B17" s="30"/>
      <c r="C17" s="109"/>
      <c r="D17" s="110"/>
      <c r="E17" s="109">
        <v>6</v>
      </c>
      <c r="F17" s="356"/>
      <c r="G17" s="342">
        <v>6</v>
      </c>
      <c r="H17" s="342"/>
      <c r="I17" s="367">
        <v>6</v>
      </c>
      <c r="J17" s="110"/>
      <c r="K17" s="109">
        <v>6</v>
      </c>
      <c r="L17" s="110"/>
      <c r="M17" s="109">
        <v>4</v>
      </c>
      <c r="N17" s="110"/>
      <c r="O17" s="109">
        <v>5</v>
      </c>
      <c r="P17" s="110"/>
      <c r="Q17" s="109"/>
      <c r="R17" s="110"/>
    </row>
    <row r="18" spans="1:18" s="7" customFormat="1" ht="30" customHeight="1" x14ac:dyDescent="0.4">
      <c r="A18" s="3"/>
      <c r="B18" s="29"/>
      <c r="C18" s="109"/>
      <c r="D18" s="110"/>
      <c r="E18" s="109">
        <v>1</v>
      </c>
      <c r="F18" s="356"/>
      <c r="G18" s="342">
        <v>2</v>
      </c>
      <c r="H18" s="342"/>
      <c r="I18" s="367">
        <v>2</v>
      </c>
      <c r="J18" s="110"/>
      <c r="K18" s="109">
        <v>2</v>
      </c>
      <c r="L18" s="110"/>
      <c r="M18" s="109">
        <v>2</v>
      </c>
      <c r="N18" s="110"/>
      <c r="O18" s="109">
        <v>2</v>
      </c>
      <c r="P18" s="110"/>
      <c r="Q18" s="109"/>
      <c r="R18" s="110"/>
    </row>
    <row r="19" spans="1:18" s="7" customFormat="1" ht="30" customHeight="1" x14ac:dyDescent="0.45">
      <c r="A19" s="3"/>
      <c r="B19" s="31"/>
      <c r="C19" s="109"/>
      <c r="D19" s="110"/>
      <c r="E19" s="109">
        <v>1</v>
      </c>
      <c r="F19" s="356"/>
      <c r="G19" s="342">
        <v>1</v>
      </c>
      <c r="H19" s="342"/>
      <c r="I19" s="367">
        <v>1</v>
      </c>
      <c r="J19" s="110"/>
      <c r="K19" s="109">
        <v>1</v>
      </c>
      <c r="L19" s="110"/>
      <c r="M19" s="109">
        <v>1</v>
      </c>
      <c r="N19" s="110"/>
      <c r="O19" s="109">
        <v>1</v>
      </c>
      <c r="P19" s="110"/>
      <c r="Q19" s="109"/>
      <c r="R19" s="110"/>
    </row>
    <row r="20" spans="1:18" s="7" customFormat="1" ht="30" customHeight="1" x14ac:dyDescent="0.45">
      <c r="A20" s="3"/>
      <c r="B20" s="28"/>
      <c r="C20" s="109"/>
      <c r="D20" s="110"/>
      <c r="E20" s="109">
        <v>3</v>
      </c>
      <c r="F20" s="356"/>
      <c r="G20" s="342">
        <v>3</v>
      </c>
      <c r="H20" s="342"/>
      <c r="I20" s="367">
        <v>3</v>
      </c>
      <c r="J20" s="110"/>
      <c r="K20" s="109">
        <v>3</v>
      </c>
      <c r="L20" s="110"/>
      <c r="M20" s="109">
        <v>3</v>
      </c>
      <c r="N20" s="110"/>
      <c r="O20" s="109">
        <v>3</v>
      </c>
      <c r="P20" s="110"/>
      <c r="Q20" s="109"/>
      <c r="R20" s="110"/>
    </row>
    <row r="21" spans="1:18" s="7" customFormat="1" ht="30" customHeight="1" x14ac:dyDescent="0.45">
      <c r="A21" s="3"/>
      <c r="B21" s="25"/>
      <c r="C21" s="109"/>
      <c r="D21" s="110"/>
      <c r="E21" s="109">
        <v>2</v>
      </c>
      <c r="F21" s="356"/>
      <c r="G21" s="342">
        <v>2</v>
      </c>
      <c r="H21" s="342"/>
      <c r="I21" s="367">
        <v>2</v>
      </c>
      <c r="J21" s="110"/>
      <c r="K21" s="109">
        <v>2</v>
      </c>
      <c r="L21" s="110"/>
      <c r="M21" s="109">
        <v>2</v>
      </c>
      <c r="N21" s="110"/>
      <c r="O21" s="109">
        <v>2</v>
      </c>
      <c r="P21" s="110"/>
      <c r="Q21" s="109"/>
      <c r="R21" s="110"/>
    </row>
    <row r="22" spans="1:18" s="7" customFormat="1" ht="30" customHeight="1" x14ac:dyDescent="0.45">
      <c r="A22" s="3"/>
      <c r="B22" s="30"/>
      <c r="C22" s="109"/>
      <c r="D22" s="110"/>
      <c r="E22" s="109">
        <v>2</v>
      </c>
      <c r="F22" s="356"/>
      <c r="G22" s="342">
        <v>2</v>
      </c>
      <c r="H22" s="342"/>
      <c r="I22" s="367">
        <v>2</v>
      </c>
      <c r="J22" s="110"/>
      <c r="K22" s="109">
        <v>2</v>
      </c>
      <c r="L22" s="110"/>
      <c r="M22" s="109">
        <v>1</v>
      </c>
      <c r="N22" s="110"/>
      <c r="O22" s="109">
        <v>2</v>
      </c>
      <c r="P22" s="110"/>
      <c r="Q22" s="109"/>
      <c r="R22" s="110"/>
    </row>
    <row r="23" spans="1:18" s="7" customFormat="1" ht="30" customHeight="1" x14ac:dyDescent="0.45">
      <c r="A23" s="3"/>
      <c r="B23" s="30"/>
      <c r="C23" s="109"/>
      <c r="D23" s="110"/>
      <c r="E23" s="109">
        <v>2</v>
      </c>
      <c r="F23" s="356"/>
      <c r="G23" s="342">
        <v>2</v>
      </c>
      <c r="H23" s="342"/>
      <c r="I23" s="367">
        <v>2</v>
      </c>
      <c r="J23" s="110"/>
      <c r="K23" s="109">
        <v>2</v>
      </c>
      <c r="L23" s="110"/>
      <c r="M23" s="109">
        <v>2</v>
      </c>
      <c r="N23" s="110"/>
      <c r="O23" s="109">
        <v>2</v>
      </c>
      <c r="P23" s="110"/>
      <c r="Q23" s="109"/>
      <c r="R23" s="110"/>
    </row>
    <row r="24" spans="1:18" s="7" customFormat="1" ht="30" customHeight="1" x14ac:dyDescent="0.4">
      <c r="A24" s="3"/>
      <c r="B24" s="27"/>
      <c r="C24" s="109"/>
      <c r="D24" s="110"/>
      <c r="E24" s="109">
        <v>3</v>
      </c>
      <c r="F24" s="356"/>
      <c r="G24" s="342">
        <v>0</v>
      </c>
      <c r="H24" s="342"/>
      <c r="I24" s="367">
        <v>0</v>
      </c>
      <c r="J24" s="110"/>
      <c r="K24" s="109">
        <v>0</v>
      </c>
      <c r="L24" s="110"/>
      <c r="M24" s="109">
        <v>0</v>
      </c>
      <c r="N24" s="110"/>
      <c r="O24" s="109">
        <v>0</v>
      </c>
      <c r="P24" s="110"/>
      <c r="Q24" s="109"/>
      <c r="R24" s="110"/>
    </row>
    <row r="25" spans="1:18" s="7" customFormat="1" ht="30" customHeight="1" x14ac:dyDescent="0.4">
      <c r="A25" s="3"/>
      <c r="B25" s="29"/>
      <c r="C25" s="109"/>
      <c r="D25" s="110"/>
      <c r="E25" s="109">
        <v>2</v>
      </c>
      <c r="F25" s="356"/>
      <c r="G25" s="342">
        <v>3</v>
      </c>
      <c r="H25" s="342"/>
      <c r="I25" s="367">
        <v>4</v>
      </c>
      <c r="J25" s="110"/>
      <c r="K25" s="109">
        <v>3</v>
      </c>
      <c r="L25" s="110"/>
      <c r="M25" s="109">
        <v>4</v>
      </c>
      <c r="N25" s="110"/>
      <c r="O25" s="109">
        <v>5</v>
      </c>
      <c r="P25" s="110"/>
      <c r="Q25" s="109"/>
      <c r="R25" s="110"/>
    </row>
    <row r="26" spans="1:18" s="7" customFormat="1" ht="30" customHeight="1" x14ac:dyDescent="0.45">
      <c r="A26" s="3"/>
      <c r="B26" s="32"/>
      <c r="C26" s="109"/>
      <c r="D26" s="110"/>
      <c r="E26" s="109">
        <v>2</v>
      </c>
      <c r="F26" s="356"/>
      <c r="G26" s="342">
        <v>2</v>
      </c>
      <c r="H26" s="342"/>
      <c r="I26" s="367">
        <v>2</v>
      </c>
      <c r="J26" s="110"/>
      <c r="K26" s="109">
        <v>2</v>
      </c>
      <c r="L26" s="110"/>
      <c r="M26" s="109">
        <v>2</v>
      </c>
      <c r="N26" s="110"/>
      <c r="O26" s="109">
        <v>2</v>
      </c>
      <c r="P26" s="110"/>
      <c r="Q26" s="109"/>
      <c r="R26" s="110"/>
    </row>
    <row r="27" spans="1:18" s="7" customFormat="1" ht="30" customHeight="1" x14ac:dyDescent="0.45">
      <c r="A27" s="3"/>
      <c r="B27" s="28"/>
      <c r="C27" s="109"/>
      <c r="D27" s="110"/>
      <c r="E27" s="109">
        <v>1</v>
      </c>
      <c r="F27" s="356"/>
      <c r="G27" s="342">
        <v>1</v>
      </c>
      <c r="H27" s="342"/>
      <c r="I27" s="367">
        <v>1</v>
      </c>
      <c r="J27" s="110"/>
      <c r="K27" s="109">
        <v>1</v>
      </c>
      <c r="L27" s="110"/>
      <c r="M27" s="109">
        <v>1</v>
      </c>
      <c r="N27" s="110"/>
      <c r="O27" s="109">
        <v>1</v>
      </c>
      <c r="P27" s="110"/>
      <c r="Q27" s="109"/>
      <c r="R27" s="110"/>
    </row>
    <row r="28" spans="1:18" s="7" customFormat="1" ht="30" customHeight="1" x14ac:dyDescent="0.45">
      <c r="A28" s="3"/>
      <c r="B28" s="33"/>
      <c r="C28" s="109"/>
      <c r="D28" s="110"/>
      <c r="E28" s="109">
        <v>0</v>
      </c>
      <c r="F28" s="356"/>
      <c r="G28" s="342">
        <v>0</v>
      </c>
      <c r="H28" s="342"/>
      <c r="I28" s="367">
        <v>2</v>
      </c>
      <c r="J28" s="110"/>
      <c r="K28" s="109">
        <v>6</v>
      </c>
      <c r="L28" s="110"/>
      <c r="M28" s="109">
        <v>2</v>
      </c>
      <c r="N28" s="110"/>
      <c r="O28" s="109">
        <v>2</v>
      </c>
      <c r="P28" s="110"/>
      <c r="Q28" s="109"/>
      <c r="R28" s="110"/>
    </row>
    <row r="29" spans="1:18" s="7" customFormat="1" ht="30" customHeight="1" x14ac:dyDescent="0.45">
      <c r="A29" s="3"/>
      <c r="B29" s="30"/>
      <c r="C29" s="109"/>
      <c r="D29" s="110"/>
      <c r="E29" s="109">
        <v>11</v>
      </c>
      <c r="F29" s="356"/>
      <c r="G29" s="342">
        <v>6</v>
      </c>
      <c r="H29" s="342"/>
      <c r="I29" s="367">
        <v>0</v>
      </c>
      <c r="J29" s="110"/>
      <c r="K29" s="109">
        <v>10</v>
      </c>
      <c r="L29" s="110"/>
      <c r="M29" s="109">
        <v>6</v>
      </c>
      <c r="N29" s="110"/>
      <c r="O29" s="109">
        <v>13</v>
      </c>
      <c r="P29" s="110"/>
      <c r="Q29" s="109"/>
      <c r="R29" s="110"/>
    </row>
    <row r="30" spans="1:18" s="7" customFormat="1" ht="30" customHeight="1" x14ac:dyDescent="0.45">
      <c r="A30" s="3"/>
      <c r="B30" s="30"/>
      <c r="C30" s="109"/>
      <c r="D30" s="110"/>
      <c r="E30" s="109">
        <v>3</v>
      </c>
      <c r="F30" s="356"/>
      <c r="G30" s="342">
        <v>3</v>
      </c>
      <c r="H30" s="342"/>
      <c r="I30" s="367">
        <v>3</v>
      </c>
      <c r="J30" s="110"/>
      <c r="K30" s="109">
        <v>3</v>
      </c>
      <c r="L30" s="110"/>
      <c r="M30" s="109">
        <v>3</v>
      </c>
      <c r="N30" s="110"/>
      <c r="O30" s="109">
        <v>3</v>
      </c>
      <c r="P30" s="110"/>
      <c r="Q30" s="109"/>
      <c r="R30" s="110"/>
    </row>
    <row r="31" spans="1:18" s="7" customFormat="1" ht="30" customHeight="1" x14ac:dyDescent="0.4">
      <c r="A31" s="3"/>
      <c r="B31" s="29"/>
      <c r="C31" s="109"/>
      <c r="D31" s="110"/>
      <c r="E31" s="109">
        <v>3</v>
      </c>
      <c r="F31" s="356"/>
      <c r="G31" s="342">
        <v>3</v>
      </c>
      <c r="H31" s="342"/>
      <c r="I31" s="367">
        <v>2</v>
      </c>
      <c r="J31" s="110"/>
      <c r="K31" s="109">
        <v>2</v>
      </c>
      <c r="L31" s="110"/>
      <c r="M31" s="109">
        <v>2</v>
      </c>
      <c r="N31" s="110"/>
      <c r="O31" s="109">
        <v>2</v>
      </c>
      <c r="P31" s="110"/>
      <c r="Q31" s="109"/>
      <c r="R31" s="110"/>
    </row>
    <row r="32" spans="1:18" s="7" customFormat="1" ht="30" customHeight="1" x14ac:dyDescent="0.45">
      <c r="A32" s="3"/>
      <c r="B32" s="28"/>
      <c r="C32" s="109"/>
      <c r="D32" s="110"/>
      <c r="E32" s="109">
        <v>2</v>
      </c>
      <c r="F32" s="357"/>
      <c r="G32" s="342">
        <v>2</v>
      </c>
      <c r="H32" s="342"/>
      <c r="I32" s="368">
        <v>2</v>
      </c>
      <c r="J32" s="337"/>
      <c r="K32" s="109">
        <v>1</v>
      </c>
      <c r="L32" s="110"/>
      <c r="M32" s="109">
        <v>2</v>
      </c>
      <c r="N32" s="110"/>
      <c r="O32" s="109">
        <v>2</v>
      </c>
      <c r="P32" s="110"/>
      <c r="Q32" s="109"/>
      <c r="R32" s="110"/>
    </row>
    <row r="33" spans="1:18" s="7" customFormat="1" ht="30" customHeight="1" x14ac:dyDescent="0.3">
      <c r="A33" s="3"/>
      <c r="B33" s="300" t="s">
        <v>33</v>
      </c>
      <c r="C33" s="108"/>
      <c r="D33" s="108"/>
      <c r="E33" s="108"/>
      <c r="F33" s="361"/>
      <c r="G33" s="108"/>
      <c r="H33" s="108"/>
      <c r="I33" s="372"/>
      <c r="J33" s="108"/>
      <c r="K33" s="108"/>
      <c r="L33" s="108"/>
      <c r="M33" s="108"/>
      <c r="N33" s="108"/>
      <c r="O33" s="108"/>
      <c r="P33" s="108"/>
      <c r="Q33" s="108"/>
      <c r="R33" s="108"/>
    </row>
    <row r="34" spans="1:18" s="7" customFormat="1" ht="30" customHeight="1" x14ac:dyDescent="0.45">
      <c r="A34" s="3"/>
      <c r="B34" s="49"/>
      <c r="C34" s="109"/>
      <c r="D34" s="110"/>
      <c r="E34" s="109">
        <v>8</v>
      </c>
      <c r="F34" s="359"/>
      <c r="G34" s="342">
        <v>7</v>
      </c>
      <c r="H34" s="342"/>
      <c r="I34" s="370">
        <v>6</v>
      </c>
      <c r="J34" s="338"/>
      <c r="K34" s="109">
        <v>6</v>
      </c>
      <c r="L34" s="110"/>
      <c r="M34" s="109">
        <v>7</v>
      </c>
      <c r="N34" s="110"/>
      <c r="O34" s="109">
        <v>7</v>
      </c>
      <c r="P34" s="110"/>
      <c r="Q34" s="109"/>
      <c r="R34" s="110"/>
    </row>
    <row r="35" spans="1:18" s="7" customFormat="1" ht="30" customHeight="1" x14ac:dyDescent="0.45">
      <c r="A35" s="3"/>
      <c r="B35" s="50"/>
      <c r="C35" s="109"/>
      <c r="D35" s="110"/>
      <c r="E35" s="109">
        <v>3</v>
      </c>
      <c r="F35" s="356"/>
      <c r="G35" s="342">
        <v>5</v>
      </c>
      <c r="H35" s="342"/>
      <c r="I35" s="367">
        <v>4</v>
      </c>
      <c r="J35" s="110"/>
      <c r="K35" s="109">
        <v>4</v>
      </c>
      <c r="L35" s="110"/>
      <c r="M35" s="109">
        <v>4</v>
      </c>
      <c r="N35" s="110"/>
      <c r="O35" s="109">
        <v>6</v>
      </c>
      <c r="P35" s="110"/>
      <c r="Q35" s="109"/>
      <c r="R35" s="110"/>
    </row>
    <row r="36" spans="1:18" s="7" customFormat="1" ht="30" customHeight="1" x14ac:dyDescent="0.45">
      <c r="A36" s="3"/>
      <c r="B36" s="49"/>
      <c r="C36" s="109"/>
      <c r="D36" s="110"/>
      <c r="E36" s="109">
        <v>5</v>
      </c>
      <c r="F36" s="357"/>
      <c r="G36" s="342">
        <v>4</v>
      </c>
      <c r="H36" s="342"/>
      <c r="I36" s="368">
        <v>4</v>
      </c>
      <c r="J36" s="337"/>
      <c r="K36" s="109">
        <v>4</v>
      </c>
      <c r="L36" s="110"/>
      <c r="M36" s="109">
        <v>6</v>
      </c>
      <c r="N36" s="110"/>
      <c r="O36" s="109">
        <v>6</v>
      </c>
      <c r="P36" s="110"/>
      <c r="Q36" s="109"/>
      <c r="R36" s="110"/>
    </row>
    <row r="37" spans="1:18" s="7" customFormat="1" ht="30" customHeight="1" x14ac:dyDescent="0.3">
      <c r="A37" s="3" t="s">
        <v>207</v>
      </c>
      <c r="B37" s="301" t="s">
        <v>61</v>
      </c>
      <c r="C37" s="203"/>
      <c r="D37" s="203"/>
      <c r="E37" s="203">
        <v>29</v>
      </c>
      <c r="F37" s="358"/>
      <c r="G37" s="342">
        <v>30</v>
      </c>
      <c r="H37" s="342"/>
      <c r="I37" s="369">
        <v>27</v>
      </c>
      <c r="J37" s="203"/>
      <c r="K37" s="203">
        <v>17</v>
      </c>
      <c r="L37" s="203"/>
      <c r="M37" s="203">
        <v>20</v>
      </c>
      <c r="N37" s="203"/>
      <c r="O37" s="203">
        <v>20</v>
      </c>
      <c r="P37" s="203"/>
      <c r="Q37" s="203"/>
      <c r="R37" s="203"/>
    </row>
    <row r="38" spans="1:18" s="7" customFormat="1" ht="30" customHeight="1" x14ac:dyDescent="0.3">
      <c r="A38" s="3" t="s">
        <v>206</v>
      </c>
      <c r="B38" s="302" t="s">
        <v>62</v>
      </c>
      <c r="C38" s="203"/>
      <c r="D38" s="203"/>
      <c r="E38" s="203">
        <v>32</v>
      </c>
      <c r="F38" s="358"/>
      <c r="G38" s="342">
        <v>35</v>
      </c>
      <c r="H38" s="342"/>
      <c r="I38" s="369">
        <v>35</v>
      </c>
      <c r="J38" s="203"/>
      <c r="K38" s="203">
        <v>33</v>
      </c>
      <c r="L38" s="203"/>
      <c r="M38" s="203">
        <v>27</v>
      </c>
      <c r="N38" s="203"/>
      <c r="O38" s="203">
        <v>33</v>
      </c>
      <c r="P38" s="203"/>
      <c r="Q38" s="203"/>
      <c r="R38" s="203"/>
    </row>
    <row r="39" spans="1:18" s="7" customFormat="1" ht="30" customHeight="1" x14ac:dyDescent="0.3">
      <c r="A39" s="3" t="s">
        <v>208</v>
      </c>
      <c r="B39" s="303" t="s">
        <v>63</v>
      </c>
      <c r="C39" s="203"/>
      <c r="D39" s="203"/>
      <c r="E39" s="203">
        <v>32</v>
      </c>
      <c r="F39" s="358"/>
      <c r="G39" s="342">
        <v>30</v>
      </c>
      <c r="H39" s="342"/>
      <c r="I39" s="369">
        <v>32</v>
      </c>
      <c r="J39" s="203"/>
      <c r="K39" s="203">
        <v>35</v>
      </c>
      <c r="L39" s="203"/>
      <c r="M39" s="203">
        <v>21</v>
      </c>
      <c r="N39" s="203"/>
      <c r="O39" s="203">
        <v>27</v>
      </c>
      <c r="P39" s="203"/>
      <c r="Q39" s="203"/>
      <c r="R39" s="203"/>
    </row>
    <row r="40" spans="1:18" s="7" customFormat="1" ht="30" customHeight="1" x14ac:dyDescent="0.45">
      <c r="A40" s="3"/>
      <c r="B40" s="51"/>
      <c r="C40" s="109"/>
      <c r="D40" s="110"/>
      <c r="E40" s="109">
        <v>0</v>
      </c>
      <c r="F40" s="362"/>
      <c r="G40" s="342">
        <v>0</v>
      </c>
      <c r="H40" s="342"/>
      <c r="I40" s="373">
        <v>0</v>
      </c>
      <c r="J40" s="339"/>
      <c r="K40" s="109">
        <v>0</v>
      </c>
      <c r="L40" s="110"/>
      <c r="M40" s="109">
        <v>0</v>
      </c>
      <c r="N40" s="110"/>
      <c r="O40" s="109">
        <v>0</v>
      </c>
      <c r="P40" s="110"/>
      <c r="Q40" s="109"/>
      <c r="R40" s="110"/>
    </row>
    <row r="41" spans="1:18" s="7" customFormat="1" ht="30" customHeight="1" x14ac:dyDescent="0.3">
      <c r="A41" s="3" t="s">
        <v>211</v>
      </c>
      <c r="B41" s="302" t="s">
        <v>64</v>
      </c>
      <c r="C41" s="203"/>
      <c r="D41" s="203"/>
      <c r="E41" s="203">
        <v>32</v>
      </c>
      <c r="F41" s="358"/>
      <c r="G41" s="342">
        <v>27</v>
      </c>
      <c r="H41" s="342"/>
      <c r="I41" s="369">
        <v>30</v>
      </c>
      <c r="J41" s="203"/>
      <c r="K41" s="203">
        <v>17</v>
      </c>
      <c r="L41" s="203"/>
      <c r="M41" s="203">
        <v>16</v>
      </c>
      <c r="N41" s="203"/>
      <c r="O41" s="203">
        <v>25</v>
      </c>
      <c r="P41" s="203"/>
      <c r="Q41" s="203"/>
      <c r="R41" s="203"/>
    </row>
    <row r="42" spans="1:18" s="7" customFormat="1" ht="30" customHeight="1" x14ac:dyDescent="0.3">
      <c r="A42" s="3" t="s">
        <v>210</v>
      </c>
      <c r="B42" s="304" t="s">
        <v>65</v>
      </c>
      <c r="C42" s="203"/>
      <c r="D42" s="203"/>
      <c r="E42" s="203">
        <v>29</v>
      </c>
      <c r="F42" s="358"/>
      <c r="G42" s="342">
        <v>25</v>
      </c>
      <c r="H42" s="342"/>
      <c r="I42" s="369">
        <v>23</v>
      </c>
      <c r="J42" s="203"/>
      <c r="K42" s="203">
        <v>34</v>
      </c>
      <c r="L42" s="203"/>
      <c r="M42" s="203">
        <v>28</v>
      </c>
      <c r="N42" s="203"/>
      <c r="O42" s="203">
        <v>16</v>
      </c>
      <c r="P42" s="203"/>
      <c r="Q42" s="203"/>
      <c r="R42" s="203"/>
    </row>
    <row r="43" spans="1:18" s="7" customFormat="1" ht="30" customHeight="1" x14ac:dyDescent="0.4">
      <c r="A43" s="3"/>
      <c r="B43" s="52"/>
      <c r="C43" s="109"/>
      <c r="D43" s="110"/>
      <c r="E43" s="109">
        <v>9</v>
      </c>
      <c r="F43" s="359"/>
      <c r="G43" s="342">
        <v>9</v>
      </c>
      <c r="H43" s="342"/>
      <c r="I43" s="370">
        <v>7</v>
      </c>
      <c r="J43" s="338"/>
      <c r="K43" s="109">
        <v>10</v>
      </c>
      <c r="L43" s="110"/>
      <c r="M43" s="109">
        <v>14</v>
      </c>
      <c r="N43" s="110"/>
      <c r="O43" s="109">
        <v>8</v>
      </c>
      <c r="P43" s="110"/>
      <c r="Q43" s="109"/>
      <c r="R43" s="110"/>
    </row>
    <row r="44" spans="1:18" s="7" customFormat="1" ht="30" customHeight="1" x14ac:dyDescent="0.45">
      <c r="A44" s="3"/>
      <c r="B44" s="51"/>
      <c r="C44" s="109"/>
      <c r="D44" s="110"/>
      <c r="E44" s="109">
        <v>9</v>
      </c>
      <c r="F44" s="356"/>
      <c r="G44" s="342">
        <v>9</v>
      </c>
      <c r="H44" s="342"/>
      <c r="I44" s="367">
        <v>9</v>
      </c>
      <c r="J44" s="110"/>
      <c r="K44" s="109">
        <v>8</v>
      </c>
      <c r="L44" s="110"/>
      <c r="M44" s="109">
        <v>8</v>
      </c>
      <c r="N44" s="110"/>
      <c r="O44" s="109">
        <v>8</v>
      </c>
      <c r="P44" s="110"/>
      <c r="Q44" s="109"/>
      <c r="R44" s="110"/>
    </row>
    <row r="45" spans="1:18" s="7" customFormat="1" ht="30" customHeight="1" x14ac:dyDescent="0.45">
      <c r="A45" s="3"/>
      <c r="B45" s="51"/>
      <c r="C45" s="109"/>
      <c r="D45" s="110"/>
      <c r="E45" s="109">
        <v>6</v>
      </c>
      <c r="F45" s="356"/>
      <c r="G45" s="342">
        <v>6</v>
      </c>
      <c r="H45" s="342"/>
      <c r="I45" s="367">
        <v>6</v>
      </c>
      <c r="J45" s="110"/>
      <c r="K45" s="109">
        <v>6</v>
      </c>
      <c r="L45" s="110"/>
      <c r="M45" s="109">
        <v>6</v>
      </c>
      <c r="N45" s="110"/>
      <c r="O45" s="109">
        <v>6</v>
      </c>
      <c r="P45" s="110"/>
      <c r="Q45" s="109"/>
      <c r="R45" s="110"/>
    </row>
    <row r="46" spans="1:18" s="7" customFormat="1" ht="30" customHeight="1" x14ac:dyDescent="0.45">
      <c r="A46" s="3"/>
      <c r="B46" s="51"/>
      <c r="C46" s="109"/>
      <c r="D46" s="110"/>
      <c r="E46" s="109">
        <v>16</v>
      </c>
      <c r="F46" s="356"/>
      <c r="G46" s="342">
        <v>15</v>
      </c>
      <c r="H46" s="342"/>
      <c r="I46" s="367">
        <v>14</v>
      </c>
      <c r="J46" s="110"/>
      <c r="K46" s="109">
        <v>23</v>
      </c>
      <c r="L46" s="110"/>
      <c r="M46" s="109">
        <v>22</v>
      </c>
      <c r="N46" s="110"/>
      <c r="O46" s="109">
        <v>23</v>
      </c>
      <c r="P46" s="110"/>
      <c r="Q46" s="109"/>
      <c r="R46" s="110"/>
    </row>
    <row r="47" spans="1:18" s="7" customFormat="1" ht="30" customHeight="1" x14ac:dyDescent="0.45">
      <c r="A47" s="3"/>
      <c r="B47" s="51"/>
      <c r="C47" s="109"/>
      <c r="D47" s="110"/>
      <c r="E47" s="109">
        <v>0</v>
      </c>
      <c r="F47" s="356"/>
      <c r="G47" s="342">
        <v>0</v>
      </c>
      <c r="H47" s="342"/>
      <c r="I47" s="367">
        <v>0</v>
      </c>
      <c r="J47" s="110"/>
      <c r="K47" s="109">
        <v>0</v>
      </c>
      <c r="L47" s="110"/>
      <c r="M47" s="109">
        <v>0</v>
      </c>
      <c r="N47" s="110"/>
      <c r="O47" s="109">
        <v>0</v>
      </c>
      <c r="P47" s="110"/>
      <c r="Q47" s="109"/>
      <c r="R47" s="110"/>
    </row>
    <row r="48" spans="1:18" s="7" customFormat="1" ht="30" customHeight="1" x14ac:dyDescent="0.45">
      <c r="A48" s="3"/>
      <c r="B48" s="51"/>
      <c r="C48" s="109"/>
      <c r="D48" s="110"/>
      <c r="E48" s="109">
        <v>35</v>
      </c>
      <c r="F48" s="356"/>
      <c r="G48" s="342">
        <v>34</v>
      </c>
      <c r="H48" s="342"/>
      <c r="I48" s="367">
        <v>34</v>
      </c>
      <c r="J48" s="110"/>
      <c r="K48" s="109">
        <v>34</v>
      </c>
      <c r="L48" s="110"/>
      <c r="M48" s="109">
        <v>32</v>
      </c>
      <c r="N48" s="110"/>
      <c r="O48" s="109">
        <v>34</v>
      </c>
      <c r="P48" s="110"/>
      <c r="Q48" s="109"/>
      <c r="R48" s="110"/>
    </row>
    <row r="49" spans="1:18" s="7" customFormat="1" ht="30" customHeight="1" x14ac:dyDescent="0.45">
      <c r="A49" s="3"/>
      <c r="B49" s="51"/>
      <c r="C49" s="109"/>
      <c r="D49" s="110"/>
      <c r="E49" s="109">
        <v>20</v>
      </c>
      <c r="F49" s="357"/>
      <c r="G49" s="342">
        <v>19</v>
      </c>
      <c r="H49" s="342"/>
      <c r="I49" s="368">
        <v>19</v>
      </c>
      <c r="J49" s="337"/>
      <c r="K49" s="109">
        <v>18</v>
      </c>
      <c r="L49" s="110"/>
      <c r="M49" s="109">
        <v>20</v>
      </c>
      <c r="N49" s="110"/>
      <c r="O49" s="109">
        <v>17</v>
      </c>
      <c r="P49" s="110"/>
      <c r="Q49" s="109"/>
      <c r="R49" s="110"/>
    </row>
    <row r="50" spans="1:18" s="7" customFormat="1" ht="30" customHeight="1" x14ac:dyDescent="0.3">
      <c r="A50" s="3" t="s">
        <v>247</v>
      </c>
      <c r="B50" s="305" t="s">
        <v>21</v>
      </c>
      <c r="C50" s="203"/>
      <c r="D50" s="203"/>
      <c r="E50" s="203">
        <v>24</v>
      </c>
      <c r="F50" s="358"/>
      <c r="G50" s="342">
        <v>22</v>
      </c>
      <c r="H50" s="342"/>
      <c r="I50" s="369">
        <v>22</v>
      </c>
      <c r="J50" s="203"/>
      <c r="K50" s="203">
        <v>21</v>
      </c>
      <c r="L50" s="203"/>
      <c r="M50" s="203">
        <v>24</v>
      </c>
      <c r="N50" s="203"/>
      <c r="O50" s="203">
        <v>23</v>
      </c>
      <c r="P50" s="203"/>
      <c r="Q50" s="203"/>
      <c r="R50" s="203"/>
    </row>
    <row r="51" spans="1:18" s="7" customFormat="1" ht="30" customHeight="1" x14ac:dyDescent="0.3">
      <c r="A51" s="3" t="s">
        <v>248</v>
      </c>
      <c r="B51" s="306" t="s">
        <v>22</v>
      </c>
      <c r="C51" s="203"/>
      <c r="D51" s="203"/>
      <c r="E51" s="203">
        <v>21</v>
      </c>
      <c r="F51" s="358"/>
      <c r="G51" s="342">
        <v>20</v>
      </c>
      <c r="H51" s="342"/>
      <c r="I51" s="369">
        <v>19</v>
      </c>
      <c r="J51" s="203"/>
      <c r="K51" s="203">
        <v>24</v>
      </c>
      <c r="L51" s="203"/>
      <c r="M51" s="203">
        <v>16</v>
      </c>
      <c r="N51" s="203"/>
      <c r="O51" s="203">
        <v>21</v>
      </c>
      <c r="P51" s="203"/>
      <c r="Q51" s="203"/>
      <c r="R51" s="203"/>
    </row>
    <row r="52" spans="1:18" s="7" customFormat="1" ht="30" customHeight="1" x14ac:dyDescent="0.45">
      <c r="A52" s="3"/>
      <c r="B52" s="53"/>
      <c r="C52" s="109"/>
      <c r="D52" s="110"/>
      <c r="E52" s="109">
        <v>18</v>
      </c>
      <c r="F52" s="359"/>
      <c r="G52" s="342">
        <v>24</v>
      </c>
      <c r="H52" s="342"/>
      <c r="I52" s="370">
        <v>23</v>
      </c>
      <c r="J52" s="338"/>
      <c r="K52" s="109">
        <v>17</v>
      </c>
      <c r="L52" s="110"/>
      <c r="M52" s="109">
        <v>17</v>
      </c>
      <c r="N52" s="110"/>
      <c r="O52" s="109">
        <v>22</v>
      </c>
      <c r="P52" s="110"/>
      <c r="Q52" s="109"/>
      <c r="R52" s="110"/>
    </row>
    <row r="53" spans="1:18" s="7" customFormat="1" ht="30" customHeight="1" x14ac:dyDescent="0.45">
      <c r="A53" s="3"/>
      <c r="B53" s="51"/>
      <c r="C53" s="109"/>
      <c r="D53" s="110"/>
      <c r="E53" s="109">
        <v>18</v>
      </c>
      <c r="F53" s="356"/>
      <c r="G53" s="342">
        <v>18</v>
      </c>
      <c r="H53" s="342"/>
      <c r="I53" s="367">
        <v>15</v>
      </c>
      <c r="J53" s="110"/>
      <c r="K53" s="109">
        <v>19</v>
      </c>
      <c r="L53" s="110"/>
      <c r="M53" s="109">
        <v>18</v>
      </c>
      <c r="N53" s="110"/>
      <c r="O53" s="109">
        <v>18</v>
      </c>
      <c r="P53" s="110"/>
      <c r="Q53" s="109"/>
      <c r="R53" s="110"/>
    </row>
    <row r="54" spans="1:18" s="7" customFormat="1" ht="30" customHeight="1" x14ac:dyDescent="0.4">
      <c r="A54" s="3"/>
      <c r="B54" s="52"/>
      <c r="C54" s="109"/>
      <c r="D54" s="110"/>
      <c r="E54" s="109">
        <v>22</v>
      </c>
      <c r="F54" s="356"/>
      <c r="G54" s="342">
        <v>21</v>
      </c>
      <c r="H54" s="342"/>
      <c r="I54" s="367">
        <v>20</v>
      </c>
      <c r="J54" s="110"/>
      <c r="K54" s="109">
        <v>18</v>
      </c>
      <c r="L54" s="110"/>
      <c r="M54" s="109">
        <v>20</v>
      </c>
      <c r="N54" s="110"/>
      <c r="O54" s="109">
        <v>18</v>
      </c>
      <c r="P54" s="110"/>
      <c r="Q54" s="109"/>
      <c r="R54" s="110"/>
    </row>
    <row r="55" spans="1:18" s="7" customFormat="1" ht="30" customHeight="1" x14ac:dyDescent="0.45">
      <c r="A55" s="3"/>
      <c r="B55" s="51"/>
      <c r="C55" s="109"/>
      <c r="D55" s="110"/>
      <c r="E55" s="109">
        <v>37</v>
      </c>
      <c r="F55" s="356"/>
      <c r="G55" s="342">
        <v>37</v>
      </c>
      <c r="H55" s="342"/>
      <c r="I55" s="367">
        <v>36</v>
      </c>
      <c r="J55" s="110"/>
      <c r="K55" s="109">
        <v>35</v>
      </c>
      <c r="L55" s="110"/>
      <c r="M55" s="109">
        <v>27</v>
      </c>
      <c r="N55" s="110"/>
      <c r="O55" s="109">
        <v>31</v>
      </c>
      <c r="P55" s="110"/>
      <c r="Q55" s="109"/>
      <c r="R55" s="110"/>
    </row>
    <row r="56" spans="1:18" s="7" customFormat="1" ht="30" customHeight="1" x14ac:dyDescent="0.45">
      <c r="A56" s="3"/>
      <c r="B56" s="54"/>
      <c r="C56" s="109"/>
      <c r="D56" s="110"/>
      <c r="E56" s="109">
        <v>4</v>
      </c>
      <c r="F56" s="356"/>
      <c r="G56" s="342">
        <v>4</v>
      </c>
      <c r="H56" s="342"/>
      <c r="I56" s="367">
        <v>4</v>
      </c>
      <c r="J56" s="110"/>
      <c r="K56" s="109">
        <v>4</v>
      </c>
      <c r="L56" s="110"/>
      <c r="M56" s="109">
        <v>6</v>
      </c>
      <c r="N56" s="110"/>
      <c r="O56" s="109">
        <v>6</v>
      </c>
      <c r="P56" s="110"/>
      <c r="Q56" s="109"/>
      <c r="R56" s="110"/>
    </row>
    <row r="57" spans="1:18" s="7" customFormat="1" ht="30" customHeight="1" x14ac:dyDescent="0.45">
      <c r="A57" s="3"/>
      <c r="B57" s="26"/>
      <c r="C57" s="112"/>
      <c r="D57" s="112"/>
      <c r="E57" s="112"/>
      <c r="F57" s="360"/>
      <c r="G57" s="342"/>
      <c r="H57" s="342"/>
      <c r="I57" s="371"/>
      <c r="J57" s="112"/>
      <c r="K57" s="112"/>
      <c r="L57" s="112"/>
      <c r="M57" s="112"/>
      <c r="N57" s="112"/>
      <c r="O57" s="112"/>
      <c r="P57" s="112"/>
      <c r="Q57" s="112"/>
      <c r="R57" s="112"/>
    </row>
    <row r="58" spans="1:18" s="7" customFormat="1" ht="30" customHeight="1" x14ac:dyDescent="0.45">
      <c r="A58" s="3"/>
      <c r="B58" s="22"/>
      <c r="C58" s="109"/>
      <c r="D58" s="110"/>
      <c r="E58" s="109">
        <v>3</v>
      </c>
      <c r="F58" s="356"/>
      <c r="G58" s="342">
        <v>3</v>
      </c>
      <c r="H58" s="342"/>
      <c r="I58" s="367">
        <v>1</v>
      </c>
      <c r="J58" s="110"/>
      <c r="K58" s="109">
        <v>1</v>
      </c>
      <c r="L58" s="110"/>
      <c r="M58" s="109">
        <v>2</v>
      </c>
      <c r="N58" s="110"/>
      <c r="O58" s="109">
        <v>4</v>
      </c>
      <c r="P58" s="110"/>
      <c r="Q58" s="109"/>
      <c r="R58" s="110"/>
    </row>
    <row r="59" spans="1:18" s="7" customFormat="1" ht="30" customHeight="1" x14ac:dyDescent="0.45">
      <c r="A59" s="3"/>
      <c r="B59" s="22"/>
      <c r="C59" s="109"/>
      <c r="D59" s="110"/>
      <c r="E59" s="109">
        <v>0</v>
      </c>
      <c r="F59" s="356"/>
      <c r="G59" s="342">
        <v>0</v>
      </c>
      <c r="H59" s="342"/>
      <c r="I59" s="367">
        <v>0</v>
      </c>
      <c r="J59" s="110"/>
      <c r="K59" s="109">
        <v>0</v>
      </c>
      <c r="L59" s="110"/>
      <c r="M59" s="109">
        <v>1</v>
      </c>
      <c r="N59" s="110"/>
      <c r="O59" s="109">
        <v>2</v>
      </c>
      <c r="P59" s="110"/>
      <c r="Q59" s="109"/>
      <c r="R59" s="110"/>
    </row>
    <row r="60" spans="1:18" s="7" customFormat="1" ht="30" customHeight="1" x14ac:dyDescent="0.45">
      <c r="A60" s="3"/>
      <c r="B60" s="22"/>
      <c r="C60" s="109"/>
      <c r="D60" s="110"/>
      <c r="E60" s="109">
        <v>7</v>
      </c>
      <c r="F60" s="356"/>
      <c r="G60" s="342">
        <v>7</v>
      </c>
      <c r="H60" s="342"/>
      <c r="I60" s="367">
        <v>10</v>
      </c>
      <c r="J60" s="110"/>
      <c r="K60" s="109">
        <v>10</v>
      </c>
      <c r="L60" s="110"/>
      <c r="M60" s="109">
        <v>10</v>
      </c>
      <c r="N60" s="110"/>
      <c r="O60" s="109">
        <v>10</v>
      </c>
      <c r="P60" s="110"/>
      <c r="Q60" s="109"/>
      <c r="R60" s="110"/>
    </row>
    <row r="61" spans="1:18" s="7" customFormat="1" ht="30" customHeight="1" x14ac:dyDescent="0.45">
      <c r="A61" s="3"/>
      <c r="B61" s="22"/>
      <c r="C61" s="109"/>
      <c r="D61" s="110"/>
      <c r="E61" s="109">
        <v>7</v>
      </c>
      <c r="F61" s="356"/>
      <c r="G61" s="342">
        <v>7</v>
      </c>
      <c r="H61" s="342"/>
      <c r="I61" s="367">
        <v>9</v>
      </c>
      <c r="J61" s="110"/>
      <c r="K61" s="109">
        <v>8</v>
      </c>
      <c r="L61" s="110"/>
      <c r="M61" s="109">
        <v>9</v>
      </c>
      <c r="N61" s="110"/>
      <c r="O61" s="109">
        <v>9</v>
      </c>
      <c r="P61" s="110"/>
      <c r="Q61" s="109"/>
      <c r="R61" s="110"/>
    </row>
    <row r="62" spans="1:18" s="7" customFormat="1" ht="30" customHeight="1" x14ac:dyDescent="0.45">
      <c r="A62" s="3"/>
      <c r="B62" s="22"/>
      <c r="C62" s="114"/>
      <c r="D62" s="110"/>
      <c r="E62" s="114">
        <v>4</v>
      </c>
      <c r="F62" s="356"/>
      <c r="G62" s="342">
        <v>4</v>
      </c>
      <c r="H62" s="342"/>
      <c r="I62" s="374">
        <v>2</v>
      </c>
      <c r="J62" s="110"/>
      <c r="K62" s="114">
        <v>1</v>
      </c>
      <c r="L62" s="110"/>
      <c r="M62" s="114">
        <v>3</v>
      </c>
      <c r="N62" s="110"/>
      <c r="O62" s="114">
        <v>5</v>
      </c>
      <c r="P62" s="110"/>
      <c r="Q62" s="114"/>
      <c r="R62" s="110"/>
    </row>
    <row r="63" spans="1:18" s="7" customFormat="1" ht="30" customHeight="1" x14ac:dyDescent="0.45">
      <c r="A63" s="3"/>
      <c r="B63" s="22"/>
      <c r="C63" s="109"/>
      <c r="D63" s="110"/>
      <c r="E63" s="109">
        <v>4</v>
      </c>
      <c r="F63" s="356"/>
      <c r="G63" s="342">
        <v>4</v>
      </c>
      <c r="H63" s="342"/>
      <c r="I63" s="367">
        <v>0</v>
      </c>
      <c r="J63" s="110"/>
      <c r="K63" s="109">
        <v>0</v>
      </c>
      <c r="L63" s="110"/>
      <c r="M63" s="109">
        <v>1</v>
      </c>
      <c r="N63" s="110"/>
      <c r="O63" s="109">
        <v>2</v>
      </c>
      <c r="P63" s="110"/>
      <c r="Q63" s="109"/>
      <c r="R63" s="110"/>
    </row>
    <row r="64" spans="1:18" s="7" customFormat="1" ht="30" customHeight="1" x14ac:dyDescent="0.4">
      <c r="A64" s="3"/>
      <c r="B64" s="34"/>
      <c r="C64" s="109"/>
      <c r="D64" s="110"/>
      <c r="E64" s="109">
        <v>1</v>
      </c>
      <c r="F64" s="357"/>
      <c r="G64" s="342">
        <v>1</v>
      </c>
      <c r="H64" s="342"/>
      <c r="I64" s="368">
        <v>0</v>
      </c>
      <c r="J64" s="337"/>
      <c r="K64" s="109">
        <v>2</v>
      </c>
      <c r="L64" s="110"/>
      <c r="M64" s="109">
        <v>0</v>
      </c>
      <c r="N64" s="110"/>
      <c r="O64" s="109">
        <v>5</v>
      </c>
      <c r="P64" s="110"/>
      <c r="Q64" s="109"/>
      <c r="R64" s="110"/>
    </row>
    <row r="65" spans="1:18" s="7" customFormat="1" ht="30" customHeight="1" x14ac:dyDescent="0.3">
      <c r="A65" s="3"/>
      <c r="B65" s="307" t="s">
        <v>39</v>
      </c>
      <c r="C65" s="108"/>
      <c r="D65" s="108"/>
      <c r="E65" s="108"/>
      <c r="F65" s="361"/>
      <c r="G65" s="108"/>
      <c r="H65" s="108"/>
      <c r="I65" s="372"/>
      <c r="J65" s="108"/>
      <c r="K65" s="108"/>
      <c r="L65" s="108"/>
      <c r="M65" s="108"/>
      <c r="N65" s="108"/>
      <c r="O65" s="108"/>
      <c r="P65" s="108"/>
      <c r="Q65" s="108"/>
      <c r="R65" s="108"/>
    </row>
    <row r="66" spans="1:18" s="7" customFormat="1" ht="30" customHeight="1" x14ac:dyDescent="0.45">
      <c r="A66" s="3"/>
      <c r="B66" s="36"/>
      <c r="C66" s="109"/>
      <c r="D66" s="110"/>
      <c r="E66" s="109">
        <v>0</v>
      </c>
      <c r="F66" s="362"/>
      <c r="G66" s="342">
        <v>0</v>
      </c>
      <c r="H66" s="342"/>
      <c r="I66" s="373">
        <v>0</v>
      </c>
      <c r="J66" s="339"/>
      <c r="K66" s="109">
        <v>0</v>
      </c>
      <c r="L66" s="110"/>
      <c r="M66" s="109">
        <v>0</v>
      </c>
      <c r="N66" s="110"/>
      <c r="O66" s="109">
        <v>0</v>
      </c>
      <c r="P66" s="110"/>
      <c r="Q66" s="109"/>
      <c r="R66" s="110"/>
    </row>
    <row r="67" spans="1:18" s="7" customFormat="1" ht="30" customHeight="1" x14ac:dyDescent="0.3">
      <c r="A67" s="3" t="s">
        <v>270</v>
      </c>
      <c r="B67" s="308" t="s">
        <v>48</v>
      </c>
      <c r="C67" s="203"/>
      <c r="D67" s="203"/>
      <c r="E67" s="203">
        <v>11</v>
      </c>
      <c r="F67" s="358"/>
      <c r="G67" s="342">
        <v>7</v>
      </c>
      <c r="H67" s="342"/>
      <c r="I67" s="369">
        <v>0</v>
      </c>
      <c r="J67" s="203"/>
      <c r="K67" s="203">
        <v>13</v>
      </c>
      <c r="L67" s="203"/>
      <c r="M67" s="203">
        <v>0</v>
      </c>
      <c r="N67" s="203"/>
      <c r="O67" s="203">
        <v>0</v>
      </c>
      <c r="P67" s="203"/>
      <c r="Q67" s="203"/>
      <c r="R67" s="203"/>
    </row>
    <row r="68" spans="1:18" s="7" customFormat="1" ht="30" customHeight="1" x14ac:dyDescent="0.3">
      <c r="A68" s="3" t="s">
        <v>268</v>
      </c>
      <c r="B68" s="308" t="s">
        <v>27</v>
      </c>
      <c r="C68" s="203"/>
      <c r="D68" s="203"/>
      <c r="E68" s="203">
        <v>10</v>
      </c>
      <c r="F68" s="358"/>
      <c r="G68" s="342">
        <v>14</v>
      </c>
      <c r="H68" s="342"/>
      <c r="I68" s="369">
        <v>11</v>
      </c>
      <c r="J68" s="203"/>
      <c r="K68" s="203">
        <v>9</v>
      </c>
      <c r="L68" s="203"/>
      <c r="M68" s="203">
        <v>12</v>
      </c>
      <c r="N68" s="203"/>
      <c r="O68" s="203">
        <v>13</v>
      </c>
      <c r="P68" s="203"/>
      <c r="Q68" s="203"/>
      <c r="R68" s="203"/>
    </row>
    <row r="69" spans="1:18" s="7" customFormat="1" ht="30" customHeight="1" x14ac:dyDescent="0.3">
      <c r="A69" s="3" t="s">
        <v>269</v>
      </c>
      <c r="B69" s="308" t="s">
        <v>28</v>
      </c>
      <c r="C69" s="203"/>
      <c r="D69" s="203"/>
      <c r="E69" s="203">
        <v>7</v>
      </c>
      <c r="F69" s="358"/>
      <c r="G69" s="342">
        <v>6</v>
      </c>
      <c r="H69" s="342"/>
      <c r="I69" s="369">
        <v>5</v>
      </c>
      <c r="J69" s="203"/>
      <c r="K69" s="203">
        <v>10</v>
      </c>
      <c r="L69" s="203"/>
      <c r="M69" s="203">
        <v>10</v>
      </c>
      <c r="N69" s="203"/>
      <c r="O69" s="203">
        <v>12</v>
      </c>
      <c r="P69" s="203"/>
      <c r="Q69" s="203"/>
      <c r="R69" s="203"/>
    </row>
    <row r="70" spans="1:18" s="7" customFormat="1" ht="30" customHeight="1" x14ac:dyDescent="0.45">
      <c r="A70" s="3"/>
      <c r="B70" s="26"/>
      <c r="C70" s="113"/>
      <c r="D70" s="115"/>
      <c r="E70" s="113"/>
      <c r="F70" s="363"/>
      <c r="G70" s="342"/>
      <c r="H70" s="342"/>
      <c r="I70" s="375"/>
      <c r="J70" s="340"/>
      <c r="K70" s="113"/>
      <c r="L70" s="115"/>
      <c r="M70" s="113"/>
      <c r="N70" s="115"/>
      <c r="O70" s="113"/>
      <c r="P70" s="115"/>
      <c r="Q70" s="113"/>
      <c r="R70" s="115"/>
    </row>
    <row r="71" spans="1:18" s="7" customFormat="1" ht="30" customHeight="1" x14ac:dyDescent="0.45">
      <c r="A71" s="3"/>
      <c r="B71" s="24"/>
      <c r="C71" s="109"/>
      <c r="D71" s="110"/>
      <c r="E71" s="109">
        <v>2</v>
      </c>
      <c r="F71" s="356"/>
      <c r="G71" s="342">
        <v>2</v>
      </c>
      <c r="H71" s="342"/>
      <c r="I71" s="367">
        <v>2</v>
      </c>
      <c r="J71" s="110"/>
      <c r="K71" s="109">
        <v>2</v>
      </c>
      <c r="L71" s="110"/>
      <c r="M71" s="109">
        <v>2</v>
      </c>
      <c r="N71" s="110"/>
      <c r="O71" s="109">
        <v>2</v>
      </c>
      <c r="P71" s="110"/>
      <c r="Q71" s="109"/>
      <c r="R71" s="110"/>
    </row>
    <row r="72" spans="1:18" s="7" customFormat="1" ht="30" customHeight="1" x14ac:dyDescent="0.45">
      <c r="A72" s="3"/>
      <c r="B72" s="37"/>
      <c r="C72" s="109"/>
      <c r="D72" s="110"/>
      <c r="E72" s="109">
        <v>2</v>
      </c>
      <c r="F72" s="356"/>
      <c r="G72" s="342">
        <v>2</v>
      </c>
      <c r="H72" s="342"/>
      <c r="I72" s="367">
        <v>2</v>
      </c>
      <c r="J72" s="110"/>
      <c r="K72" s="109">
        <v>2</v>
      </c>
      <c r="L72" s="110"/>
      <c r="M72" s="109">
        <v>2</v>
      </c>
      <c r="N72" s="110"/>
      <c r="O72" s="109">
        <v>2</v>
      </c>
      <c r="P72" s="110"/>
      <c r="Q72" s="109"/>
      <c r="R72" s="110"/>
    </row>
    <row r="73" spans="1:18" s="7" customFormat="1" ht="30" customHeight="1" x14ac:dyDescent="0.45">
      <c r="A73" s="3"/>
      <c r="B73" s="37"/>
      <c r="C73" s="109"/>
      <c r="D73" s="110"/>
      <c r="E73" s="109">
        <v>2</v>
      </c>
      <c r="F73" s="356"/>
      <c r="G73" s="342">
        <v>2</v>
      </c>
      <c r="H73" s="342"/>
      <c r="I73" s="367">
        <v>2</v>
      </c>
      <c r="J73" s="110"/>
      <c r="K73" s="109">
        <v>0</v>
      </c>
      <c r="L73" s="110"/>
      <c r="M73" s="109">
        <v>2</v>
      </c>
      <c r="N73" s="110"/>
      <c r="O73" s="109">
        <v>2</v>
      </c>
      <c r="P73" s="110"/>
      <c r="Q73" s="109"/>
      <c r="R73" s="110"/>
    </row>
    <row r="74" spans="1:18" s="7" customFormat="1" ht="30" customHeight="1" x14ac:dyDescent="0.45">
      <c r="A74" s="3"/>
      <c r="B74" s="37"/>
      <c r="C74" s="109"/>
      <c r="D74" s="110"/>
      <c r="E74" s="109">
        <v>2</v>
      </c>
      <c r="F74" s="356"/>
      <c r="G74" s="342">
        <v>2</v>
      </c>
      <c r="H74" s="342"/>
      <c r="I74" s="367">
        <v>2</v>
      </c>
      <c r="J74" s="110"/>
      <c r="K74" s="109">
        <v>2</v>
      </c>
      <c r="L74" s="110"/>
      <c r="M74" s="109">
        <v>2</v>
      </c>
      <c r="N74" s="110"/>
      <c r="O74" s="109">
        <v>2</v>
      </c>
      <c r="P74" s="110"/>
      <c r="Q74" s="109"/>
      <c r="R74" s="110"/>
    </row>
    <row r="75" spans="1:18" s="7" customFormat="1" ht="30" customHeight="1" x14ac:dyDescent="0.45">
      <c r="A75" s="3"/>
      <c r="B75" s="37"/>
      <c r="C75" s="109"/>
      <c r="D75" s="110"/>
      <c r="E75" s="109">
        <v>1</v>
      </c>
      <c r="F75" s="356"/>
      <c r="G75" s="342">
        <v>1</v>
      </c>
      <c r="H75" s="342"/>
      <c r="I75" s="367">
        <v>2</v>
      </c>
      <c r="J75" s="110">
        <v>0</v>
      </c>
      <c r="K75" s="109">
        <v>1</v>
      </c>
      <c r="L75" s="110"/>
      <c r="M75" s="109">
        <v>1</v>
      </c>
      <c r="N75" s="110">
        <v>0</v>
      </c>
      <c r="O75" s="109">
        <v>2</v>
      </c>
      <c r="P75" s="110">
        <v>0</v>
      </c>
      <c r="Q75" s="109"/>
      <c r="R75" s="110"/>
    </row>
    <row r="76" spans="1:18" s="7" customFormat="1" ht="30" customHeight="1" x14ac:dyDescent="0.45">
      <c r="A76" s="3"/>
      <c r="B76" s="37"/>
      <c r="C76" s="109"/>
      <c r="D76" s="110"/>
      <c r="E76" s="109">
        <v>2</v>
      </c>
      <c r="F76" s="356"/>
      <c r="G76" s="342">
        <v>2</v>
      </c>
      <c r="H76" s="342"/>
      <c r="I76" s="367">
        <v>2</v>
      </c>
      <c r="J76" s="110"/>
      <c r="K76" s="109">
        <v>1</v>
      </c>
      <c r="L76" s="110"/>
      <c r="M76" s="109">
        <v>2</v>
      </c>
      <c r="N76" s="110"/>
      <c r="O76" s="109">
        <v>2</v>
      </c>
      <c r="P76" s="110"/>
      <c r="Q76" s="109"/>
      <c r="R76" s="110"/>
    </row>
    <row r="77" spans="1:18" s="7" customFormat="1" ht="30" customHeight="1" x14ac:dyDescent="0.45">
      <c r="A77" s="3"/>
      <c r="B77" s="24"/>
      <c r="C77" s="109"/>
      <c r="D77" s="110"/>
      <c r="E77" s="109">
        <v>2</v>
      </c>
      <c r="F77" s="356"/>
      <c r="G77" s="342">
        <v>2</v>
      </c>
      <c r="H77" s="342"/>
      <c r="I77" s="367">
        <v>2</v>
      </c>
      <c r="J77" s="110"/>
      <c r="K77" s="109">
        <v>1</v>
      </c>
      <c r="L77" s="110"/>
      <c r="M77" s="109">
        <v>1</v>
      </c>
      <c r="N77" s="110"/>
      <c r="O77" s="109">
        <v>2</v>
      </c>
      <c r="P77" s="110"/>
      <c r="Q77" s="109"/>
      <c r="R77" s="110"/>
    </row>
    <row r="78" spans="1:18" s="7" customFormat="1" ht="30" customHeight="1" x14ac:dyDescent="0.45">
      <c r="A78" s="3"/>
      <c r="B78" s="24"/>
      <c r="C78" s="109"/>
      <c r="D78" s="110"/>
      <c r="E78" s="109">
        <v>2</v>
      </c>
      <c r="F78" s="356"/>
      <c r="G78" s="342">
        <v>2</v>
      </c>
      <c r="H78" s="342"/>
      <c r="I78" s="367">
        <v>2</v>
      </c>
      <c r="J78" s="110"/>
      <c r="K78" s="109">
        <v>2</v>
      </c>
      <c r="L78" s="110"/>
      <c r="M78" s="109">
        <v>2</v>
      </c>
      <c r="N78" s="110"/>
      <c r="O78" s="109">
        <v>2</v>
      </c>
      <c r="P78" s="110"/>
      <c r="Q78" s="109"/>
      <c r="R78" s="110"/>
    </row>
    <row r="79" spans="1:18" s="7" customFormat="1" ht="30" customHeight="1" x14ac:dyDescent="0.45">
      <c r="A79" s="3"/>
      <c r="B79" s="35"/>
      <c r="C79" s="109"/>
      <c r="D79" s="110"/>
      <c r="E79" s="109">
        <v>8</v>
      </c>
      <c r="F79" s="356">
        <v>7</v>
      </c>
      <c r="G79" s="342">
        <v>8</v>
      </c>
      <c r="H79" s="342">
        <v>5</v>
      </c>
      <c r="I79" s="367">
        <v>7</v>
      </c>
      <c r="J79" s="110">
        <v>4</v>
      </c>
      <c r="K79" s="109">
        <v>7</v>
      </c>
      <c r="L79" s="110">
        <v>3</v>
      </c>
      <c r="M79" s="109">
        <v>4</v>
      </c>
      <c r="N79" s="110">
        <v>4</v>
      </c>
      <c r="O79" s="109">
        <v>8</v>
      </c>
      <c r="P79" s="110">
        <v>0</v>
      </c>
      <c r="Q79" s="109"/>
      <c r="R79" s="110"/>
    </row>
    <row r="80" spans="1:18" s="7" customFormat="1" ht="30" customHeight="1" x14ac:dyDescent="0.45">
      <c r="A80" s="3"/>
      <c r="B80" s="28"/>
      <c r="C80" s="109"/>
      <c r="D80" s="110"/>
      <c r="E80" s="109">
        <v>1</v>
      </c>
      <c r="F80" s="356"/>
      <c r="G80" s="342">
        <v>1</v>
      </c>
      <c r="H80" s="342"/>
      <c r="I80" s="367">
        <v>1</v>
      </c>
      <c r="J80" s="110"/>
      <c r="K80" s="109">
        <v>1</v>
      </c>
      <c r="L80" s="110"/>
      <c r="M80" s="109">
        <v>1</v>
      </c>
      <c r="N80" s="110"/>
      <c r="O80" s="109">
        <v>1</v>
      </c>
      <c r="P80" s="110"/>
      <c r="Q80" s="109"/>
      <c r="R80" s="110"/>
    </row>
    <row r="81" spans="1:18" s="7" customFormat="1" ht="30" customHeight="1" x14ac:dyDescent="0.45">
      <c r="A81" s="3"/>
      <c r="B81" s="31"/>
      <c r="C81" s="109"/>
      <c r="D81" s="110"/>
      <c r="E81" s="109">
        <v>2</v>
      </c>
      <c r="F81" s="356">
        <v>0</v>
      </c>
      <c r="G81" s="342">
        <v>2</v>
      </c>
      <c r="H81" s="342"/>
      <c r="I81" s="367">
        <v>2</v>
      </c>
      <c r="J81" s="110"/>
      <c r="K81" s="109">
        <v>2</v>
      </c>
      <c r="L81" s="110"/>
      <c r="M81" s="109">
        <v>2</v>
      </c>
      <c r="N81" s="110"/>
      <c r="O81" s="109">
        <v>2</v>
      </c>
      <c r="P81" s="110"/>
      <c r="Q81" s="109"/>
      <c r="R81" s="110"/>
    </row>
    <row r="82" spans="1:18" s="7" customFormat="1" ht="30" customHeight="1" x14ac:dyDescent="0.45">
      <c r="A82" s="3"/>
      <c r="B82" s="26"/>
      <c r="C82" s="112"/>
      <c r="D82" s="112"/>
      <c r="E82" s="112"/>
      <c r="F82" s="360"/>
      <c r="G82" s="342"/>
      <c r="H82" s="342"/>
      <c r="I82" s="371"/>
      <c r="J82" s="112"/>
      <c r="K82" s="112"/>
      <c r="L82" s="112"/>
      <c r="M82" s="112"/>
      <c r="N82" s="112"/>
      <c r="O82" s="112"/>
      <c r="P82" s="112"/>
      <c r="Q82" s="112"/>
      <c r="R82" s="112"/>
    </row>
    <row r="83" spans="1:18" s="7" customFormat="1" ht="30" customHeight="1" x14ac:dyDescent="0.45">
      <c r="A83" s="3"/>
      <c r="B83" s="28"/>
      <c r="C83" s="109"/>
      <c r="D83" s="110"/>
      <c r="E83" s="109">
        <v>0</v>
      </c>
      <c r="F83" s="356">
        <v>6</v>
      </c>
      <c r="G83" s="342">
        <v>0</v>
      </c>
      <c r="H83" s="342">
        <v>6</v>
      </c>
      <c r="I83" s="367">
        <v>0</v>
      </c>
      <c r="J83" s="110">
        <v>6</v>
      </c>
      <c r="K83" s="109">
        <v>0</v>
      </c>
      <c r="L83" s="110">
        <v>6</v>
      </c>
      <c r="M83" s="109">
        <v>0</v>
      </c>
      <c r="N83" s="110">
        <v>6</v>
      </c>
      <c r="O83" s="109">
        <v>0</v>
      </c>
      <c r="P83" s="110">
        <v>6</v>
      </c>
      <c r="Q83" s="109"/>
      <c r="R83" s="110"/>
    </row>
    <row r="84" spans="1:18" s="7" customFormat="1" ht="30" customHeight="1" x14ac:dyDescent="0.45">
      <c r="A84" s="3"/>
      <c r="B84" s="28"/>
      <c r="C84" s="109"/>
      <c r="D84" s="110"/>
      <c r="E84" s="109">
        <v>1</v>
      </c>
      <c r="F84" s="356">
        <v>9</v>
      </c>
      <c r="G84" s="342">
        <v>2</v>
      </c>
      <c r="H84" s="342">
        <v>0</v>
      </c>
      <c r="I84" s="367">
        <v>2</v>
      </c>
      <c r="J84" s="110">
        <v>0</v>
      </c>
      <c r="K84" s="109">
        <v>2</v>
      </c>
      <c r="L84" s="110">
        <v>0</v>
      </c>
      <c r="M84" s="109">
        <v>2</v>
      </c>
      <c r="N84" s="110">
        <v>0</v>
      </c>
      <c r="O84" s="109">
        <v>2</v>
      </c>
      <c r="P84" s="110">
        <v>0</v>
      </c>
      <c r="Q84" s="109"/>
      <c r="R84" s="110"/>
    </row>
    <row r="85" spans="1:18" s="7" customFormat="1" ht="30" customHeight="1" x14ac:dyDescent="0.4">
      <c r="A85" s="3"/>
      <c r="B85" s="38"/>
      <c r="C85" s="109"/>
      <c r="D85" s="110"/>
      <c r="E85" s="109">
        <v>2</v>
      </c>
      <c r="F85" s="356">
        <v>1</v>
      </c>
      <c r="G85" s="342">
        <v>2</v>
      </c>
      <c r="H85" s="342">
        <v>1</v>
      </c>
      <c r="I85" s="367">
        <v>2</v>
      </c>
      <c r="J85" s="110">
        <v>1</v>
      </c>
      <c r="K85" s="109">
        <v>2</v>
      </c>
      <c r="L85" s="110">
        <v>1</v>
      </c>
      <c r="M85" s="109">
        <v>2</v>
      </c>
      <c r="N85" s="110">
        <v>1</v>
      </c>
      <c r="O85" s="109">
        <v>2</v>
      </c>
      <c r="P85" s="110">
        <v>1</v>
      </c>
      <c r="Q85" s="109"/>
      <c r="R85" s="110"/>
    </row>
    <row r="86" spans="1:18" s="7" customFormat="1" ht="30" customHeight="1" x14ac:dyDescent="0.45">
      <c r="A86" s="3"/>
      <c r="B86" s="28"/>
      <c r="C86" s="109"/>
      <c r="D86" s="110"/>
      <c r="E86" s="109">
        <v>1</v>
      </c>
      <c r="F86" s="356">
        <v>3</v>
      </c>
      <c r="G86" s="342">
        <v>1</v>
      </c>
      <c r="H86" s="342">
        <v>3</v>
      </c>
      <c r="I86" s="367">
        <v>1</v>
      </c>
      <c r="J86" s="110">
        <v>3</v>
      </c>
      <c r="K86" s="109">
        <v>1</v>
      </c>
      <c r="L86" s="110">
        <v>3</v>
      </c>
      <c r="M86" s="109">
        <v>1</v>
      </c>
      <c r="N86" s="110">
        <v>3</v>
      </c>
      <c r="O86" s="109">
        <v>1</v>
      </c>
      <c r="P86" s="110">
        <v>3</v>
      </c>
      <c r="Q86" s="109"/>
      <c r="R86" s="110"/>
    </row>
    <row r="87" spans="1:18" s="7" customFormat="1" ht="30" customHeight="1" x14ac:dyDescent="0.45">
      <c r="A87" s="3"/>
      <c r="B87" s="28"/>
      <c r="C87" s="109"/>
      <c r="D87" s="110"/>
      <c r="E87" s="109">
        <v>1</v>
      </c>
      <c r="F87" s="356">
        <v>4</v>
      </c>
      <c r="G87" s="342">
        <v>1</v>
      </c>
      <c r="H87" s="342">
        <v>4</v>
      </c>
      <c r="I87" s="367">
        <v>1</v>
      </c>
      <c r="J87" s="110">
        <v>4</v>
      </c>
      <c r="K87" s="109">
        <v>1</v>
      </c>
      <c r="L87" s="110">
        <v>4</v>
      </c>
      <c r="M87" s="109">
        <v>1</v>
      </c>
      <c r="N87" s="110">
        <v>4</v>
      </c>
      <c r="O87" s="109">
        <v>1</v>
      </c>
      <c r="P87" s="110">
        <v>4</v>
      </c>
      <c r="Q87" s="109"/>
      <c r="R87" s="110"/>
    </row>
    <row r="88" spans="1:18" s="7" customFormat="1" ht="30" customHeight="1" x14ac:dyDescent="0.45">
      <c r="A88" s="3"/>
      <c r="B88" s="28"/>
      <c r="C88" s="109"/>
      <c r="D88" s="110"/>
      <c r="E88" s="109">
        <v>1</v>
      </c>
      <c r="F88" s="356">
        <v>5</v>
      </c>
      <c r="G88" s="342">
        <v>1</v>
      </c>
      <c r="H88" s="342">
        <v>5</v>
      </c>
      <c r="I88" s="367">
        <v>1</v>
      </c>
      <c r="J88" s="110">
        <v>5</v>
      </c>
      <c r="K88" s="109">
        <v>1</v>
      </c>
      <c r="L88" s="110">
        <v>5</v>
      </c>
      <c r="M88" s="109">
        <v>1</v>
      </c>
      <c r="N88" s="110">
        <v>5</v>
      </c>
      <c r="O88" s="109">
        <v>1</v>
      </c>
      <c r="P88" s="110">
        <v>5</v>
      </c>
      <c r="Q88" s="109"/>
      <c r="R88" s="110"/>
    </row>
    <row r="89" spans="1:18" s="7" customFormat="1" ht="30" customHeight="1" x14ac:dyDescent="0.45">
      <c r="A89" s="3"/>
      <c r="B89" s="24"/>
      <c r="C89" s="109"/>
      <c r="D89" s="110"/>
      <c r="E89" s="109">
        <v>1</v>
      </c>
      <c r="F89" s="356">
        <v>3</v>
      </c>
      <c r="G89" s="342">
        <v>1</v>
      </c>
      <c r="H89" s="342">
        <v>3</v>
      </c>
      <c r="I89" s="367">
        <v>1</v>
      </c>
      <c r="J89" s="110">
        <v>3</v>
      </c>
      <c r="K89" s="109">
        <v>1</v>
      </c>
      <c r="L89" s="110">
        <v>3</v>
      </c>
      <c r="M89" s="109">
        <v>1</v>
      </c>
      <c r="N89" s="110">
        <v>3</v>
      </c>
      <c r="O89" s="109">
        <v>1</v>
      </c>
      <c r="P89" s="110">
        <v>3</v>
      </c>
      <c r="Q89" s="109"/>
      <c r="R89" s="110"/>
    </row>
    <row r="90" spans="1:18" s="7" customFormat="1" ht="30" customHeight="1" x14ac:dyDescent="0.45">
      <c r="A90" s="3"/>
      <c r="B90" s="35"/>
      <c r="C90" s="109"/>
      <c r="D90" s="110"/>
      <c r="E90" s="109">
        <v>1</v>
      </c>
      <c r="F90" s="357">
        <v>8</v>
      </c>
      <c r="G90" s="342">
        <v>1</v>
      </c>
      <c r="H90" s="342">
        <v>8</v>
      </c>
      <c r="I90" s="368">
        <v>1</v>
      </c>
      <c r="J90" s="337">
        <v>8</v>
      </c>
      <c r="K90" s="109">
        <v>1</v>
      </c>
      <c r="L90" s="110">
        <v>8</v>
      </c>
      <c r="M90" s="109">
        <v>1</v>
      </c>
      <c r="N90" s="110">
        <v>8</v>
      </c>
      <c r="O90" s="109">
        <v>1</v>
      </c>
      <c r="P90" s="110">
        <v>8</v>
      </c>
      <c r="Q90" s="109"/>
      <c r="R90" s="110"/>
    </row>
    <row r="91" spans="1:18" s="7" customFormat="1" ht="30" customHeight="1" x14ac:dyDescent="0.3">
      <c r="A91" s="3"/>
      <c r="B91" s="309" t="s">
        <v>34</v>
      </c>
      <c r="C91" s="108"/>
      <c r="D91" s="108"/>
      <c r="E91" s="108"/>
      <c r="F91" s="361"/>
      <c r="G91" s="108"/>
      <c r="H91" s="108"/>
      <c r="I91" s="372"/>
      <c r="J91" s="108"/>
      <c r="K91" s="108"/>
      <c r="L91" s="108"/>
      <c r="M91" s="108"/>
      <c r="N91" s="108"/>
      <c r="O91" s="108"/>
      <c r="P91" s="108"/>
      <c r="Q91" s="108"/>
      <c r="R91" s="108"/>
    </row>
    <row r="92" spans="1:18" s="7" customFormat="1" ht="30" customHeight="1" x14ac:dyDescent="0.3">
      <c r="A92" s="3" t="s">
        <v>234</v>
      </c>
      <c r="B92" s="310" t="s">
        <v>19</v>
      </c>
      <c r="C92" s="203"/>
      <c r="D92" s="203"/>
      <c r="E92" s="203">
        <v>1</v>
      </c>
      <c r="F92" s="358">
        <v>12</v>
      </c>
      <c r="G92" s="342">
        <v>1</v>
      </c>
      <c r="H92" s="342">
        <v>12</v>
      </c>
      <c r="I92" s="369">
        <v>1</v>
      </c>
      <c r="J92" s="203">
        <v>12</v>
      </c>
      <c r="K92" s="203">
        <v>1</v>
      </c>
      <c r="L92" s="203">
        <v>12</v>
      </c>
      <c r="M92" s="203">
        <v>1</v>
      </c>
      <c r="N92" s="203">
        <v>12</v>
      </c>
      <c r="O92" s="203">
        <v>1</v>
      </c>
      <c r="P92" s="203">
        <v>12</v>
      </c>
      <c r="Q92" s="203"/>
      <c r="R92" s="203"/>
    </row>
    <row r="93" spans="1:18" s="7" customFormat="1" ht="30" customHeight="1" x14ac:dyDescent="0.3">
      <c r="A93" s="3" t="s">
        <v>235</v>
      </c>
      <c r="B93" s="310" t="s">
        <v>66</v>
      </c>
      <c r="C93" s="203"/>
      <c r="D93" s="203"/>
      <c r="E93" s="203">
        <v>1</v>
      </c>
      <c r="F93" s="358">
        <v>2</v>
      </c>
      <c r="G93" s="342">
        <v>1</v>
      </c>
      <c r="H93" s="342">
        <v>2</v>
      </c>
      <c r="I93" s="369">
        <v>1</v>
      </c>
      <c r="J93" s="203">
        <v>2</v>
      </c>
      <c r="K93" s="203">
        <v>1</v>
      </c>
      <c r="L93" s="203">
        <v>2</v>
      </c>
      <c r="M93" s="203">
        <v>1</v>
      </c>
      <c r="N93" s="203">
        <v>1</v>
      </c>
      <c r="O93" s="203">
        <v>1</v>
      </c>
      <c r="P93" s="203">
        <v>1</v>
      </c>
      <c r="Q93" s="203"/>
      <c r="R93" s="203"/>
    </row>
    <row r="94" spans="1:18" s="7" customFormat="1" ht="30" customHeight="1" x14ac:dyDescent="0.3">
      <c r="A94" s="3"/>
      <c r="B94" s="310" t="s">
        <v>67</v>
      </c>
      <c r="C94" s="203"/>
      <c r="D94" s="203"/>
      <c r="E94" s="203">
        <v>0</v>
      </c>
      <c r="F94" s="358">
        <v>3</v>
      </c>
      <c r="G94" s="342">
        <v>0</v>
      </c>
      <c r="H94" s="342">
        <v>3</v>
      </c>
      <c r="I94" s="369">
        <v>0</v>
      </c>
      <c r="J94" s="203">
        <v>3</v>
      </c>
      <c r="K94" s="203">
        <v>0</v>
      </c>
      <c r="L94" s="203">
        <v>3</v>
      </c>
      <c r="M94" s="203">
        <v>0</v>
      </c>
      <c r="N94" s="203">
        <v>3</v>
      </c>
      <c r="O94" s="203">
        <v>0</v>
      </c>
      <c r="P94" s="203">
        <v>3</v>
      </c>
      <c r="Q94" s="203"/>
      <c r="R94" s="203"/>
    </row>
    <row r="95" spans="1:18" s="7" customFormat="1" ht="30" customHeight="1" x14ac:dyDescent="0.3">
      <c r="A95" s="3" t="s">
        <v>236</v>
      </c>
      <c r="B95" s="310" t="s">
        <v>20</v>
      </c>
      <c r="C95" s="203"/>
      <c r="D95" s="203"/>
      <c r="E95" s="203">
        <v>1</v>
      </c>
      <c r="F95" s="358">
        <v>0</v>
      </c>
      <c r="G95" s="342">
        <v>1</v>
      </c>
      <c r="H95" s="342">
        <v>0</v>
      </c>
      <c r="I95" s="369">
        <v>1</v>
      </c>
      <c r="J95" s="203">
        <v>0</v>
      </c>
      <c r="K95" s="203">
        <v>1</v>
      </c>
      <c r="L95" s="203">
        <v>0</v>
      </c>
      <c r="M95" s="203">
        <v>0</v>
      </c>
      <c r="N95" s="203">
        <v>11</v>
      </c>
      <c r="O95" s="203">
        <v>0</v>
      </c>
      <c r="P95" s="203">
        <v>11</v>
      </c>
      <c r="Q95" s="203"/>
      <c r="R95" s="203"/>
    </row>
    <row r="96" spans="1:18" s="7" customFormat="1" ht="30" customHeight="1" x14ac:dyDescent="0.3">
      <c r="A96" s="3" t="s">
        <v>239</v>
      </c>
      <c r="B96" s="311" t="s">
        <v>23</v>
      </c>
      <c r="C96" s="203"/>
      <c r="D96" s="203"/>
      <c r="E96" s="203">
        <v>1</v>
      </c>
      <c r="F96" s="358">
        <v>7</v>
      </c>
      <c r="G96" s="342">
        <v>1</v>
      </c>
      <c r="H96" s="342">
        <v>2</v>
      </c>
      <c r="I96" s="369">
        <v>1</v>
      </c>
      <c r="J96" s="203">
        <v>2</v>
      </c>
      <c r="K96" s="203">
        <v>1</v>
      </c>
      <c r="L96" s="203">
        <v>2</v>
      </c>
      <c r="M96" s="203">
        <v>0</v>
      </c>
      <c r="N96" s="203">
        <v>9</v>
      </c>
      <c r="O96" s="203">
        <v>1</v>
      </c>
      <c r="P96" s="203">
        <v>7</v>
      </c>
      <c r="Q96" s="203"/>
      <c r="R96" s="203"/>
    </row>
    <row r="97" spans="1:18" s="7" customFormat="1" ht="30" customHeight="1" x14ac:dyDescent="0.3">
      <c r="A97" s="3" t="s">
        <v>240</v>
      </c>
      <c r="B97" s="311" t="s">
        <v>24</v>
      </c>
      <c r="C97" s="203"/>
      <c r="D97" s="203"/>
      <c r="E97" s="203">
        <v>2</v>
      </c>
      <c r="F97" s="358">
        <v>11</v>
      </c>
      <c r="G97" s="342">
        <v>2</v>
      </c>
      <c r="H97" s="342">
        <v>11</v>
      </c>
      <c r="I97" s="369">
        <v>2</v>
      </c>
      <c r="J97" s="203">
        <v>11</v>
      </c>
      <c r="K97" s="203">
        <v>2</v>
      </c>
      <c r="L97" s="203">
        <v>3</v>
      </c>
      <c r="M97" s="203">
        <v>1</v>
      </c>
      <c r="N97" s="203">
        <v>9</v>
      </c>
      <c r="O97" s="203">
        <v>1</v>
      </c>
      <c r="P97" s="203">
        <v>9</v>
      </c>
      <c r="Q97" s="203"/>
      <c r="R97" s="203"/>
    </row>
    <row r="98" spans="1:18" s="7" customFormat="1" ht="30" customHeight="1" x14ac:dyDescent="0.3">
      <c r="A98" s="3" t="s">
        <v>344</v>
      </c>
      <c r="B98" s="311" t="s">
        <v>55</v>
      </c>
      <c r="C98" s="203"/>
      <c r="D98" s="203"/>
      <c r="E98" s="203">
        <v>1</v>
      </c>
      <c r="F98" s="358">
        <v>4</v>
      </c>
      <c r="G98" s="342">
        <v>1</v>
      </c>
      <c r="H98" s="342">
        <v>4</v>
      </c>
      <c r="I98" s="369">
        <v>1</v>
      </c>
      <c r="J98" s="203">
        <v>4</v>
      </c>
      <c r="K98" s="203">
        <v>1</v>
      </c>
      <c r="L98" s="203">
        <v>4</v>
      </c>
      <c r="M98" s="203">
        <v>0</v>
      </c>
      <c r="N98" s="203">
        <v>8</v>
      </c>
      <c r="O98" s="203">
        <v>0</v>
      </c>
      <c r="P98" s="203">
        <v>8</v>
      </c>
      <c r="Q98" s="203"/>
      <c r="R98" s="203"/>
    </row>
    <row r="99" spans="1:18" s="7" customFormat="1" ht="30" customHeight="1" x14ac:dyDescent="0.45">
      <c r="A99" s="3"/>
      <c r="B99" s="24"/>
      <c r="C99" s="109"/>
      <c r="D99" s="110"/>
      <c r="E99" s="109">
        <v>1</v>
      </c>
      <c r="F99" s="359">
        <v>3</v>
      </c>
      <c r="G99" s="342">
        <v>1</v>
      </c>
      <c r="H99" s="342">
        <v>3</v>
      </c>
      <c r="I99" s="370">
        <v>1</v>
      </c>
      <c r="J99" s="338">
        <v>3</v>
      </c>
      <c r="K99" s="109">
        <v>1</v>
      </c>
      <c r="L99" s="110">
        <v>3</v>
      </c>
      <c r="M99" s="109">
        <v>1</v>
      </c>
      <c r="N99" s="110">
        <v>2</v>
      </c>
      <c r="O99" s="109">
        <v>1</v>
      </c>
      <c r="P99" s="110">
        <v>2</v>
      </c>
      <c r="Q99" s="109"/>
      <c r="R99" s="110"/>
    </row>
    <row r="100" spans="1:18" s="7" customFormat="1" ht="30" customHeight="1" x14ac:dyDescent="0.45">
      <c r="A100" s="3"/>
      <c r="B100" s="24"/>
      <c r="C100" s="109"/>
      <c r="D100" s="110"/>
      <c r="E100" s="109">
        <v>2</v>
      </c>
      <c r="F100" s="357">
        <v>0</v>
      </c>
      <c r="G100" s="342">
        <v>6</v>
      </c>
      <c r="H100" s="342">
        <v>2</v>
      </c>
      <c r="I100" s="368">
        <v>7</v>
      </c>
      <c r="J100" s="337">
        <v>2</v>
      </c>
      <c r="K100" s="109">
        <v>7</v>
      </c>
      <c r="L100" s="110">
        <v>2</v>
      </c>
      <c r="M100" s="109">
        <v>7</v>
      </c>
      <c r="N100" s="110">
        <v>2</v>
      </c>
      <c r="O100" s="109">
        <v>6</v>
      </c>
      <c r="P100" s="110">
        <v>9</v>
      </c>
      <c r="Q100" s="109"/>
      <c r="R100" s="110"/>
    </row>
    <row r="101" spans="1:18" s="7" customFormat="1" ht="30" customHeight="1" x14ac:dyDescent="0.3">
      <c r="A101" s="3" t="s">
        <v>343</v>
      </c>
      <c r="B101" s="310" t="s">
        <v>56</v>
      </c>
      <c r="C101" s="203"/>
      <c r="D101" s="203"/>
      <c r="E101" s="203">
        <v>1</v>
      </c>
      <c r="F101" s="358">
        <v>2</v>
      </c>
      <c r="G101" s="342">
        <v>1</v>
      </c>
      <c r="H101" s="342">
        <v>2</v>
      </c>
      <c r="I101" s="369">
        <v>1</v>
      </c>
      <c r="J101" s="203">
        <v>2</v>
      </c>
      <c r="K101" s="203">
        <v>1</v>
      </c>
      <c r="L101" s="203">
        <v>2</v>
      </c>
      <c r="M101" s="203">
        <v>1</v>
      </c>
      <c r="N101" s="203">
        <v>2</v>
      </c>
      <c r="O101" s="203">
        <v>1</v>
      </c>
      <c r="P101" s="203">
        <v>0</v>
      </c>
      <c r="Q101" s="203"/>
      <c r="R101" s="203"/>
    </row>
    <row r="102" spans="1:18" s="7" customFormat="1" ht="30" customHeight="1" x14ac:dyDescent="0.3">
      <c r="A102" s="3"/>
      <c r="B102" s="300" t="s">
        <v>35</v>
      </c>
      <c r="C102" s="108"/>
      <c r="D102" s="108"/>
      <c r="E102" s="108"/>
      <c r="F102" s="361"/>
      <c r="G102" s="108"/>
      <c r="H102" s="108"/>
      <c r="I102" s="372"/>
      <c r="J102" s="108"/>
      <c r="K102" s="108"/>
      <c r="L102" s="108"/>
      <c r="M102" s="108"/>
      <c r="N102" s="108"/>
      <c r="O102" s="108"/>
      <c r="P102" s="108"/>
      <c r="Q102" s="108"/>
      <c r="R102" s="108"/>
    </row>
    <row r="103" spans="1:18" s="7" customFormat="1" ht="30" customHeight="1" x14ac:dyDescent="0.3">
      <c r="A103" s="3" t="s">
        <v>290</v>
      </c>
      <c r="B103" s="310" t="s">
        <v>16</v>
      </c>
      <c r="C103" s="203"/>
      <c r="D103" s="203"/>
      <c r="E103" s="203">
        <v>1</v>
      </c>
      <c r="F103" s="358">
        <v>7</v>
      </c>
      <c r="G103" s="342">
        <v>1</v>
      </c>
      <c r="H103" s="342">
        <v>7</v>
      </c>
      <c r="I103" s="369">
        <v>1</v>
      </c>
      <c r="J103" s="203">
        <v>7</v>
      </c>
      <c r="K103" s="203">
        <v>1</v>
      </c>
      <c r="L103" s="203">
        <v>1</v>
      </c>
      <c r="M103" s="203">
        <v>1</v>
      </c>
      <c r="N103" s="203">
        <v>1</v>
      </c>
      <c r="O103" s="203">
        <v>1</v>
      </c>
      <c r="P103" s="203">
        <v>1</v>
      </c>
      <c r="Q103" s="203"/>
      <c r="R103" s="203"/>
    </row>
    <row r="104" spans="1:18" s="7" customFormat="1" ht="30" customHeight="1" x14ac:dyDescent="0.3">
      <c r="A104" s="3"/>
      <c r="B104" s="312" t="s">
        <v>36</v>
      </c>
      <c r="C104" s="108"/>
      <c r="D104" s="108"/>
      <c r="E104" s="108"/>
      <c r="F104" s="361"/>
      <c r="G104" s="108"/>
      <c r="H104" s="108"/>
      <c r="I104" s="372"/>
      <c r="J104" s="108"/>
      <c r="K104" s="108"/>
      <c r="L104" s="108"/>
      <c r="M104" s="108"/>
      <c r="N104" s="108"/>
      <c r="O104" s="108"/>
      <c r="P104" s="108"/>
      <c r="Q104" s="108"/>
      <c r="R104" s="108"/>
    </row>
    <row r="105" spans="1:18" s="7" customFormat="1" ht="30" customHeight="1" x14ac:dyDescent="0.45">
      <c r="A105" s="3"/>
      <c r="B105" s="28"/>
      <c r="C105" s="109"/>
      <c r="D105" s="110"/>
      <c r="E105" s="109">
        <v>0</v>
      </c>
      <c r="F105" s="362">
        <v>0</v>
      </c>
      <c r="G105" s="342">
        <v>0</v>
      </c>
      <c r="H105" s="342">
        <v>0</v>
      </c>
      <c r="I105" s="373">
        <v>0</v>
      </c>
      <c r="J105" s="339">
        <v>0</v>
      </c>
      <c r="K105" s="109">
        <v>0</v>
      </c>
      <c r="L105" s="110">
        <v>0</v>
      </c>
      <c r="M105" s="109">
        <v>0</v>
      </c>
      <c r="N105" s="110">
        <v>0</v>
      </c>
      <c r="O105" s="109">
        <v>0</v>
      </c>
      <c r="P105" s="110">
        <v>0</v>
      </c>
      <c r="Q105" s="109"/>
      <c r="R105" s="110"/>
    </row>
    <row r="106" spans="1:18" s="7" customFormat="1" ht="30" customHeight="1" x14ac:dyDescent="0.3">
      <c r="A106" s="3" t="s">
        <v>224</v>
      </c>
      <c r="B106" s="310" t="s">
        <v>17</v>
      </c>
      <c r="C106" s="203"/>
      <c r="D106" s="203"/>
      <c r="E106" s="203">
        <v>1</v>
      </c>
      <c r="F106" s="358">
        <v>9</v>
      </c>
      <c r="G106" s="342">
        <v>1</v>
      </c>
      <c r="H106" s="342">
        <v>9</v>
      </c>
      <c r="I106" s="369">
        <v>1</v>
      </c>
      <c r="J106" s="203">
        <v>9</v>
      </c>
      <c r="K106" s="203">
        <v>1</v>
      </c>
      <c r="L106" s="203">
        <v>9</v>
      </c>
      <c r="M106" s="203">
        <v>1</v>
      </c>
      <c r="N106" s="203">
        <v>6</v>
      </c>
      <c r="O106" s="203">
        <v>1</v>
      </c>
      <c r="P106" s="203">
        <v>6</v>
      </c>
      <c r="Q106" s="203"/>
      <c r="R106" s="203"/>
    </row>
    <row r="107" spans="1:18" s="8" customFormat="1" ht="30" customHeight="1" x14ac:dyDescent="0.3">
      <c r="A107" s="3" t="s">
        <v>288</v>
      </c>
      <c r="B107" s="310" t="s">
        <v>49</v>
      </c>
      <c r="C107" s="203"/>
      <c r="D107" s="203"/>
      <c r="E107" s="203">
        <v>1</v>
      </c>
      <c r="F107" s="358">
        <v>0</v>
      </c>
      <c r="G107" s="343">
        <v>1</v>
      </c>
      <c r="H107" s="343">
        <v>0</v>
      </c>
      <c r="I107" s="369">
        <v>1</v>
      </c>
      <c r="J107" s="203">
        <v>0</v>
      </c>
      <c r="K107" s="203">
        <v>1</v>
      </c>
      <c r="L107" s="203">
        <v>0</v>
      </c>
      <c r="M107" s="203">
        <v>1</v>
      </c>
      <c r="N107" s="203">
        <v>0</v>
      </c>
      <c r="O107" s="203">
        <v>1</v>
      </c>
      <c r="P107" s="203">
        <v>0</v>
      </c>
      <c r="Q107" s="203"/>
      <c r="R107" s="203"/>
    </row>
    <row r="108" spans="1:18" s="8" customFormat="1" ht="30" customHeight="1" x14ac:dyDescent="0.3">
      <c r="A108" s="3" t="s">
        <v>286</v>
      </c>
      <c r="B108" s="310" t="s">
        <v>50</v>
      </c>
      <c r="C108" s="203"/>
      <c r="D108" s="203"/>
      <c r="E108" s="203">
        <v>0</v>
      </c>
      <c r="F108" s="358">
        <v>4</v>
      </c>
      <c r="G108" s="343">
        <v>0</v>
      </c>
      <c r="H108" s="343">
        <v>4</v>
      </c>
      <c r="I108" s="369">
        <v>0</v>
      </c>
      <c r="J108" s="203">
        <v>0</v>
      </c>
      <c r="K108" s="203">
        <v>0</v>
      </c>
      <c r="L108" s="203">
        <v>0</v>
      </c>
      <c r="M108" s="203">
        <v>0</v>
      </c>
      <c r="N108" s="203">
        <v>0</v>
      </c>
      <c r="O108" s="203">
        <v>0</v>
      </c>
      <c r="P108" s="203">
        <v>9</v>
      </c>
      <c r="Q108" s="203"/>
      <c r="R108" s="203"/>
    </row>
    <row r="109" spans="1:18" s="8" customFormat="1" ht="30" customHeight="1" x14ac:dyDescent="0.3">
      <c r="A109" s="3" t="s">
        <v>287</v>
      </c>
      <c r="B109" s="310" t="s">
        <v>51</v>
      </c>
      <c r="C109" s="203"/>
      <c r="D109" s="203"/>
      <c r="E109" s="203">
        <v>1</v>
      </c>
      <c r="F109" s="358">
        <v>4</v>
      </c>
      <c r="G109" s="343">
        <v>1</v>
      </c>
      <c r="H109" s="343">
        <v>4</v>
      </c>
      <c r="I109" s="369">
        <v>1</v>
      </c>
      <c r="J109" s="203">
        <v>3</v>
      </c>
      <c r="K109" s="203">
        <v>1</v>
      </c>
      <c r="L109" s="203">
        <v>3</v>
      </c>
      <c r="M109" s="203">
        <v>1</v>
      </c>
      <c r="N109" s="203">
        <v>3</v>
      </c>
      <c r="O109" s="203">
        <v>1</v>
      </c>
      <c r="P109" s="203">
        <v>3</v>
      </c>
      <c r="Q109" s="203"/>
      <c r="R109" s="203"/>
    </row>
    <row r="110" spans="1:18" s="7" customFormat="1" ht="30" customHeight="1" x14ac:dyDescent="0.3">
      <c r="A110" s="3"/>
      <c r="B110" s="312" t="s">
        <v>37</v>
      </c>
      <c r="C110" s="108"/>
      <c r="D110" s="108"/>
      <c r="E110" s="108"/>
      <c r="F110" s="361"/>
      <c r="G110" s="108"/>
      <c r="H110" s="108"/>
      <c r="I110" s="372"/>
      <c r="J110" s="108"/>
      <c r="K110" s="108"/>
      <c r="L110" s="108"/>
      <c r="M110" s="108"/>
      <c r="N110" s="108"/>
      <c r="O110" s="108"/>
      <c r="P110" s="108"/>
      <c r="Q110" s="108"/>
      <c r="R110" s="108"/>
    </row>
    <row r="111" spans="1:18" s="7" customFormat="1" ht="30" customHeight="1" x14ac:dyDescent="0.45">
      <c r="A111" s="3"/>
      <c r="B111" s="30"/>
      <c r="C111" s="109"/>
      <c r="D111" s="110"/>
      <c r="E111" s="109">
        <v>5</v>
      </c>
      <c r="F111" s="359">
        <v>12</v>
      </c>
      <c r="G111" s="342">
        <v>5</v>
      </c>
      <c r="H111" s="342">
        <v>4</v>
      </c>
      <c r="I111" s="370">
        <v>4</v>
      </c>
      <c r="J111" s="338">
        <v>7</v>
      </c>
      <c r="K111" s="109">
        <v>5</v>
      </c>
      <c r="L111" s="110">
        <v>8</v>
      </c>
      <c r="M111" s="109">
        <v>3</v>
      </c>
      <c r="N111" s="110">
        <v>8</v>
      </c>
      <c r="O111" s="109">
        <v>6</v>
      </c>
      <c r="P111" s="110">
        <v>12</v>
      </c>
      <c r="Q111" s="109"/>
      <c r="R111" s="110"/>
    </row>
    <row r="112" spans="1:18" s="7" customFormat="1" ht="30" customHeight="1" x14ac:dyDescent="0.45">
      <c r="A112" s="3"/>
      <c r="B112" s="30"/>
      <c r="C112" s="109"/>
      <c r="D112" s="110"/>
      <c r="E112" s="109">
        <v>1</v>
      </c>
      <c r="F112" s="356">
        <v>6</v>
      </c>
      <c r="G112" s="342">
        <v>1</v>
      </c>
      <c r="H112" s="342">
        <v>6</v>
      </c>
      <c r="I112" s="367">
        <v>1</v>
      </c>
      <c r="J112" s="110">
        <v>6</v>
      </c>
      <c r="K112" s="109">
        <v>1</v>
      </c>
      <c r="L112" s="110">
        <v>6</v>
      </c>
      <c r="M112" s="109">
        <v>1</v>
      </c>
      <c r="N112" s="110">
        <v>3</v>
      </c>
      <c r="O112" s="109">
        <v>2</v>
      </c>
      <c r="P112" s="110">
        <v>3</v>
      </c>
      <c r="Q112" s="109"/>
      <c r="R112" s="110"/>
    </row>
    <row r="113" spans="1:18" s="8" customFormat="1" ht="30" customHeight="1" x14ac:dyDescent="0.45">
      <c r="A113" s="3"/>
      <c r="B113" s="39"/>
      <c r="C113" s="116"/>
      <c r="D113" s="117"/>
      <c r="E113" s="116">
        <v>1</v>
      </c>
      <c r="F113" s="364">
        <v>2</v>
      </c>
      <c r="G113" s="343">
        <v>1</v>
      </c>
      <c r="H113" s="343">
        <v>2</v>
      </c>
      <c r="I113" s="376">
        <v>1</v>
      </c>
      <c r="J113" s="117">
        <v>2</v>
      </c>
      <c r="K113" s="116">
        <v>1</v>
      </c>
      <c r="L113" s="117">
        <v>2</v>
      </c>
      <c r="M113" s="116">
        <v>1</v>
      </c>
      <c r="N113" s="117">
        <v>2</v>
      </c>
      <c r="O113" s="116">
        <v>1</v>
      </c>
      <c r="P113" s="117">
        <v>2</v>
      </c>
      <c r="Q113" s="116"/>
      <c r="R113" s="117"/>
    </row>
    <row r="114" spans="1:18" s="8" customFormat="1" ht="30" customHeight="1" x14ac:dyDescent="0.45">
      <c r="A114" s="3"/>
      <c r="B114" s="39"/>
      <c r="C114" s="116"/>
      <c r="D114" s="117"/>
      <c r="E114" s="116">
        <v>6</v>
      </c>
      <c r="F114" s="364">
        <v>5</v>
      </c>
      <c r="G114" s="343">
        <v>8</v>
      </c>
      <c r="H114" s="343">
        <v>5</v>
      </c>
      <c r="I114" s="376">
        <v>2</v>
      </c>
      <c r="J114" s="117">
        <v>5</v>
      </c>
      <c r="K114" s="116">
        <v>2</v>
      </c>
      <c r="L114" s="117">
        <v>5</v>
      </c>
      <c r="M114" s="116">
        <v>2</v>
      </c>
      <c r="N114" s="117">
        <v>5</v>
      </c>
      <c r="O114" s="116">
        <v>2</v>
      </c>
      <c r="P114" s="117">
        <v>5</v>
      </c>
      <c r="Q114" s="116"/>
      <c r="R114" s="117"/>
    </row>
    <row r="115" spans="1:18" s="8" customFormat="1" ht="30" customHeight="1" x14ac:dyDescent="0.45">
      <c r="A115" s="3"/>
      <c r="B115" s="39"/>
      <c r="C115" s="116"/>
      <c r="D115" s="117"/>
      <c r="E115" s="116">
        <v>1</v>
      </c>
      <c r="F115" s="364">
        <v>0</v>
      </c>
      <c r="G115" s="343">
        <v>1</v>
      </c>
      <c r="H115" s="343">
        <v>0</v>
      </c>
      <c r="I115" s="376">
        <v>1</v>
      </c>
      <c r="J115" s="117">
        <v>0</v>
      </c>
      <c r="K115" s="116">
        <v>1</v>
      </c>
      <c r="L115" s="117">
        <v>0</v>
      </c>
      <c r="M115" s="116">
        <v>1</v>
      </c>
      <c r="N115" s="117">
        <v>0</v>
      </c>
      <c r="O115" s="116">
        <v>1</v>
      </c>
      <c r="P115" s="117">
        <v>0</v>
      </c>
      <c r="Q115" s="116"/>
      <c r="R115" s="117"/>
    </row>
    <row r="116" spans="1:18" s="7" customFormat="1" ht="30" customHeight="1" x14ac:dyDescent="0.45">
      <c r="A116" s="3"/>
      <c r="B116" s="31"/>
      <c r="C116" s="109"/>
      <c r="D116" s="110"/>
      <c r="E116" s="109">
        <v>6</v>
      </c>
      <c r="F116" s="357">
        <v>2</v>
      </c>
      <c r="G116" s="342">
        <v>6</v>
      </c>
      <c r="H116" s="342">
        <v>2</v>
      </c>
      <c r="I116" s="368">
        <v>6</v>
      </c>
      <c r="J116" s="337">
        <v>2</v>
      </c>
      <c r="K116" s="109">
        <v>3</v>
      </c>
      <c r="L116" s="110">
        <v>7</v>
      </c>
      <c r="M116" s="109">
        <v>5</v>
      </c>
      <c r="N116" s="110">
        <v>3</v>
      </c>
      <c r="O116" s="109">
        <v>5</v>
      </c>
      <c r="P116" s="110">
        <v>9</v>
      </c>
      <c r="Q116" s="109"/>
      <c r="R116" s="110"/>
    </row>
    <row r="117" spans="1:18" s="7" customFormat="1" ht="30" customHeight="1" x14ac:dyDescent="0.3">
      <c r="A117" s="3" t="s">
        <v>251</v>
      </c>
      <c r="B117" s="313" t="s">
        <v>25</v>
      </c>
      <c r="C117" s="203"/>
      <c r="D117" s="203"/>
      <c r="E117" s="203">
        <v>1</v>
      </c>
      <c r="F117" s="358">
        <v>6</v>
      </c>
      <c r="G117" s="342">
        <v>1</v>
      </c>
      <c r="H117" s="342">
        <v>6</v>
      </c>
      <c r="I117" s="369">
        <v>1</v>
      </c>
      <c r="J117" s="203">
        <v>2</v>
      </c>
      <c r="K117" s="203">
        <v>1</v>
      </c>
      <c r="L117" s="203">
        <v>2</v>
      </c>
      <c r="M117" s="203">
        <v>1</v>
      </c>
      <c r="N117" s="203">
        <v>2</v>
      </c>
      <c r="O117" s="203">
        <v>1</v>
      </c>
      <c r="P117" s="203">
        <v>1</v>
      </c>
      <c r="Q117" s="203"/>
      <c r="R117" s="203"/>
    </row>
    <row r="118" spans="1:18" s="7" customFormat="1" ht="30" customHeight="1" x14ac:dyDescent="0.3">
      <c r="A118" s="3"/>
      <c r="B118" s="312" t="s">
        <v>38</v>
      </c>
      <c r="C118" s="108"/>
      <c r="D118" s="108"/>
      <c r="E118" s="108"/>
      <c r="F118" s="361"/>
      <c r="G118" s="108"/>
      <c r="H118" s="108"/>
      <c r="I118" s="372"/>
      <c r="J118" s="108"/>
      <c r="K118" s="108"/>
      <c r="L118" s="108"/>
      <c r="M118" s="108"/>
      <c r="N118" s="108"/>
      <c r="O118" s="108"/>
      <c r="P118" s="108"/>
      <c r="Q118" s="108"/>
      <c r="R118" s="108"/>
    </row>
    <row r="119" spans="1:18" s="7" customFormat="1" ht="30" customHeight="1" x14ac:dyDescent="0.45">
      <c r="A119" s="3"/>
      <c r="B119" s="32"/>
      <c r="C119" s="109"/>
      <c r="D119" s="110"/>
      <c r="E119" s="109">
        <v>1</v>
      </c>
      <c r="F119" s="359">
        <v>1</v>
      </c>
      <c r="G119" s="342">
        <v>1</v>
      </c>
      <c r="H119" s="342">
        <v>1</v>
      </c>
      <c r="I119" s="370">
        <v>1</v>
      </c>
      <c r="J119" s="338">
        <v>1</v>
      </c>
      <c r="K119" s="109">
        <v>1</v>
      </c>
      <c r="L119" s="110">
        <v>1</v>
      </c>
      <c r="M119" s="109">
        <v>1</v>
      </c>
      <c r="N119" s="110">
        <v>1</v>
      </c>
      <c r="O119" s="109">
        <v>1</v>
      </c>
      <c r="P119" s="110">
        <v>1</v>
      </c>
      <c r="Q119" s="109"/>
      <c r="R119" s="110"/>
    </row>
    <row r="120" spans="1:18" s="7" customFormat="1" ht="30" customHeight="1" x14ac:dyDescent="0.45">
      <c r="A120" s="3"/>
      <c r="B120" s="32"/>
      <c r="C120" s="109"/>
      <c r="D120" s="110"/>
      <c r="E120" s="109">
        <v>0</v>
      </c>
      <c r="F120" s="357">
        <v>8</v>
      </c>
      <c r="G120" s="342">
        <v>0</v>
      </c>
      <c r="H120" s="342">
        <v>8</v>
      </c>
      <c r="I120" s="368">
        <v>0</v>
      </c>
      <c r="J120" s="337">
        <v>8</v>
      </c>
      <c r="K120" s="109">
        <v>0</v>
      </c>
      <c r="L120" s="110">
        <v>8</v>
      </c>
      <c r="M120" s="109">
        <v>0</v>
      </c>
      <c r="N120" s="110">
        <v>8</v>
      </c>
      <c r="O120" s="109">
        <v>0</v>
      </c>
      <c r="P120" s="110">
        <v>8</v>
      </c>
      <c r="Q120" s="109"/>
      <c r="R120" s="110"/>
    </row>
    <row r="121" spans="1:18" s="7" customFormat="1" ht="30" customHeight="1" x14ac:dyDescent="0.3">
      <c r="A121" s="3" t="s">
        <v>256</v>
      </c>
      <c r="B121" s="314" t="s">
        <v>52</v>
      </c>
      <c r="C121" s="203"/>
      <c r="D121" s="203"/>
      <c r="E121" s="203">
        <v>1</v>
      </c>
      <c r="F121" s="358">
        <v>0</v>
      </c>
      <c r="G121" s="342">
        <v>1</v>
      </c>
      <c r="H121" s="342">
        <v>0</v>
      </c>
      <c r="I121" s="369">
        <v>1</v>
      </c>
      <c r="J121" s="203">
        <v>0</v>
      </c>
      <c r="K121" s="203">
        <v>1</v>
      </c>
      <c r="L121" s="203">
        <v>0</v>
      </c>
      <c r="M121" s="203">
        <v>1</v>
      </c>
      <c r="N121" s="203">
        <v>0</v>
      </c>
      <c r="O121" s="203">
        <v>1</v>
      </c>
      <c r="P121" s="203">
        <v>0</v>
      </c>
      <c r="Q121" s="203"/>
      <c r="R121" s="203"/>
    </row>
    <row r="122" spans="1:18" s="7" customFormat="1" ht="30" customHeight="1" x14ac:dyDescent="0.3">
      <c r="A122" s="3"/>
      <c r="B122" s="312" t="s">
        <v>40</v>
      </c>
      <c r="C122" s="108"/>
      <c r="D122" s="108"/>
      <c r="E122" s="108"/>
      <c r="F122" s="361"/>
      <c r="G122" s="108"/>
      <c r="H122" s="108"/>
      <c r="I122" s="372"/>
      <c r="J122" s="108"/>
      <c r="K122" s="108"/>
      <c r="L122" s="108"/>
      <c r="M122" s="108"/>
      <c r="N122" s="108"/>
      <c r="O122" s="108"/>
      <c r="P122" s="108"/>
      <c r="Q122" s="108"/>
      <c r="R122" s="108"/>
    </row>
    <row r="123" spans="1:18" s="7" customFormat="1" ht="30" customHeight="1" x14ac:dyDescent="0.3">
      <c r="A123" s="3" t="s">
        <v>179</v>
      </c>
      <c r="B123" s="313" t="s">
        <v>14</v>
      </c>
      <c r="C123" s="203"/>
      <c r="D123" s="203"/>
      <c r="E123" s="203">
        <v>2</v>
      </c>
      <c r="F123" s="358">
        <v>7</v>
      </c>
      <c r="G123" s="342">
        <v>2</v>
      </c>
      <c r="H123" s="342">
        <v>7</v>
      </c>
      <c r="I123" s="369">
        <v>2</v>
      </c>
      <c r="J123" s="203">
        <v>6</v>
      </c>
      <c r="K123" s="203">
        <v>2</v>
      </c>
      <c r="L123" s="203">
        <v>6</v>
      </c>
      <c r="M123" s="203">
        <v>2</v>
      </c>
      <c r="N123" s="203">
        <v>0</v>
      </c>
      <c r="O123" s="203">
        <v>4</v>
      </c>
      <c r="P123" s="203">
        <v>0</v>
      </c>
      <c r="Q123" s="203"/>
      <c r="R123" s="203"/>
    </row>
    <row r="124" spans="1:18" s="7" customFormat="1" ht="30" customHeight="1" x14ac:dyDescent="0.45">
      <c r="A124" s="3"/>
      <c r="B124" s="30"/>
      <c r="C124" s="109"/>
      <c r="D124" s="110"/>
      <c r="E124" s="109">
        <v>1</v>
      </c>
      <c r="F124" s="359">
        <v>8</v>
      </c>
      <c r="G124" s="342">
        <v>1</v>
      </c>
      <c r="H124" s="342">
        <v>8</v>
      </c>
      <c r="I124" s="370">
        <v>1</v>
      </c>
      <c r="J124" s="338">
        <v>8</v>
      </c>
      <c r="K124" s="109">
        <v>1</v>
      </c>
      <c r="L124" s="110">
        <v>7</v>
      </c>
      <c r="M124" s="109">
        <v>1</v>
      </c>
      <c r="N124" s="110">
        <v>7</v>
      </c>
      <c r="O124" s="109">
        <v>1</v>
      </c>
      <c r="P124" s="110">
        <v>6</v>
      </c>
      <c r="Q124" s="109"/>
      <c r="R124" s="110"/>
    </row>
    <row r="125" spans="1:18" s="7" customFormat="1" ht="30" customHeight="1" x14ac:dyDescent="0.45">
      <c r="A125" s="3"/>
      <c r="B125" s="40"/>
      <c r="C125" s="109"/>
      <c r="D125" s="110"/>
      <c r="E125" s="109">
        <v>1</v>
      </c>
      <c r="F125" s="356">
        <v>0</v>
      </c>
      <c r="G125" s="342">
        <v>1</v>
      </c>
      <c r="H125" s="342">
        <v>0</v>
      </c>
      <c r="I125" s="367">
        <v>0</v>
      </c>
      <c r="J125" s="110">
        <v>7</v>
      </c>
      <c r="K125" s="109">
        <v>0</v>
      </c>
      <c r="L125" s="110">
        <v>7</v>
      </c>
      <c r="M125" s="109">
        <v>0</v>
      </c>
      <c r="N125" s="110">
        <v>7</v>
      </c>
      <c r="O125" s="109">
        <v>0</v>
      </c>
      <c r="P125" s="110">
        <v>6</v>
      </c>
      <c r="Q125" s="109"/>
      <c r="R125" s="110"/>
    </row>
    <row r="126" spans="1:18" s="7" customFormat="1" ht="30" customHeight="1" x14ac:dyDescent="0.45">
      <c r="A126" s="3"/>
      <c r="B126" s="32"/>
      <c r="C126" s="109"/>
      <c r="D126" s="110"/>
      <c r="E126" s="109">
        <v>1</v>
      </c>
      <c r="F126" s="356">
        <v>0</v>
      </c>
      <c r="G126" s="342">
        <v>1</v>
      </c>
      <c r="H126" s="342">
        <v>0</v>
      </c>
      <c r="I126" s="367">
        <v>1</v>
      </c>
      <c r="J126" s="110">
        <v>0</v>
      </c>
      <c r="K126" s="109">
        <v>1</v>
      </c>
      <c r="L126" s="110">
        <v>0</v>
      </c>
      <c r="M126" s="109">
        <v>1</v>
      </c>
      <c r="N126" s="110">
        <v>0</v>
      </c>
      <c r="O126" s="109">
        <v>1</v>
      </c>
      <c r="P126" s="110">
        <v>0</v>
      </c>
      <c r="Q126" s="109"/>
      <c r="R126" s="110"/>
    </row>
    <row r="127" spans="1:18" s="7" customFormat="1" ht="30" customHeight="1" x14ac:dyDescent="0.45">
      <c r="A127" s="3"/>
      <c r="B127" s="32"/>
      <c r="C127" s="109"/>
      <c r="D127" s="110"/>
      <c r="E127" s="109">
        <v>1</v>
      </c>
      <c r="F127" s="357">
        <v>1</v>
      </c>
      <c r="G127" s="342">
        <v>1</v>
      </c>
      <c r="H127" s="342">
        <v>1</v>
      </c>
      <c r="I127" s="368">
        <v>1</v>
      </c>
      <c r="J127" s="337">
        <v>1</v>
      </c>
      <c r="K127" s="109">
        <v>1</v>
      </c>
      <c r="L127" s="110">
        <v>1</v>
      </c>
      <c r="M127" s="109">
        <v>1</v>
      </c>
      <c r="N127" s="110">
        <v>1</v>
      </c>
      <c r="O127" s="109">
        <v>1</v>
      </c>
      <c r="P127" s="110">
        <v>1</v>
      </c>
      <c r="Q127" s="109"/>
      <c r="R127" s="110"/>
    </row>
    <row r="128" spans="1:18" s="7" customFormat="1" ht="30" customHeight="1" x14ac:dyDescent="0.3">
      <c r="A128" s="3" t="s">
        <v>237</v>
      </c>
      <c r="B128" s="299" t="s">
        <v>15</v>
      </c>
      <c r="C128" s="203"/>
      <c r="D128" s="203"/>
      <c r="E128" s="203">
        <v>2</v>
      </c>
      <c r="F128" s="358">
        <v>5</v>
      </c>
      <c r="G128" s="342">
        <v>2</v>
      </c>
      <c r="H128" s="342">
        <v>4</v>
      </c>
      <c r="I128" s="369">
        <v>2</v>
      </c>
      <c r="J128" s="203">
        <v>2</v>
      </c>
      <c r="K128" s="203">
        <v>2</v>
      </c>
      <c r="L128" s="203">
        <v>1</v>
      </c>
      <c r="M128" s="203">
        <v>1</v>
      </c>
      <c r="N128" s="203">
        <v>12</v>
      </c>
      <c r="O128" s="203">
        <v>1</v>
      </c>
      <c r="P128" s="203">
        <v>10</v>
      </c>
      <c r="Q128" s="203"/>
      <c r="R128" s="203"/>
    </row>
    <row r="129" spans="1:18" s="7" customFormat="1" ht="30" customHeight="1" x14ac:dyDescent="0.3">
      <c r="A129" s="3" t="s">
        <v>267</v>
      </c>
      <c r="B129" s="313" t="s">
        <v>26</v>
      </c>
      <c r="C129" s="203"/>
      <c r="D129" s="203"/>
      <c r="E129" s="203">
        <v>4</v>
      </c>
      <c r="F129" s="358">
        <v>5</v>
      </c>
      <c r="G129" s="342">
        <v>4</v>
      </c>
      <c r="H129" s="342">
        <v>3</v>
      </c>
      <c r="I129" s="369">
        <v>3</v>
      </c>
      <c r="J129" s="203">
        <v>8</v>
      </c>
      <c r="K129" s="203">
        <v>3</v>
      </c>
      <c r="L129" s="203">
        <v>7</v>
      </c>
      <c r="M129" s="203">
        <v>2</v>
      </c>
      <c r="N129" s="203">
        <v>4</v>
      </c>
      <c r="O129" s="203">
        <v>4</v>
      </c>
      <c r="P129" s="203">
        <v>8</v>
      </c>
      <c r="Q129" s="203"/>
      <c r="R129" s="203"/>
    </row>
    <row r="130" spans="1:18" s="7" customFormat="1" ht="30" customHeight="1" x14ac:dyDescent="0.3">
      <c r="A130" s="3" t="s">
        <v>563</v>
      </c>
      <c r="B130" s="313" t="s">
        <v>58</v>
      </c>
      <c r="C130" s="203"/>
      <c r="D130" s="203"/>
      <c r="E130" s="203">
        <v>1</v>
      </c>
      <c r="F130" s="358">
        <v>5</v>
      </c>
      <c r="G130" s="342">
        <v>1</v>
      </c>
      <c r="H130" s="342">
        <v>5</v>
      </c>
      <c r="I130" s="369">
        <v>1</v>
      </c>
      <c r="J130" s="203">
        <v>5</v>
      </c>
      <c r="K130" s="203">
        <v>1</v>
      </c>
      <c r="L130" s="203">
        <v>4</v>
      </c>
      <c r="M130" s="203">
        <v>1</v>
      </c>
      <c r="N130" s="203">
        <v>2</v>
      </c>
      <c r="O130" s="203">
        <v>1</v>
      </c>
      <c r="P130" s="203">
        <v>0</v>
      </c>
      <c r="Q130" s="203"/>
      <c r="R130" s="203"/>
    </row>
    <row r="131" spans="1:18" s="7" customFormat="1" ht="30" customHeight="1" x14ac:dyDescent="0.3">
      <c r="A131" s="3"/>
      <c r="B131" s="41"/>
      <c r="C131" s="118"/>
      <c r="D131" s="118"/>
      <c r="E131" s="118"/>
      <c r="F131" s="365"/>
      <c r="G131" s="118"/>
      <c r="H131" s="118"/>
      <c r="I131" s="377"/>
      <c r="J131" s="341"/>
      <c r="K131" s="118"/>
      <c r="L131" s="118"/>
      <c r="M131" s="118"/>
      <c r="N131" s="118"/>
      <c r="O131" s="118"/>
      <c r="P131" s="118"/>
      <c r="Q131" s="118"/>
      <c r="R131" s="118"/>
    </row>
    <row r="132" spans="1:18" s="7" customFormat="1" ht="30" customHeight="1" x14ac:dyDescent="0.45">
      <c r="A132" s="3"/>
      <c r="B132" s="42"/>
      <c r="C132" s="109"/>
      <c r="D132" s="110"/>
      <c r="E132" s="109">
        <v>0</v>
      </c>
      <c r="F132" s="356"/>
      <c r="G132" s="109">
        <v>0</v>
      </c>
      <c r="H132" s="110"/>
      <c r="I132" s="367">
        <v>0</v>
      </c>
      <c r="J132" s="110"/>
      <c r="K132" s="109">
        <v>0</v>
      </c>
      <c r="L132" s="110"/>
      <c r="M132" s="109">
        <v>0</v>
      </c>
      <c r="N132" s="110"/>
      <c r="O132" s="109">
        <v>0</v>
      </c>
      <c r="P132" s="110"/>
      <c r="Q132" s="109"/>
      <c r="R132" s="110"/>
    </row>
    <row r="133" spans="1:18" s="7" customFormat="1" ht="30" customHeight="1" x14ac:dyDescent="0.4">
      <c r="A133" s="3"/>
      <c r="B133" s="34"/>
      <c r="C133" s="109"/>
      <c r="D133" s="110"/>
      <c r="E133" s="109">
        <v>1</v>
      </c>
      <c r="F133" s="356"/>
      <c r="G133" s="109">
        <v>1</v>
      </c>
      <c r="H133" s="110"/>
      <c r="I133" s="367">
        <v>1</v>
      </c>
      <c r="J133" s="110"/>
      <c r="K133" s="109">
        <v>1</v>
      </c>
      <c r="L133" s="110"/>
      <c r="M133" s="109">
        <v>1</v>
      </c>
      <c r="N133" s="110"/>
      <c r="O133" s="109">
        <v>1</v>
      </c>
      <c r="P133" s="110"/>
      <c r="Q133" s="109"/>
      <c r="R133" s="110"/>
    </row>
    <row r="134" spans="1:18" s="7" customFormat="1" ht="30" customHeight="1" x14ac:dyDescent="0.45">
      <c r="A134" s="3"/>
      <c r="B134" s="42"/>
      <c r="C134" s="109"/>
      <c r="D134" s="110"/>
      <c r="E134" s="109">
        <v>1</v>
      </c>
      <c r="F134" s="356"/>
      <c r="G134" s="109">
        <v>1</v>
      </c>
      <c r="H134" s="110"/>
      <c r="I134" s="367">
        <v>1</v>
      </c>
      <c r="J134" s="110"/>
      <c r="K134" s="109">
        <v>1</v>
      </c>
      <c r="L134" s="110"/>
      <c r="M134" s="109">
        <v>1</v>
      </c>
      <c r="N134" s="110"/>
      <c r="O134" s="109">
        <v>1</v>
      </c>
      <c r="P134" s="110"/>
      <c r="Q134" s="109"/>
      <c r="R134" s="110"/>
    </row>
    <row r="135" spans="1:18" s="7" customFormat="1" ht="30" customHeight="1" x14ac:dyDescent="0.45">
      <c r="A135" s="3"/>
      <c r="B135" s="43"/>
      <c r="C135" s="109"/>
      <c r="D135" s="110"/>
      <c r="E135" s="109">
        <v>50</v>
      </c>
      <c r="F135" s="356"/>
      <c r="G135" s="109">
        <v>50</v>
      </c>
      <c r="H135" s="110"/>
      <c r="I135" s="367">
        <v>50</v>
      </c>
      <c r="J135" s="110"/>
      <c r="K135" s="109">
        <v>50</v>
      </c>
      <c r="L135" s="110"/>
      <c r="M135" s="109">
        <v>50</v>
      </c>
      <c r="N135" s="110"/>
      <c r="O135" s="109">
        <v>50</v>
      </c>
      <c r="P135" s="110"/>
      <c r="Q135" s="109"/>
      <c r="R135" s="110"/>
    </row>
    <row r="136" spans="1:18" s="7" customFormat="1" ht="30" customHeight="1" x14ac:dyDescent="0.4">
      <c r="A136" s="3"/>
      <c r="B136" s="34"/>
      <c r="C136" s="109"/>
      <c r="D136" s="110"/>
      <c r="E136" s="109">
        <v>0</v>
      </c>
      <c r="F136" s="356"/>
      <c r="G136" s="109">
        <v>0</v>
      </c>
      <c r="H136" s="110"/>
      <c r="I136" s="367">
        <v>0</v>
      </c>
      <c r="J136" s="110"/>
      <c r="K136" s="109">
        <v>0</v>
      </c>
      <c r="L136" s="110"/>
      <c r="M136" s="109">
        <v>0</v>
      </c>
      <c r="N136" s="110"/>
      <c r="O136" s="109">
        <v>0</v>
      </c>
      <c r="P136" s="110"/>
      <c r="Q136" s="109"/>
      <c r="R136" s="110"/>
    </row>
    <row r="137" spans="1:18" s="7" customFormat="1" ht="30" customHeight="1" x14ac:dyDescent="0.45">
      <c r="A137" s="3"/>
      <c r="B137" s="42"/>
      <c r="C137" s="109"/>
      <c r="D137" s="110"/>
      <c r="E137" s="109">
        <v>0</v>
      </c>
      <c r="F137" s="356"/>
      <c r="G137" s="109">
        <v>0</v>
      </c>
      <c r="H137" s="110"/>
      <c r="I137" s="367">
        <v>0</v>
      </c>
      <c r="J137" s="110"/>
      <c r="K137" s="109">
        <v>1</v>
      </c>
      <c r="L137" s="110"/>
      <c r="M137" s="109">
        <v>2</v>
      </c>
      <c r="N137" s="110"/>
      <c r="O137" s="109">
        <v>0</v>
      </c>
      <c r="P137" s="110"/>
      <c r="Q137" s="109"/>
      <c r="R137" s="110"/>
    </row>
    <row r="138" spans="1:18" s="7" customFormat="1" ht="30" customHeight="1" x14ac:dyDescent="0.4">
      <c r="A138" s="3"/>
      <c r="B138" s="34"/>
      <c r="C138" s="109"/>
      <c r="D138" s="110"/>
      <c r="E138" s="109">
        <v>22</v>
      </c>
      <c r="F138" s="356"/>
      <c r="G138" s="109">
        <v>22</v>
      </c>
      <c r="H138" s="110"/>
      <c r="I138" s="367">
        <v>0</v>
      </c>
      <c r="J138" s="110"/>
      <c r="K138" s="109">
        <v>0</v>
      </c>
      <c r="L138" s="110"/>
      <c r="M138" s="109">
        <v>0</v>
      </c>
      <c r="N138" s="110"/>
      <c r="O138" s="109">
        <v>22</v>
      </c>
      <c r="P138" s="110"/>
      <c r="Q138" s="109"/>
      <c r="R138" s="110"/>
    </row>
    <row r="139" spans="1:18" s="7" customFormat="1" ht="30" customHeight="1" x14ac:dyDescent="0.4">
      <c r="A139" s="3"/>
      <c r="B139" s="34"/>
      <c r="C139" s="114"/>
      <c r="D139" s="110"/>
      <c r="E139" s="114">
        <v>5</v>
      </c>
      <c r="F139" s="356"/>
      <c r="G139" s="114">
        <v>5</v>
      </c>
      <c r="H139" s="110"/>
      <c r="I139" s="374">
        <v>5</v>
      </c>
      <c r="J139" s="110"/>
      <c r="K139" s="114">
        <v>3</v>
      </c>
      <c r="L139" s="110"/>
      <c r="M139" s="114">
        <v>4</v>
      </c>
      <c r="N139" s="110"/>
      <c r="O139" s="114">
        <v>5</v>
      </c>
      <c r="P139" s="110"/>
      <c r="Q139" s="114"/>
      <c r="R139" s="110"/>
    </row>
    <row r="140" spans="1:18" s="7" customFormat="1" ht="30" customHeight="1" x14ac:dyDescent="0.45">
      <c r="A140" s="3"/>
      <c r="B140" s="43"/>
      <c r="C140" s="109"/>
      <c r="D140" s="110"/>
      <c r="E140" s="109">
        <v>1</v>
      </c>
      <c r="F140" s="356"/>
      <c r="G140" s="109">
        <v>1</v>
      </c>
      <c r="H140" s="110"/>
      <c r="I140" s="367">
        <v>1</v>
      </c>
      <c r="J140" s="110"/>
      <c r="K140" s="109">
        <v>1</v>
      </c>
      <c r="L140" s="110"/>
      <c r="M140" s="109">
        <v>1</v>
      </c>
      <c r="N140" s="110"/>
      <c r="O140" s="109">
        <v>1</v>
      </c>
      <c r="P140" s="110"/>
      <c r="Q140" s="109"/>
      <c r="R140" s="110"/>
    </row>
    <row r="141" spans="1:18" s="7" customFormat="1" ht="30" customHeight="1" x14ac:dyDescent="0.45">
      <c r="A141" s="3"/>
      <c r="B141" s="42"/>
      <c r="C141" s="109"/>
      <c r="D141" s="110"/>
      <c r="E141" s="109">
        <v>1</v>
      </c>
      <c r="F141" s="356"/>
      <c r="G141" s="109">
        <v>1</v>
      </c>
      <c r="H141" s="110"/>
      <c r="I141" s="367">
        <v>1</v>
      </c>
      <c r="J141" s="110"/>
      <c r="K141" s="109">
        <v>1</v>
      </c>
      <c r="L141" s="110"/>
      <c r="M141" s="109">
        <v>1</v>
      </c>
      <c r="N141" s="110"/>
      <c r="O141" s="109">
        <v>1</v>
      </c>
      <c r="P141" s="110"/>
      <c r="Q141" s="109"/>
      <c r="R141" s="110"/>
    </row>
    <row r="142" spans="1:18" s="7" customFormat="1" ht="30" customHeight="1" x14ac:dyDescent="0.45">
      <c r="A142" s="3"/>
      <c r="B142" s="42"/>
      <c r="C142" s="109"/>
      <c r="D142" s="110"/>
      <c r="E142" s="109">
        <v>1</v>
      </c>
      <c r="F142" s="356"/>
      <c r="G142" s="109">
        <v>1</v>
      </c>
      <c r="H142" s="110"/>
      <c r="I142" s="367">
        <v>1</v>
      </c>
      <c r="J142" s="110"/>
      <c r="K142" s="109">
        <v>1</v>
      </c>
      <c r="L142" s="110"/>
      <c r="M142" s="109">
        <v>1</v>
      </c>
      <c r="N142" s="110"/>
      <c r="O142" s="109">
        <v>1</v>
      </c>
      <c r="P142" s="110"/>
      <c r="Q142" s="109"/>
      <c r="R142" s="110"/>
    </row>
    <row r="143" spans="1:18" s="7" customFormat="1" ht="30" customHeight="1" x14ac:dyDescent="0.3">
      <c r="A143" s="3"/>
      <c r="B143" s="21"/>
      <c r="C143" s="120"/>
      <c r="D143" s="120"/>
      <c r="E143" s="120"/>
      <c r="F143" s="120"/>
      <c r="G143" s="108"/>
      <c r="H143" s="108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</row>
    <row r="144" spans="1:18" s="7" customFormat="1" ht="30" customHeight="1" x14ac:dyDescent="0.4">
      <c r="A144" s="3"/>
      <c r="B144" s="34"/>
      <c r="C144" s="109"/>
      <c r="D144" s="110"/>
      <c r="E144" s="109">
        <v>1</v>
      </c>
      <c r="F144" s="356"/>
      <c r="G144" s="109">
        <v>1</v>
      </c>
      <c r="H144" s="110"/>
      <c r="I144" s="367">
        <v>1</v>
      </c>
      <c r="J144" s="110"/>
      <c r="K144" s="109">
        <v>1</v>
      </c>
      <c r="L144" s="110"/>
      <c r="M144" s="109">
        <v>1</v>
      </c>
      <c r="N144" s="110"/>
      <c r="O144" s="109">
        <v>1</v>
      </c>
      <c r="P144" s="110"/>
      <c r="Q144" s="109"/>
      <c r="R144" s="110"/>
    </row>
    <row r="145" spans="1:18" s="7" customFormat="1" ht="30" customHeight="1" x14ac:dyDescent="0.4">
      <c r="A145" s="3"/>
      <c r="B145" s="34"/>
      <c r="C145" s="109"/>
      <c r="D145" s="110"/>
      <c r="E145" s="109">
        <v>1</v>
      </c>
      <c r="F145" s="356"/>
      <c r="G145" s="109">
        <v>1</v>
      </c>
      <c r="H145" s="110"/>
      <c r="I145" s="367">
        <v>1</v>
      </c>
      <c r="J145" s="110"/>
      <c r="K145" s="109">
        <v>1</v>
      </c>
      <c r="L145" s="110"/>
      <c r="M145" s="109">
        <v>1</v>
      </c>
      <c r="N145" s="110"/>
      <c r="O145" s="109">
        <v>1</v>
      </c>
      <c r="P145" s="110"/>
      <c r="Q145" s="109"/>
      <c r="R145" s="110"/>
    </row>
    <row r="146" spans="1:18" s="7" customFormat="1" ht="30" customHeight="1" x14ac:dyDescent="0.4">
      <c r="A146" s="3"/>
      <c r="B146" s="34"/>
      <c r="C146" s="109"/>
      <c r="D146" s="110"/>
      <c r="E146" s="109">
        <v>1</v>
      </c>
      <c r="F146" s="356"/>
      <c r="G146" s="109">
        <v>1</v>
      </c>
      <c r="H146" s="110"/>
      <c r="I146" s="367">
        <v>1</v>
      </c>
      <c r="J146" s="110"/>
      <c r="K146" s="109">
        <v>1</v>
      </c>
      <c r="L146" s="110"/>
      <c r="M146" s="109">
        <v>1</v>
      </c>
      <c r="N146" s="110"/>
      <c r="O146" s="109">
        <v>1</v>
      </c>
      <c r="P146" s="110"/>
      <c r="Q146" s="109"/>
      <c r="R146" s="110"/>
    </row>
    <row r="147" spans="1:18" s="7" customFormat="1" ht="30" customHeight="1" x14ac:dyDescent="0.4">
      <c r="A147" s="3"/>
      <c r="B147" s="34"/>
      <c r="C147" s="109"/>
      <c r="D147" s="110"/>
      <c r="E147" s="109">
        <v>1</v>
      </c>
      <c r="F147" s="356"/>
      <c r="G147" s="109">
        <v>1</v>
      </c>
      <c r="H147" s="110"/>
      <c r="I147" s="367">
        <v>1</v>
      </c>
      <c r="J147" s="110"/>
      <c r="K147" s="109">
        <v>1</v>
      </c>
      <c r="L147" s="110"/>
      <c r="M147" s="109">
        <v>1</v>
      </c>
      <c r="N147" s="110"/>
      <c r="O147" s="109">
        <v>1</v>
      </c>
      <c r="P147" s="110"/>
      <c r="Q147" s="109"/>
      <c r="R147" s="110"/>
    </row>
    <row r="148" spans="1:18" s="7" customFormat="1" ht="30" customHeight="1" x14ac:dyDescent="0.4">
      <c r="A148" s="3"/>
      <c r="B148" s="34"/>
      <c r="C148" s="109"/>
      <c r="D148" s="110"/>
      <c r="E148" s="109">
        <v>0</v>
      </c>
      <c r="F148" s="356"/>
      <c r="G148" s="109">
        <v>0</v>
      </c>
      <c r="H148" s="110"/>
      <c r="I148" s="367">
        <v>0</v>
      </c>
      <c r="J148" s="110"/>
      <c r="K148" s="109">
        <v>0</v>
      </c>
      <c r="L148" s="110"/>
      <c r="M148" s="109">
        <v>0</v>
      </c>
      <c r="N148" s="110"/>
      <c r="O148" s="109">
        <v>1</v>
      </c>
      <c r="P148" s="110"/>
      <c r="Q148" s="109"/>
      <c r="R148" s="110"/>
    </row>
    <row r="149" spans="1:18" s="7" customFormat="1" ht="30" customHeight="1" x14ac:dyDescent="0.4">
      <c r="A149" s="3"/>
      <c r="B149" s="34"/>
      <c r="C149" s="109"/>
      <c r="D149" s="110"/>
      <c r="E149" s="109">
        <v>0</v>
      </c>
      <c r="F149" s="356"/>
      <c r="G149" s="109">
        <v>0</v>
      </c>
      <c r="H149" s="110"/>
      <c r="I149" s="367">
        <v>0</v>
      </c>
      <c r="J149" s="110"/>
      <c r="K149" s="109">
        <v>0</v>
      </c>
      <c r="L149" s="110"/>
      <c r="M149" s="109">
        <v>0</v>
      </c>
      <c r="N149" s="110"/>
      <c r="O149" s="109">
        <v>0</v>
      </c>
      <c r="P149" s="110"/>
      <c r="Q149" s="109"/>
      <c r="R149" s="110"/>
    </row>
    <row r="150" spans="1:18" s="7" customFormat="1" ht="30" customHeight="1" x14ac:dyDescent="0.4">
      <c r="A150" s="3"/>
      <c r="B150" s="34"/>
      <c r="C150" s="109"/>
      <c r="D150" s="110"/>
      <c r="E150" s="109">
        <v>0</v>
      </c>
      <c r="F150" s="356"/>
      <c r="G150" s="109">
        <v>0</v>
      </c>
      <c r="H150" s="110"/>
      <c r="I150" s="367">
        <v>0</v>
      </c>
      <c r="J150" s="110"/>
      <c r="K150" s="109">
        <v>0</v>
      </c>
      <c r="L150" s="110"/>
      <c r="M150" s="109">
        <v>1</v>
      </c>
      <c r="N150" s="110"/>
      <c r="O150" s="109">
        <v>1</v>
      </c>
      <c r="P150" s="110"/>
      <c r="Q150" s="109"/>
      <c r="R150" s="110"/>
    </row>
    <row r="151" spans="1:18" s="7" customFormat="1" ht="30" customHeight="1" x14ac:dyDescent="0.4">
      <c r="A151" s="3"/>
      <c r="B151" s="34"/>
      <c r="C151" s="109"/>
      <c r="D151" s="110"/>
      <c r="E151" s="109">
        <v>1</v>
      </c>
      <c r="F151" s="356"/>
      <c r="G151" s="109">
        <v>1</v>
      </c>
      <c r="H151" s="110"/>
      <c r="I151" s="367">
        <v>1</v>
      </c>
      <c r="J151" s="110"/>
      <c r="K151" s="109">
        <v>1</v>
      </c>
      <c r="L151" s="110"/>
      <c r="M151" s="109">
        <v>1</v>
      </c>
      <c r="N151" s="110"/>
      <c r="O151" s="109">
        <v>1</v>
      </c>
      <c r="P151" s="110"/>
      <c r="Q151" s="109"/>
      <c r="R151" s="110"/>
    </row>
    <row r="152" spans="1:18" s="7" customFormat="1" ht="30" customHeight="1" x14ac:dyDescent="0.4">
      <c r="A152" s="3"/>
      <c r="B152" s="34"/>
      <c r="C152" s="109"/>
      <c r="D152" s="110"/>
      <c r="E152" s="109">
        <v>1</v>
      </c>
      <c r="F152" s="356"/>
      <c r="G152" s="109">
        <v>1</v>
      </c>
      <c r="H152" s="110"/>
      <c r="I152" s="367">
        <v>1</v>
      </c>
      <c r="J152" s="110"/>
      <c r="K152" s="109">
        <v>1</v>
      </c>
      <c r="L152" s="110"/>
      <c r="M152" s="109">
        <v>1</v>
      </c>
      <c r="N152" s="110"/>
      <c r="O152" s="109">
        <v>1</v>
      </c>
      <c r="P152" s="110"/>
      <c r="Q152" s="109"/>
      <c r="R152" s="110"/>
    </row>
    <row r="153" spans="1:18" s="7" customFormat="1" ht="30" customHeight="1" x14ac:dyDescent="0.4">
      <c r="A153" s="3"/>
      <c r="B153" s="34"/>
      <c r="C153" s="109"/>
      <c r="D153" s="110"/>
      <c r="E153" s="109">
        <v>1</v>
      </c>
      <c r="F153" s="356"/>
      <c r="G153" s="109">
        <v>1</v>
      </c>
      <c r="H153" s="110"/>
      <c r="I153" s="367">
        <v>1</v>
      </c>
      <c r="J153" s="110"/>
      <c r="K153" s="109">
        <v>1</v>
      </c>
      <c r="L153" s="110"/>
      <c r="M153" s="109">
        <v>1</v>
      </c>
      <c r="N153" s="110"/>
      <c r="O153" s="109">
        <v>1</v>
      </c>
      <c r="P153" s="110"/>
      <c r="Q153" s="109"/>
      <c r="R153" s="110"/>
    </row>
    <row r="154" spans="1:18" s="7" customFormat="1" ht="30" customHeight="1" x14ac:dyDescent="0.4">
      <c r="A154" s="3"/>
      <c r="B154" s="34"/>
      <c r="C154" s="109"/>
      <c r="D154" s="110"/>
      <c r="E154" s="109">
        <v>1</v>
      </c>
      <c r="F154" s="356"/>
      <c r="G154" s="109">
        <v>1</v>
      </c>
      <c r="H154" s="110"/>
      <c r="I154" s="367">
        <v>1</v>
      </c>
      <c r="J154" s="110"/>
      <c r="K154" s="109">
        <v>1</v>
      </c>
      <c r="L154" s="110"/>
      <c r="M154" s="109">
        <v>1</v>
      </c>
      <c r="N154" s="110"/>
      <c r="O154" s="109">
        <v>1</v>
      </c>
      <c r="P154" s="110"/>
      <c r="Q154" s="109"/>
      <c r="R154" s="110"/>
    </row>
    <row r="155" spans="1:18" s="7" customFormat="1" ht="30" customHeight="1" x14ac:dyDescent="0.4">
      <c r="A155" s="3"/>
      <c r="B155" s="34"/>
      <c r="C155" s="114"/>
      <c r="D155" s="110"/>
      <c r="E155" s="114">
        <v>1</v>
      </c>
      <c r="F155" s="356"/>
      <c r="G155" s="114">
        <v>0</v>
      </c>
      <c r="H155" s="110"/>
      <c r="I155" s="374">
        <v>1</v>
      </c>
      <c r="J155" s="110"/>
      <c r="K155" s="114">
        <v>1</v>
      </c>
      <c r="L155" s="110"/>
      <c r="M155" s="114">
        <v>1</v>
      </c>
      <c r="N155" s="110"/>
      <c r="O155" s="114">
        <v>1</v>
      </c>
      <c r="P155" s="110"/>
      <c r="Q155" s="114"/>
      <c r="R155" s="110"/>
    </row>
    <row r="156" spans="1:18" s="7" customFormat="1" ht="30" customHeight="1" x14ac:dyDescent="0.4">
      <c r="A156" s="3"/>
      <c r="B156" s="34"/>
      <c r="C156" s="109"/>
      <c r="D156" s="110"/>
      <c r="E156" s="109">
        <v>0</v>
      </c>
      <c r="F156" s="356"/>
      <c r="G156" s="109">
        <v>0</v>
      </c>
      <c r="H156" s="110"/>
      <c r="I156" s="367">
        <v>0</v>
      </c>
      <c r="J156" s="110"/>
      <c r="K156" s="109">
        <v>0</v>
      </c>
      <c r="L156" s="110"/>
      <c r="M156" s="109">
        <v>0</v>
      </c>
      <c r="N156" s="110"/>
      <c r="O156" s="109">
        <v>2</v>
      </c>
      <c r="P156" s="110"/>
      <c r="Q156" s="109"/>
      <c r="R156" s="110"/>
    </row>
    <row r="157" spans="1:18" s="7" customFormat="1" ht="30" customHeight="1" x14ac:dyDescent="0.4">
      <c r="A157" s="3"/>
      <c r="B157" s="34"/>
      <c r="C157" s="109"/>
      <c r="D157" s="110"/>
      <c r="E157" s="109">
        <v>0</v>
      </c>
      <c r="F157" s="356"/>
      <c r="G157" s="109">
        <v>0</v>
      </c>
      <c r="H157" s="110"/>
      <c r="I157" s="367">
        <v>0</v>
      </c>
      <c r="J157" s="110"/>
      <c r="K157" s="109">
        <v>0</v>
      </c>
      <c r="L157" s="110"/>
      <c r="M157" s="109">
        <v>0</v>
      </c>
      <c r="N157" s="110"/>
      <c r="O157" s="109">
        <v>0</v>
      </c>
      <c r="P157" s="110"/>
      <c r="Q157" s="109"/>
      <c r="R157" s="110"/>
    </row>
    <row r="158" spans="1:18" s="7" customFormat="1" ht="30" customHeight="1" x14ac:dyDescent="0.3">
      <c r="A158" s="3"/>
      <c r="B158" s="44"/>
      <c r="C158" s="121"/>
      <c r="D158" s="121"/>
      <c r="E158" s="121"/>
      <c r="F158" s="366"/>
      <c r="G158" s="121"/>
      <c r="H158" s="121"/>
      <c r="I158" s="378"/>
      <c r="J158" s="121"/>
      <c r="K158" s="121"/>
      <c r="L158" s="121"/>
      <c r="M158" s="121"/>
      <c r="N158" s="121"/>
      <c r="O158" s="121"/>
      <c r="P158" s="121"/>
      <c r="Q158" s="121"/>
      <c r="R158" s="121"/>
    </row>
    <row r="159" spans="1:18" s="7" customFormat="1" ht="30" customHeight="1" x14ac:dyDescent="0.4">
      <c r="A159" s="3"/>
      <c r="B159" s="34"/>
      <c r="C159" s="109"/>
      <c r="D159" s="110"/>
      <c r="E159" s="109">
        <v>3</v>
      </c>
      <c r="F159" s="356"/>
      <c r="G159" s="109">
        <v>3</v>
      </c>
      <c r="H159" s="110"/>
      <c r="I159" s="367">
        <v>2</v>
      </c>
      <c r="J159" s="110"/>
      <c r="K159" s="109">
        <v>2</v>
      </c>
      <c r="L159" s="110"/>
      <c r="M159" s="109">
        <v>2</v>
      </c>
      <c r="N159" s="110"/>
      <c r="O159" s="109">
        <v>0</v>
      </c>
      <c r="P159" s="110"/>
      <c r="Q159" s="109"/>
      <c r="R159" s="110"/>
    </row>
    <row r="160" spans="1:18" s="7" customFormat="1" ht="30" customHeight="1" x14ac:dyDescent="0.4">
      <c r="A160" s="3"/>
      <c r="B160" s="34"/>
      <c r="C160" s="109"/>
      <c r="D160" s="110"/>
      <c r="E160" s="109">
        <v>1</v>
      </c>
      <c r="F160" s="356"/>
      <c r="G160" s="109">
        <v>1</v>
      </c>
      <c r="H160" s="110"/>
      <c r="I160" s="367">
        <v>1</v>
      </c>
      <c r="J160" s="110"/>
      <c r="K160" s="109">
        <v>0</v>
      </c>
      <c r="L160" s="110"/>
      <c r="M160" s="109">
        <v>0</v>
      </c>
      <c r="N160" s="110"/>
      <c r="O160" s="109">
        <v>0</v>
      </c>
      <c r="P160" s="110"/>
      <c r="Q160" s="109"/>
      <c r="R160" s="110"/>
    </row>
    <row r="161" spans="1:18" s="7" customFormat="1" ht="30" customHeight="1" x14ac:dyDescent="0.4">
      <c r="A161" s="3"/>
      <c r="B161" s="34"/>
      <c r="C161" s="109"/>
      <c r="D161" s="110"/>
      <c r="E161" s="109">
        <v>15</v>
      </c>
      <c r="F161" s="356"/>
      <c r="G161" s="109">
        <v>15</v>
      </c>
      <c r="H161" s="110"/>
      <c r="I161" s="367">
        <v>15</v>
      </c>
      <c r="J161" s="110"/>
      <c r="K161" s="109">
        <v>15</v>
      </c>
      <c r="L161" s="110"/>
      <c r="M161" s="109">
        <v>15</v>
      </c>
      <c r="N161" s="110"/>
      <c r="O161" s="109">
        <v>15</v>
      </c>
      <c r="P161" s="110"/>
      <c r="Q161" s="109"/>
      <c r="R161" s="110"/>
    </row>
    <row r="162" spans="1:18" s="7" customFormat="1" ht="30" customHeight="1" x14ac:dyDescent="0.4">
      <c r="A162" s="3"/>
      <c r="B162" s="34"/>
      <c r="C162" s="109"/>
      <c r="D162" s="110"/>
      <c r="E162" s="109">
        <v>1</v>
      </c>
      <c r="F162" s="356"/>
      <c r="G162" s="109">
        <v>1</v>
      </c>
      <c r="H162" s="110"/>
      <c r="I162" s="367">
        <v>1</v>
      </c>
      <c r="J162" s="110"/>
      <c r="K162" s="109">
        <v>1</v>
      </c>
      <c r="L162" s="110"/>
      <c r="M162" s="109">
        <v>1</v>
      </c>
      <c r="N162" s="110"/>
      <c r="O162" s="109">
        <v>1</v>
      </c>
      <c r="P162" s="110"/>
      <c r="Q162" s="109"/>
      <c r="R162" s="110"/>
    </row>
    <row r="163" spans="1:18" s="7" customFormat="1" ht="30" customHeight="1" x14ac:dyDescent="0.4">
      <c r="A163" s="66"/>
      <c r="B163" s="34"/>
      <c r="C163" s="114"/>
      <c r="D163" s="110"/>
      <c r="E163" s="114">
        <v>3</v>
      </c>
      <c r="F163" s="356"/>
      <c r="G163" s="114">
        <v>3</v>
      </c>
      <c r="H163" s="110"/>
      <c r="I163" s="374">
        <v>1</v>
      </c>
      <c r="J163" s="110"/>
      <c r="K163" s="114">
        <v>1</v>
      </c>
      <c r="L163" s="110"/>
      <c r="M163" s="114">
        <v>4</v>
      </c>
      <c r="N163" s="110"/>
      <c r="O163" s="114">
        <v>3</v>
      </c>
      <c r="P163" s="110"/>
      <c r="Q163" s="114"/>
      <c r="R163" s="110"/>
    </row>
    <row r="164" spans="1:18" s="7" customFormat="1" ht="30" customHeight="1" x14ac:dyDescent="0.4">
      <c r="A164" s="66"/>
      <c r="B164" s="34"/>
      <c r="C164" s="109"/>
      <c r="D164" s="110"/>
      <c r="E164" s="109">
        <v>1</v>
      </c>
      <c r="F164" s="356"/>
      <c r="G164" s="109">
        <v>1</v>
      </c>
      <c r="H164" s="110"/>
      <c r="I164" s="367">
        <v>0</v>
      </c>
      <c r="J164" s="110"/>
      <c r="K164" s="109">
        <v>0</v>
      </c>
      <c r="L164" s="110"/>
      <c r="M164" s="109">
        <v>1</v>
      </c>
      <c r="N164" s="110"/>
      <c r="O164" s="109">
        <v>0</v>
      </c>
      <c r="P164" s="110"/>
      <c r="Q164" s="109"/>
      <c r="R164" s="110"/>
    </row>
    <row r="165" spans="1:18" s="7" customFormat="1" ht="30" customHeight="1" x14ac:dyDescent="0.45">
      <c r="A165"/>
      <c r="B165" s="45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196"/>
      <c r="P165" s="196"/>
      <c r="Q165" s="196"/>
      <c r="R165" s="196"/>
    </row>
    <row r="166" spans="1:18" s="7" customFormat="1" ht="21.95" customHeight="1" x14ac:dyDescent="0.45">
      <c r="A166"/>
      <c r="B166" s="45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</row>
    <row r="167" spans="1:18" s="7" customFormat="1" ht="21.95" customHeight="1" x14ac:dyDescent="0.45">
      <c r="A167"/>
      <c r="B167" s="46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</row>
    <row r="169" spans="1:18" ht="45" customHeight="1" x14ac:dyDescent="0.5">
      <c r="B169" s="48" t="s">
        <v>68</v>
      </c>
    </row>
    <row r="170" spans="1:18" ht="31.5" x14ac:dyDescent="0.5">
      <c r="B170" s="48"/>
    </row>
    <row r="171" spans="1:18" ht="31.5" x14ac:dyDescent="0.5">
      <c r="B171" s="48"/>
    </row>
    <row r="172" spans="1:18" ht="31.5" x14ac:dyDescent="0.5">
      <c r="B172" s="48"/>
    </row>
    <row r="173" spans="1:18" s="128" customFormat="1" ht="31.5" x14ac:dyDescent="0.5">
      <c r="A173"/>
      <c r="B173" s="48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</row>
    <row r="174" spans="1:18" s="128" customFormat="1" ht="31.5" x14ac:dyDescent="0.5">
      <c r="A174"/>
      <c r="B174" s="48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</row>
    <row r="175" spans="1:18" s="128" customFormat="1" ht="31.5" x14ac:dyDescent="0.5">
      <c r="A175"/>
      <c r="B175" s="48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</row>
  </sheetData>
  <autoFilter ref="B1:R164" xr:uid="{00000000-0009-0000-0000-000004000000}"/>
  <pageMargins left="0.25" right="0.25" top="0.75" bottom="0.75" header="0.3" footer="0.3"/>
  <pageSetup paperSize="129" scale="36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 filterMode="1">
    <pageSetUpPr fitToPage="1"/>
  </sheetPr>
  <dimension ref="A1:J284"/>
  <sheetViews>
    <sheetView zoomScale="70" zoomScaleNormal="70" zoomScaleSheetLayoutView="110" workbookViewId="0">
      <selection activeCell="D140" sqref="D140"/>
    </sheetView>
  </sheetViews>
  <sheetFormatPr baseColWidth="10" defaultColWidth="50" defaultRowHeight="15.75" x14ac:dyDescent="0.25"/>
  <cols>
    <col min="1" max="1" width="2.28515625" style="3" customWidth="1"/>
    <col min="2" max="2" width="34.5703125" bestFit="1" customWidth="1"/>
    <col min="3" max="3" width="13.85546875" style="4" bestFit="1" customWidth="1"/>
    <col min="4" max="4" width="15.7109375" bestFit="1" customWidth="1"/>
    <col min="5" max="5" width="18.5703125" bestFit="1" customWidth="1"/>
    <col min="6" max="6" width="14.5703125" style="3" bestFit="1" customWidth="1"/>
    <col min="7" max="7" width="20.5703125" style="72" bestFit="1" customWidth="1"/>
    <col min="8" max="8" width="15.85546875" style="4" bestFit="1" customWidth="1"/>
    <col min="9" max="9" width="17.7109375" style="3" bestFit="1" customWidth="1"/>
    <col min="10" max="10" width="13.140625" customWidth="1"/>
    <col min="11" max="11" width="15.42578125" customWidth="1"/>
    <col min="12" max="12" width="12.5703125" bestFit="1" customWidth="1"/>
    <col min="13" max="13" width="15.85546875" bestFit="1" customWidth="1"/>
    <col min="14" max="14" width="12.5703125" bestFit="1" customWidth="1"/>
    <col min="15" max="15" width="19.140625" bestFit="1" customWidth="1"/>
    <col min="16" max="16" width="12.5703125" bestFit="1" customWidth="1"/>
  </cols>
  <sheetData>
    <row r="1" spans="1:10" x14ac:dyDescent="0.25">
      <c r="A1" s="3">
        <v>1</v>
      </c>
      <c r="B1">
        <v>2</v>
      </c>
      <c r="C1" s="4">
        <v>3</v>
      </c>
      <c r="D1">
        <v>4</v>
      </c>
      <c r="E1">
        <v>5</v>
      </c>
      <c r="F1" s="3">
        <v>6</v>
      </c>
      <c r="G1" s="72">
        <v>7</v>
      </c>
      <c r="H1" s="4">
        <v>8</v>
      </c>
      <c r="I1" s="3">
        <v>9</v>
      </c>
      <c r="J1">
        <v>10</v>
      </c>
    </row>
    <row r="2" spans="1:10" ht="18.75" customHeight="1" x14ac:dyDescent="0.25">
      <c r="B2" s="391" t="s">
        <v>1</v>
      </c>
      <c r="C2" s="161" t="s">
        <v>577</v>
      </c>
      <c r="D2" s="161" t="s">
        <v>578</v>
      </c>
      <c r="E2" s="161" t="s">
        <v>579</v>
      </c>
      <c r="F2" s="161" t="s">
        <v>580</v>
      </c>
      <c r="G2" s="161" t="s">
        <v>581</v>
      </c>
      <c r="H2" s="161" t="s">
        <v>582</v>
      </c>
      <c r="I2" s="161" t="s">
        <v>583</v>
      </c>
      <c r="J2" s="161" t="s">
        <v>577</v>
      </c>
    </row>
    <row r="3" spans="1:10" ht="17.25" hidden="1" customHeight="1" x14ac:dyDescent="0.25">
      <c r="B3" s="391"/>
      <c r="C3" s="161" t="s">
        <v>3</v>
      </c>
      <c r="D3" s="161" t="s">
        <v>3</v>
      </c>
      <c r="E3" s="78" t="s">
        <v>304</v>
      </c>
      <c r="F3" s="77"/>
      <c r="G3" s="161"/>
      <c r="H3" s="75" t="s">
        <v>3</v>
      </c>
      <c r="I3" s="161"/>
    </row>
    <row r="4" spans="1:10" x14ac:dyDescent="0.25">
      <c r="B4" s="55" t="s">
        <v>29</v>
      </c>
      <c r="C4" s="55"/>
      <c r="D4" s="55"/>
      <c r="E4" s="55"/>
      <c r="F4" s="55"/>
      <c r="G4" s="55"/>
      <c r="H4" s="55"/>
      <c r="I4" s="55"/>
      <c r="J4" s="55"/>
    </row>
    <row r="5" spans="1:10" x14ac:dyDescent="0.25">
      <c r="A5" s="3" t="s">
        <v>72</v>
      </c>
      <c r="B5" s="56" t="s">
        <v>53</v>
      </c>
      <c r="C5" s="9"/>
      <c r="D5" s="9">
        <v>20</v>
      </c>
      <c r="E5" s="9">
        <v>0</v>
      </c>
      <c r="F5" s="9">
        <v>4</v>
      </c>
      <c r="G5" s="9">
        <v>6</v>
      </c>
      <c r="H5" s="9">
        <v>10</v>
      </c>
      <c r="I5" s="9"/>
      <c r="J5" s="9"/>
    </row>
    <row r="6" spans="1:10" x14ac:dyDescent="0.25">
      <c r="A6" s="66" t="s">
        <v>73</v>
      </c>
      <c r="B6" s="57" t="s">
        <v>4</v>
      </c>
      <c r="C6" s="11"/>
      <c r="D6" s="11">
        <v>0</v>
      </c>
      <c r="E6" s="11">
        <v>5</v>
      </c>
      <c r="F6" s="11">
        <v>8</v>
      </c>
      <c r="G6" s="11">
        <v>0</v>
      </c>
      <c r="H6" s="11">
        <v>12</v>
      </c>
      <c r="I6" s="11"/>
      <c r="J6" s="11"/>
    </row>
    <row r="7" spans="1:10" x14ac:dyDescent="0.25">
      <c r="A7" s="66" t="s">
        <v>74</v>
      </c>
      <c r="B7" s="57" t="s">
        <v>5</v>
      </c>
      <c r="C7" s="11"/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/>
      <c r="J7" s="11"/>
    </row>
    <row r="8" spans="1:10" x14ac:dyDescent="0.25">
      <c r="B8" s="12" t="s">
        <v>30</v>
      </c>
      <c r="C8" s="12"/>
      <c r="D8" s="12"/>
      <c r="E8" s="12"/>
      <c r="F8" s="12"/>
      <c r="G8" s="12"/>
      <c r="H8" s="12"/>
      <c r="I8" s="12"/>
      <c r="J8" s="12"/>
    </row>
    <row r="9" spans="1:10" x14ac:dyDescent="0.25">
      <c r="A9" s="3" t="s">
        <v>75</v>
      </c>
      <c r="B9" s="58" t="s">
        <v>8</v>
      </c>
      <c r="C9" s="11"/>
      <c r="D9" s="11">
        <v>21</v>
      </c>
      <c r="E9" s="11">
        <v>10</v>
      </c>
      <c r="F9" s="11">
        <v>8</v>
      </c>
      <c r="G9" s="11">
        <v>18</v>
      </c>
      <c r="H9" s="11">
        <v>15</v>
      </c>
      <c r="I9" s="11"/>
      <c r="J9" s="11"/>
    </row>
    <row r="10" spans="1:10" x14ac:dyDescent="0.25">
      <c r="A10" s="3" t="s">
        <v>76</v>
      </c>
      <c r="B10" s="58" t="s">
        <v>44</v>
      </c>
      <c r="C10" s="11"/>
      <c r="D10" s="11">
        <v>0</v>
      </c>
      <c r="E10" s="11">
        <v>4</v>
      </c>
      <c r="F10" s="11">
        <v>3</v>
      </c>
      <c r="G10" s="11">
        <v>3</v>
      </c>
      <c r="H10" s="11">
        <v>1</v>
      </c>
      <c r="I10" s="11"/>
      <c r="J10" s="11"/>
    </row>
    <row r="11" spans="1:10" x14ac:dyDescent="0.25">
      <c r="A11" s="66" t="s">
        <v>77</v>
      </c>
      <c r="B11" s="57" t="s">
        <v>7</v>
      </c>
      <c r="C11" s="11"/>
      <c r="D11" s="11">
        <v>4</v>
      </c>
      <c r="E11" s="11">
        <v>0</v>
      </c>
      <c r="F11" s="11">
        <v>20</v>
      </c>
      <c r="G11" s="11">
        <v>6</v>
      </c>
      <c r="H11" s="11">
        <v>10</v>
      </c>
      <c r="I11" s="11"/>
      <c r="J11" s="11"/>
    </row>
    <row r="12" spans="1:10" ht="15.75" hidden="1" customHeight="1" x14ac:dyDescent="0.25">
      <c r="A12" s="67"/>
      <c r="B12" s="57"/>
      <c r="C12" s="11">
        <v>8</v>
      </c>
      <c r="D12" s="11"/>
      <c r="E12" s="79"/>
      <c r="F12" s="80"/>
      <c r="G12" s="11"/>
      <c r="H12" s="76">
        <v>8</v>
      </c>
      <c r="I12" s="11"/>
    </row>
    <row r="13" spans="1:10" s="5" customFormat="1" x14ac:dyDescent="0.25">
      <c r="A13" s="68" t="s">
        <v>79</v>
      </c>
      <c r="B13" s="59" t="s">
        <v>10</v>
      </c>
      <c r="C13" s="10"/>
      <c r="D13" s="10">
        <v>0</v>
      </c>
      <c r="E13" s="10">
        <v>0</v>
      </c>
      <c r="F13" s="10">
        <v>0</v>
      </c>
      <c r="G13" s="10">
        <v>5</v>
      </c>
      <c r="H13" s="10">
        <v>5</v>
      </c>
      <c r="I13" s="10"/>
      <c r="J13" s="10"/>
    </row>
    <row r="14" spans="1:10" s="5" customFormat="1" ht="15.75" hidden="1" customHeight="1" x14ac:dyDescent="0.25">
      <c r="A14" s="66"/>
      <c r="B14" s="59"/>
      <c r="C14" s="10">
        <v>9</v>
      </c>
      <c r="D14" s="10"/>
      <c r="E14" s="79"/>
      <c r="F14" s="80"/>
      <c r="G14" s="10"/>
      <c r="H14" s="76">
        <v>9</v>
      </c>
      <c r="I14" s="11"/>
    </row>
    <row r="15" spans="1:10" s="5" customFormat="1" x14ac:dyDescent="0.25">
      <c r="A15" s="66" t="s">
        <v>81</v>
      </c>
      <c r="B15" s="60" t="s">
        <v>6</v>
      </c>
      <c r="C15" s="10"/>
      <c r="D15" s="10">
        <v>0</v>
      </c>
      <c r="E15" s="10">
        <v>0</v>
      </c>
      <c r="F15" s="10">
        <v>0</v>
      </c>
      <c r="G15" s="10">
        <v>3</v>
      </c>
      <c r="H15" s="10">
        <v>10</v>
      </c>
      <c r="I15" s="10"/>
      <c r="J15" s="10"/>
    </row>
    <row r="16" spans="1:10" s="5" customFormat="1" x14ac:dyDescent="0.25">
      <c r="A16" s="66" t="s">
        <v>82</v>
      </c>
      <c r="B16" s="59" t="s">
        <v>54</v>
      </c>
      <c r="C16" s="10"/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/>
      <c r="J16" s="10"/>
    </row>
    <row r="17" spans="1:10" s="5" customFormat="1" ht="15.75" hidden="1" customHeight="1" x14ac:dyDescent="0.25">
      <c r="A17" s="67"/>
      <c r="B17" s="59"/>
      <c r="C17" s="10">
        <v>1</v>
      </c>
      <c r="D17" s="10"/>
      <c r="E17" s="79"/>
      <c r="F17" s="80"/>
      <c r="G17" s="10"/>
      <c r="H17" s="76">
        <v>1</v>
      </c>
      <c r="I17" s="11"/>
    </row>
    <row r="18" spans="1:10" x14ac:dyDescent="0.25">
      <c r="A18" s="68"/>
      <c r="B18" s="14" t="s">
        <v>42</v>
      </c>
      <c r="C18" s="14"/>
      <c r="D18" s="14"/>
      <c r="E18" s="14"/>
      <c r="F18" s="14"/>
      <c r="G18" s="14"/>
      <c r="H18" s="14"/>
      <c r="I18" s="14"/>
      <c r="J18" s="14"/>
    </row>
    <row r="19" spans="1:10" x14ac:dyDescent="0.25">
      <c r="A19" s="66" t="s">
        <v>83</v>
      </c>
      <c r="B19" s="58" t="s">
        <v>13</v>
      </c>
      <c r="C19" s="11"/>
      <c r="D19" s="11">
        <v>0</v>
      </c>
      <c r="E19" s="11">
        <v>8</v>
      </c>
      <c r="F19" s="11">
        <v>4</v>
      </c>
      <c r="G19" s="11">
        <v>0</v>
      </c>
      <c r="H19" s="11">
        <v>0</v>
      </c>
      <c r="I19" s="11"/>
      <c r="J19" s="11"/>
    </row>
    <row r="20" spans="1:10" x14ac:dyDescent="0.25">
      <c r="A20" s="3" t="s">
        <v>84</v>
      </c>
      <c r="B20" s="57" t="s">
        <v>12</v>
      </c>
      <c r="C20" s="11"/>
      <c r="D20" s="11">
        <v>0</v>
      </c>
      <c r="E20" s="11">
        <v>0</v>
      </c>
      <c r="F20" s="11">
        <v>0</v>
      </c>
      <c r="G20" s="11">
        <v>0</v>
      </c>
      <c r="H20" s="11">
        <v>0</v>
      </c>
      <c r="I20" s="11"/>
      <c r="J20" s="11"/>
    </row>
    <row r="21" spans="1:10" x14ac:dyDescent="0.25">
      <c r="A21" s="3" t="s">
        <v>85</v>
      </c>
      <c r="B21" s="58" t="s">
        <v>11</v>
      </c>
      <c r="C21" s="11"/>
      <c r="D21" s="11">
        <v>5</v>
      </c>
      <c r="E21" s="11">
        <v>0</v>
      </c>
      <c r="F21" s="11">
        <v>10</v>
      </c>
      <c r="G21" s="11">
        <v>0</v>
      </c>
      <c r="H21" s="11">
        <v>10</v>
      </c>
      <c r="I21" s="11"/>
      <c r="J21" s="11"/>
    </row>
    <row r="22" spans="1:10" x14ac:dyDescent="0.25">
      <c r="A22" s="3" t="s">
        <v>86</v>
      </c>
      <c r="B22" s="58" t="s">
        <v>43</v>
      </c>
      <c r="C22" s="11"/>
      <c r="D22" s="11">
        <v>3</v>
      </c>
      <c r="E22" s="11">
        <v>0</v>
      </c>
      <c r="F22" s="11">
        <v>4</v>
      </c>
      <c r="G22" s="11">
        <v>3</v>
      </c>
      <c r="H22" s="11">
        <v>3</v>
      </c>
      <c r="I22" s="11"/>
      <c r="J22" s="11"/>
    </row>
    <row r="23" spans="1:10" s="1" customFormat="1" x14ac:dyDescent="0.25">
      <c r="A23" s="69"/>
      <c r="B23" s="14" t="s">
        <v>31</v>
      </c>
      <c r="C23" s="14"/>
      <c r="D23" s="14"/>
      <c r="E23" s="14"/>
      <c r="F23" s="14"/>
      <c r="G23" s="14"/>
      <c r="H23" s="14"/>
      <c r="I23" s="14"/>
      <c r="J23" s="14"/>
    </row>
    <row r="24" spans="1:10" ht="15.75" hidden="1" customHeight="1" x14ac:dyDescent="0.25">
      <c r="B24" s="2"/>
      <c r="C24" s="11" t="s">
        <v>575</v>
      </c>
      <c r="D24" s="11"/>
      <c r="E24" s="79"/>
      <c r="F24" s="80"/>
      <c r="G24" s="11"/>
      <c r="H24" s="76" t="s">
        <v>575</v>
      </c>
      <c r="I24" s="11"/>
    </row>
    <row r="25" spans="1:10" x14ac:dyDescent="0.25">
      <c r="A25" s="3" t="s">
        <v>88</v>
      </c>
      <c r="B25" s="58" t="s">
        <v>59</v>
      </c>
      <c r="C25" s="11"/>
      <c r="D25" s="11">
        <v>0</v>
      </c>
      <c r="E25" s="11">
        <v>0</v>
      </c>
      <c r="F25" s="11">
        <v>0</v>
      </c>
      <c r="G25" s="11">
        <v>8</v>
      </c>
      <c r="H25" s="11">
        <v>5</v>
      </c>
      <c r="I25" s="11"/>
      <c r="J25" s="11"/>
    </row>
    <row r="26" spans="1:10" x14ac:dyDescent="0.25">
      <c r="A26" s="3" t="s">
        <v>586</v>
      </c>
      <c r="B26" s="58" t="s">
        <v>60</v>
      </c>
      <c r="C26" s="11"/>
      <c r="D26" s="11">
        <v>0</v>
      </c>
      <c r="E26" s="11">
        <v>0</v>
      </c>
      <c r="F26" s="11">
        <v>0</v>
      </c>
      <c r="G26" s="11">
        <v>10</v>
      </c>
      <c r="H26" s="11">
        <v>5</v>
      </c>
      <c r="I26" s="11"/>
      <c r="J26" s="11"/>
    </row>
    <row r="27" spans="1:10" ht="15.75" hidden="1" customHeight="1" x14ac:dyDescent="0.25">
      <c r="B27" s="58"/>
      <c r="C27" s="11">
        <v>27</v>
      </c>
      <c r="D27" s="11"/>
      <c r="E27" s="79"/>
      <c r="F27" s="80"/>
      <c r="G27" s="11"/>
      <c r="H27" s="76">
        <v>27</v>
      </c>
      <c r="I27" s="11"/>
    </row>
    <row r="28" spans="1:10" ht="15.75" hidden="1" customHeight="1" x14ac:dyDescent="0.25">
      <c r="B28" s="58"/>
      <c r="C28" s="11">
        <v>2</v>
      </c>
      <c r="D28" s="11"/>
      <c r="E28" s="79"/>
      <c r="F28" s="80"/>
      <c r="G28" s="11"/>
      <c r="H28" s="76">
        <v>2</v>
      </c>
      <c r="I28" s="11"/>
    </row>
    <row r="29" spans="1:10" ht="15.75" hidden="1" customHeight="1" x14ac:dyDescent="0.25">
      <c r="B29" s="58"/>
      <c r="C29" s="11">
        <v>8</v>
      </c>
      <c r="D29" s="11"/>
      <c r="E29" s="79"/>
      <c r="F29" s="80"/>
      <c r="G29" s="11"/>
      <c r="H29" s="76">
        <v>8</v>
      </c>
      <c r="I29" s="11"/>
    </row>
    <row r="30" spans="1:10" ht="15.75" hidden="1" customHeight="1" x14ac:dyDescent="0.25">
      <c r="B30" s="58"/>
      <c r="C30" s="11">
        <v>24</v>
      </c>
      <c r="D30" s="11"/>
      <c r="E30" s="79"/>
      <c r="F30" s="80"/>
      <c r="G30" s="11"/>
      <c r="H30" s="76">
        <v>22</v>
      </c>
      <c r="I30" s="11"/>
    </row>
    <row r="31" spans="1:10" ht="15.75" hidden="1" customHeight="1" x14ac:dyDescent="0.25">
      <c r="B31" s="58"/>
      <c r="C31" s="11">
        <v>6</v>
      </c>
      <c r="D31" s="11"/>
      <c r="E31" s="79"/>
      <c r="F31" s="80"/>
      <c r="G31" s="11"/>
      <c r="H31" s="76">
        <v>6</v>
      </c>
      <c r="I31" s="11"/>
    </row>
    <row r="32" spans="1:10" ht="15.75" hidden="1" customHeight="1" x14ac:dyDescent="0.25">
      <c r="B32" s="58"/>
      <c r="C32" s="11">
        <v>42</v>
      </c>
      <c r="D32" s="11"/>
      <c r="E32" s="79"/>
      <c r="F32" s="80"/>
      <c r="G32" s="11"/>
      <c r="H32" s="76">
        <v>54</v>
      </c>
      <c r="I32" s="11"/>
    </row>
    <row r="33" spans="2:9" ht="15.75" hidden="1" customHeight="1" x14ac:dyDescent="0.25">
      <c r="B33" s="58"/>
      <c r="C33" s="11">
        <v>31</v>
      </c>
      <c r="D33" s="11"/>
      <c r="E33" s="79"/>
      <c r="F33" s="80"/>
      <c r="G33" s="11"/>
      <c r="H33" s="76">
        <v>46</v>
      </c>
      <c r="I33" s="11"/>
    </row>
    <row r="34" spans="2:9" ht="15.75" hidden="1" customHeight="1" x14ac:dyDescent="0.25">
      <c r="B34" s="15"/>
      <c r="C34" s="15"/>
      <c r="D34" s="16"/>
      <c r="E34" s="16"/>
      <c r="F34" s="16"/>
      <c r="G34" s="16"/>
      <c r="H34" s="16"/>
      <c r="I34" s="16"/>
    </row>
    <row r="35" spans="2:9" ht="15.75" hidden="1" customHeight="1" x14ac:dyDescent="0.25">
      <c r="B35" s="58"/>
      <c r="C35" s="11">
        <v>1</v>
      </c>
      <c r="D35" s="11"/>
      <c r="E35" s="79"/>
      <c r="F35" s="80"/>
      <c r="G35" s="11"/>
      <c r="H35" s="76">
        <v>1</v>
      </c>
      <c r="I35" s="11"/>
    </row>
    <row r="36" spans="2:9" ht="15.75" hidden="1" customHeight="1" x14ac:dyDescent="0.25">
      <c r="B36" s="58"/>
      <c r="C36" s="11">
        <v>1</v>
      </c>
      <c r="D36" s="11"/>
      <c r="E36" s="79"/>
      <c r="F36" s="80"/>
      <c r="G36" s="11"/>
      <c r="H36" s="76">
        <v>1</v>
      </c>
      <c r="I36" s="11"/>
    </row>
    <row r="37" spans="2:9" ht="15.75" hidden="1" customHeight="1" x14ac:dyDescent="0.25">
      <c r="B37" s="58"/>
      <c r="C37" s="17">
        <v>1</v>
      </c>
      <c r="D37" s="11"/>
      <c r="E37" s="79"/>
      <c r="F37" s="80"/>
      <c r="G37" s="17"/>
      <c r="H37" s="82">
        <v>1</v>
      </c>
      <c r="I37" s="11"/>
    </row>
    <row r="38" spans="2:9" ht="15.75" hidden="1" customHeight="1" x14ac:dyDescent="0.25">
      <c r="B38" s="12"/>
      <c r="C38" s="12"/>
      <c r="D38" s="13"/>
      <c r="E38" s="13"/>
      <c r="F38" s="13"/>
      <c r="G38" s="13"/>
      <c r="H38" s="13"/>
      <c r="I38" s="13"/>
    </row>
    <row r="39" spans="2:9" ht="15.75" hidden="1" customHeight="1" x14ac:dyDescent="0.25">
      <c r="B39" s="56"/>
      <c r="C39" s="9">
        <v>10</v>
      </c>
      <c r="D39" s="10"/>
      <c r="E39" s="79"/>
      <c r="F39" s="80"/>
      <c r="G39" s="9"/>
      <c r="H39" s="81">
        <v>8</v>
      </c>
      <c r="I39" s="11"/>
    </row>
    <row r="40" spans="2:9" ht="15.75" hidden="1" customHeight="1" x14ac:dyDescent="0.25">
      <c r="B40" s="56"/>
      <c r="C40" s="9">
        <v>1</v>
      </c>
      <c r="D40" s="10"/>
      <c r="E40" s="79"/>
      <c r="F40" s="80"/>
      <c r="G40" s="9"/>
      <c r="H40" s="81">
        <v>1</v>
      </c>
      <c r="I40" s="11"/>
    </row>
    <row r="41" spans="2:9" ht="15.75" hidden="1" customHeight="1" x14ac:dyDescent="0.25">
      <c r="B41" s="56"/>
      <c r="C41" s="9">
        <v>28</v>
      </c>
      <c r="D41" s="10"/>
      <c r="E41" s="79"/>
      <c r="F41" s="80"/>
      <c r="G41" s="9"/>
      <c r="H41" s="200">
        <v>28</v>
      </c>
      <c r="I41" s="11"/>
    </row>
    <row r="42" spans="2:9" ht="15.75" hidden="1" customHeight="1" x14ac:dyDescent="0.25">
      <c r="B42" s="56"/>
      <c r="C42" s="9">
        <v>0</v>
      </c>
      <c r="D42" s="10"/>
      <c r="E42" s="79"/>
      <c r="F42" s="80"/>
      <c r="G42" s="9"/>
      <c r="H42" s="81">
        <v>0</v>
      </c>
      <c r="I42" s="11"/>
    </row>
    <row r="43" spans="2:9" ht="15.75" hidden="1" customHeight="1" x14ac:dyDescent="0.25">
      <c r="B43" s="56"/>
      <c r="C43" s="9">
        <v>7</v>
      </c>
      <c r="D43" s="10"/>
      <c r="E43" s="79"/>
      <c r="F43" s="80"/>
      <c r="G43" s="9"/>
      <c r="H43" s="81">
        <v>6</v>
      </c>
      <c r="I43" s="11"/>
    </row>
    <row r="44" spans="2:9" ht="15.75" hidden="1" customHeight="1" x14ac:dyDescent="0.25">
      <c r="B44" s="56"/>
      <c r="C44" s="9">
        <v>3</v>
      </c>
      <c r="D44" s="10"/>
      <c r="E44" s="79"/>
      <c r="F44" s="80"/>
      <c r="G44" s="9"/>
      <c r="H44" s="81">
        <v>3</v>
      </c>
      <c r="I44" s="11"/>
    </row>
    <row r="45" spans="2:9" ht="15.75" hidden="1" customHeight="1" x14ac:dyDescent="0.25">
      <c r="B45" s="12"/>
      <c r="C45" s="12"/>
      <c r="D45" s="13"/>
      <c r="E45" s="13"/>
      <c r="F45" s="13"/>
      <c r="G45" s="13"/>
      <c r="H45" s="13"/>
      <c r="I45" s="13"/>
    </row>
    <row r="46" spans="2:9" ht="15.75" hidden="1" customHeight="1" x14ac:dyDescent="0.25">
      <c r="B46" s="61"/>
      <c r="C46" s="11">
        <v>1</v>
      </c>
      <c r="D46" s="11"/>
      <c r="E46" s="79"/>
      <c r="F46" s="80"/>
      <c r="G46" s="11"/>
      <c r="H46" s="76">
        <v>1</v>
      </c>
      <c r="I46" s="11"/>
    </row>
    <row r="47" spans="2:9" ht="15.75" hidden="1" customHeight="1" x14ac:dyDescent="0.25">
      <c r="B47" s="62"/>
      <c r="C47" s="11">
        <v>1</v>
      </c>
      <c r="D47" s="11"/>
      <c r="E47" s="79"/>
      <c r="F47" s="80"/>
      <c r="G47" s="11"/>
      <c r="H47" s="76">
        <v>1</v>
      </c>
      <c r="I47" s="11"/>
    </row>
    <row r="48" spans="2:9" ht="15.75" hidden="1" customHeight="1" x14ac:dyDescent="0.25">
      <c r="B48" s="62"/>
      <c r="C48" s="11">
        <v>0.5</v>
      </c>
      <c r="D48" s="11"/>
      <c r="E48" s="79"/>
      <c r="F48" s="80"/>
      <c r="G48" s="11"/>
      <c r="H48" s="76">
        <v>0.5</v>
      </c>
      <c r="I48" s="11"/>
    </row>
    <row r="49" spans="2:9" ht="15.75" hidden="1" customHeight="1" x14ac:dyDescent="0.25">
      <c r="B49" s="63"/>
      <c r="C49" s="199">
        <v>1</v>
      </c>
      <c r="D49" s="11"/>
      <c r="E49" s="79"/>
      <c r="F49" s="80"/>
      <c r="G49" s="11"/>
      <c r="H49" s="207">
        <v>1</v>
      </c>
      <c r="I49" s="11"/>
    </row>
    <row r="50" spans="2:9" ht="15.75" hidden="1" customHeight="1" x14ac:dyDescent="0.25">
      <c r="B50" s="58"/>
      <c r="C50" s="11">
        <v>1</v>
      </c>
      <c r="D50" s="11"/>
      <c r="E50" s="79"/>
      <c r="F50" s="80"/>
      <c r="G50" s="11"/>
      <c r="H50" s="76">
        <v>1</v>
      </c>
      <c r="I50" s="11"/>
    </row>
    <row r="51" spans="2:9" ht="15.75" hidden="1" customHeight="1" x14ac:dyDescent="0.25">
      <c r="B51" s="62"/>
      <c r="C51" s="11">
        <v>1</v>
      </c>
      <c r="D51" s="11"/>
      <c r="E51" s="79"/>
      <c r="F51" s="80"/>
      <c r="G51" s="11"/>
      <c r="H51" s="76">
        <v>1</v>
      </c>
      <c r="I51" s="11"/>
    </row>
    <row r="52" spans="2:9" ht="15.75" hidden="1" customHeight="1" x14ac:dyDescent="0.25">
      <c r="B52" s="58"/>
      <c r="C52" s="199">
        <v>45291</v>
      </c>
      <c r="D52" s="11"/>
      <c r="E52" s="79"/>
      <c r="F52" s="80"/>
      <c r="G52" s="11"/>
      <c r="H52" s="207" t="s">
        <v>576</v>
      </c>
      <c r="I52" s="11"/>
    </row>
    <row r="53" spans="2:9" ht="15.75" hidden="1" customHeight="1" x14ac:dyDescent="0.25">
      <c r="B53" s="62"/>
      <c r="C53" s="11">
        <v>0</v>
      </c>
      <c r="D53" s="11"/>
      <c r="E53" s="79"/>
      <c r="F53" s="80"/>
      <c r="G53" s="11"/>
      <c r="H53" s="76">
        <v>0</v>
      </c>
      <c r="I53" s="11"/>
    </row>
    <row r="54" spans="2:9" ht="15.75" hidden="1" customHeight="1" x14ac:dyDescent="0.25">
      <c r="B54" s="58"/>
      <c r="C54" s="11">
        <v>1</v>
      </c>
      <c r="D54" s="11"/>
      <c r="E54" s="79"/>
      <c r="F54" s="80"/>
      <c r="G54" s="11"/>
      <c r="H54" s="76">
        <v>1</v>
      </c>
      <c r="I54" s="11"/>
    </row>
    <row r="55" spans="2:9" ht="15.75" hidden="1" customHeight="1" x14ac:dyDescent="0.25">
      <c r="B55" s="58"/>
      <c r="C55" s="11">
        <v>1</v>
      </c>
      <c r="D55" s="11"/>
      <c r="E55" s="79"/>
      <c r="F55" s="80"/>
      <c r="G55" s="11"/>
      <c r="H55" s="76">
        <v>1</v>
      </c>
      <c r="I55" s="11"/>
    </row>
    <row r="56" spans="2:9" ht="15.75" hidden="1" customHeight="1" x14ac:dyDescent="0.25">
      <c r="B56" s="62"/>
      <c r="C56" s="11">
        <v>1</v>
      </c>
      <c r="D56" s="11"/>
      <c r="E56" s="79"/>
      <c r="F56" s="80"/>
      <c r="G56" s="11"/>
      <c r="H56" s="76">
        <v>1</v>
      </c>
      <c r="I56" s="11"/>
    </row>
    <row r="57" spans="2:9" ht="15.75" hidden="1" customHeight="1" x14ac:dyDescent="0.25">
      <c r="B57" s="62"/>
      <c r="C57" s="11">
        <v>1</v>
      </c>
      <c r="D57" s="11"/>
      <c r="E57" s="79"/>
      <c r="F57" s="80"/>
      <c r="G57" s="11"/>
      <c r="H57" s="76">
        <v>1</v>
      </c>
      <c r="I57" s="11"/>
    </row>
    <row r="58" spans="2:9" ht="15.75" hidden="1" customHeight="1" x14ac:dyDescent="0.25">
      <c r="B58" s="61"/>
      <c r="C58" s="11">
        <v>1</v>
      </c>
      <c r="D58" s="11"/>
      <c r="E58" s="79"/>
      <c r="F58" s="80"/>
      <c r="G58" s="11"/>
      <c r="H58" s="76">
        <v>2</v>
      </c>
      <c r="I58" s="11"/>
    </row>
    <row r="59" spans="2:9" ht="15.75" hidden="1" customHeight="1" x14ac:dyDescent="0.25">
      <c r="B59" s="62"/>
      <c r="C59" s="11">
        <v>1</v>
      </c>
      <c r="D59" s="11"/>
      <c r="E59" s="79"/>
      <c r="F59" s="80"/>
      <c r="G59" s="11"/>
      <c r="H59" s="76">
        <v>1</v>
      </c>
      <c r="I59" s="11"/>
    </row>
    <row r="60" spans="2:9" ht="15.75" hidden="1" customHeight="1" x14ac:dyDescent="0.25">
      <c r="B60" s="62"/>
      <c r="C60" s="11">
        <v>1</v>
      </c>
      <c r="D60" s="11"/>
      <c r="E60" s="79"/>
      <c r="F60" s="80"/>
      <c r="G60" s="11"/>
      <c r="H60" s="76">
        <v>1</v>
      </c>
      <c r="I60" s="11"/>
    </row>
    <row r="61" spans="2:9" ht="15.75" hidden="1" customHeight="1" x14ac:dyDescent="0.25">
      <c r="B61" s="62"/>
      <c r="C61" s="11">
        <v>1</v>
      </c>
      <c r="D61" s="11"/>
      <c r="E61" s="79"/>
      <c r="F61" s="80"/>
      <c r="G61" s="11"/>
      <c r="H61" s="76">
        <v>1</v>
      </c>
      <c r="I61" s="11"/>
    </row>
    <row r="62" spans="2:9" ht="15.75" hidden="1" customHeight="1" x14ac:dyDescent="0.25">
      <c r="B62" s="62"/>
      <c r="C62" s="11">
        <v>1</v>
      </c>
      <c r="D62" s="11"/>
      <c r="E62" s="79"/>
      <c r="F62" s="80"/>
      <c r="G62" s="11"/>
      <c r="H62" s="76">
        <v>1</v>
      </c>
      <c r="I62" s="11"/>
    </row>
    <row r="63" spans="2:9" ht="15.75" hidden="1" customHeight="1" x14ac:dyDescent="0.25">
      <c r="B63" s="62"/>
      <c r="C63" s="11">
        <v>1</v>
      </c>
      <c r="D63" s="11"/>
      <c r="E63" s="79"/>
      <c r="F63" s="80"/>
      <c r="G63" s="11"/>
      <c r="H63" s="76">
        <v>1</v>
      </c>
      <c r="I63" s="11"/>
    </row>
    <row r="64" spans="2:9" ht="15.75" hidden="1" customHeight="1" x14ac:dyDescent="0.25">
      <c r="B64" s="18"/>
      <c r="C64" s="18"/>
      <c r="D64" s="19"/>
      <c r="E64" s="19"/>
      <c r="F64" s="19"/>
      <c r="G64" s="19"/>
      <c r="H64" s="19"/>
      <c r="I64" s="19"/>
    </row>
    <row r="65" spans="1:10" ht="15.75" hidden="1" customHeight="1" x14ac:dyDescent="0.25">
      <c r="B65" s="56"/>
      <c r="C65" s="10">
        <v>12</v>
      </c>
      <c r="D65" s="10"/>
      <c r="E65" s="79"/>
      <c r="F65" s="80"/>
      <c r="G65" s="10"/>
      <c r="H65" s="76">
        <v>12</v>
      </c>
      <c r="I65" s="11"/>
    </row>
    <row r="66" spans="1:10" ht="15.75" hidden="1" customHeight="1" x14ac:dyDescent="0.25">
      <c r="B66" s="56"/>
      <c r="C66" s="10">
        <v>7</v>
      </c>
      <c r="D66" s="10"/>
      <c r="E66" s="79"/>
      <c r="F66" s="80"/>
      <c r="G66" s="10"/>
      <c r="H66" s="76">
        <v>3</v>
      </c>
      <c r="I66" s="11"/>
    </row>
    <row r="67" spans="1:10" ht="15.75" hidden="1" customHeight="1" x14ac:dyDescent="0.25">
      <c r="B67" s="56"/>
      <c r="C67" s="10">
        <v>1</v>
      </c>
      <c r="D67" s="10"/>
      <c r="E67" s="79"/>
      <c r="F67" s="80"/>
      <c r="G67" s="10"/>
      <c r="H67" s="76">
        <v>1</v>
      </c>
      <c r="I67" s="11"/>
    </row>
    <row r="68" spans="1:10" ht="15.75" hidden="1" customHeight="1" x14ac:dyDescent="0.25">
      <c r="B68" s="56"/>
      <c r="C68" s="10">
        <v>3</v>
      </c>
      <c r="D68" s="10"/>
      <c r="E68" s="79"/>
      <c r="F68" s="80"/>
      <c r="G68" s="10"/>
      <c r="H68" s="76">
        <v>2</v>
      </c>
      <c r="I68" s="11"/>
    </row>
    <row r="69" spans="1:10" ht="15.75" hidden="1" customHeight="1" x14ac:dyDescent="0.25">
      <c r="B69" s="56"/>
      <c r="C69" s="10">
        <v>1</v>
      </c>
      <c r="D69" s="10"/>
      <c r="E69" s="79"/>
      <c r="F69" s="80"/>
      <c r="G69" s="10"/>
      <c r="H69" s="76">
        <v>1</v>
      </c>
      <c r="I69" s="11"/>
    </row>
    <row r="70" spans="1:10" ht="15.75" hidden="1" customHeight="1" x14ac:dyDescent="0.25">
      <c r="A70" s="66"/>
      <c r="B70" s="56"/>
      <c r="C70" s="10">
        <v>7</v>
      </c>
      <c r="D70" s="10"/>
      <c r="E70" s="79"/>
      <c r="F70" s="80"/>
      <c r="G70" s="10"/>
      <c r="H70" s="76">
        <v>6</v>
      </c>
      <c r="I70" s="11"/>
    </row>
    <row r="71" spans="1:10" ht="15.75" hidden="1" customHeight="1" x14ac:dyDescent="0.25">
      <c r="B71" s="58"/>
      <c r="C71" s="11">
        <v>4</v>
      </c>
      <c r="D71" s="11"/>
      <c r="E71" s="79"/>
      <c r="F71" s="80"/>
      <c r="G71" s="11"/>
      <c r="H71" s="76">
        <v>3</v>
      </c>
      <c r="I71" s="11"/>
    </row>
    <row r="72" spans="1:10" x14ac:dyDescent="0.25">
      <c r="A72" s="3" t="s">
        <v>124</v>
      </c>
      <c r="B72" s="56" t="s">
        <v>9</v>
      </c>
      <c r="C72" s="10"/>
      <c r="D72" s="10">
        <v>10</v>
      </c>
      <c r="E72" s="10">
        <v>18</v>
      </c>
      <c r="F72" s="10">
        <v>10</v>
      </c>
      <c r="G72" s="10">
        <v>20</v>
      </c>
      <c r="H72" s="10">
        <v>11</v>
      </c>
      <c r="I72" s="10"/>
      <c r="J72" s="10"/>
    </row>
    <row r="73" spans="1:10" ht="15.75" hidden="1" customHeight="1" x14ac:dyDescent="0.25">
      <c r="B73" s="56"/>
      <c r="C73" s="10">
        <v>24</v>
      </c>
      <c r="D73" s="10"/>
      <c r="E73" s="79"/>
      <c r="F73" s="80"/>
      <c r="G73" s="10"/>
      <c r="H73" s="76">
        <v>24</v>
      </c>
      <c r="I73" s="11"/>
    </row>
    <row r="74" spans="1:10" ht="15.75" hidden="1" customHeight="1" x14ac:dyDescent="0.25">
      <c r="B74" s="56"/>
      <c r="C74" s="10">
        <v>0</v>
      </c>
      <c r="D74" s="10"/>
      <c r="E74" s="79"/>
      <c r="F74" s="80"/>
      <c r="G74" s="10"/>
      <c r="H74" s="76">
        <v>0</v>
      </c>
      <c r="I74" s="11"/>
    </row>
    <row r="75" spans="1:10" ht="15.75" hidden="1" customHeight="1" x14ac:dyDescent="0.25">
      <c r="B75" s="56"/>
      <c r="C75" s="10">
        <v>0.2</v>
      </c>
      <c r="D75" s="10"/>
      <c r="E75" s="79"/>
      <c r="F75" s="80"/>
      <c r="G75" s="10"/>
      <c r="H75" s="76">
        <v>0</v>
      </c>
      <c r="I75" s="11"/>
    </row>
    <row r="76" spans="1:10" ht="15.75" hidden="1" customHeight="1" x14ac:dyDescent="0.25">
      <c r="B76" s="56"/>
      <c r="C76" s="10">
        <v>1</v>
      </c>
      <c r="D76" s="10"/>
      <c r="E76" s="79"/>
      <c r="F76" s="80"/>
      <c r="G76" s="10"/>
      <c r="H76" s="76">
        <v>1</v>
      </c>
      <c r="I76" s="11"/>
    </row>
    <row r="77" spans="1:10" ht="15.75" hidden="1" customHeight="1" x14ac:dyDescent="0.25">
      <c r="B77" s="56"/>
      <c r="C77" s="10">
        <v>0</v>
      </c>
      <c r="D77" s="10"/>
      <c r="E77" s="79"/>
      <c r="F77" s="80"/>
      <c r="G77" s="10"/>
      <c r="H77" s="76">
        <v>0</v>
      </c>
      <c r="I77" s="11"/>
    </row>
    <row r="78" spans="1:10" ht="15.75" hidden="1" customHeight="1" x14ac:dyDescent="0.25">
      <c r="B78" s="56"/>
      <c r="C78" s="10">
        <v>0</v>
      </c>
      <c r="D78" s="10"/>
      <c r="E78" s="79"/>
      <c r="F78" s="80"/>
      <c r="G78" s="10"/>
      <c r="H78" s="76">
        <v>0</v>
      </c>
      <c r="I78" s="11"/>
    </row>
    <row r="79" spans="1:10" ht="15.75" hidden="1" customHeight="1" x14ac:dyDescent="0.25">
      <c r="B79" s="56"/>
      <c r="C79" s="10">
        <v>4</v>
      </c>
      <c r="D79" s="10"/>
      <c r="E79" s="79"/>
      <c r="F79" s="80"/>
      <c r="G79" s="10"/>
      <c r="H79" s="76">
        <v>4</v>
      </c>
      <c r="I79" s="11"/>
    </row>
    <row r="80" spans="1:10" ht="15.75" hidden="1" customHeight="1" x14ac:dyDescent="0.25">
      <c r="B80" s="56"/>
      <c r="C80" s="20">
        <v>0</v>
      </c>
      <c r="D80" s="10"/>
      <c r="E80" s="79"/>
      <c r="F80" s="80"/>
      <c r="G80" s="20"/>
      <c r="H80" s="82">
        <v>0</v>
      </c>
      <c r="I80" s="11"/>
    </row>
    <row r="81" spans="1:9" ht="15.75" hidden="1" customHeight="1" x14ac:dyDescent="0.25">
      <c r="B81" s="56"/>
      <c r="C81" s="10">
        <v>8</v>
      </c>
      <c r="D81" s="10"/>
      <c r="E81" s="79"/>
      <c r="F81" s="80"/>
      <c r="G81" s="10"/>
      <c r="H81" s="76">
        <v>8</v>
      </c>
      <c r="I81" s="11"/>
    </row>
    <row r="82" spans="1:9" ht="15.75" hidden="1" customHeight="1" x14ac:dyDescent="0.25">
      <c r="B82" s="56"/>
      <c r="C82" s="20">
        <v>2</v>
      </c>
      <c r="D82" s="10"/>
      <c r="E82" s="79"/>
      <c r="F82" s="80"/>
      <c r="G82" s="20"/>
      <c r="H82" s="82">
        <v>0</v>
      </c>
      <c r="I82" s="11"/>
    </row>
    <row r="83" spans="1:9" ht="15.75" hidden="1" customHeight="1" x14ac:dyDescent="0.25">
      <c r="B83" s="56"/>
      <c r="C83" s="10">
        <v>0</v>
      </c>
      <c r="D83" s="10"/>
      <c r="E83" s="79"/>
      <c r="F83" s="80"/>
      <c r="G83" s="10"/>
      <c r="H83" s="76">
        <v>10</v>
      </c>
      <c r="I83" s="11"/>
    </row>
    <row r="84" spans="1:9" ht="15.75" hidden="1" customHeight="1" x14ac:dyDescent="0.25">
      <c r="B84" s="56"/>
      <c r="C84" s="10">
        <v>0.3</v>
      </c>
      <c r="D84" s="10"/>
      <c r="E84" s="79"/>
      <c r="F84" s="80"/>
      <c r="G84" s="10"/>
      <c r="H84" s="76">
        <v>0.3</v>
      </c>
      <c r="I84" s="11"/>
    </row>
    <row r="85" spans="1:9" ht="15.75" hidden="1" customHeight="1" x14ac:dyDescent="0.25">
      <c r="B85" s="56"/>
      <c r="C85" s="10">
        <v>1</v>
      </c>
      <c r="D85" s="10"/>
      <c r="E85" s="79"/>
      <c r="F85" s="80"/>
      <c r="G85" s="10"/>
      <c r="H85" s="76">
        <v>1</v>
      </c>
      <c r="I85" s="11"/>
    </row>
    <row r="86" spans="1:9" ht="15.75" hidden="1" customHeight="1" x14ac:dyDescent="0.25">
      <c r="B86" s="58"/>
      <c r="C86" s="10">
        <v>0</v>
      </c>
      <c r="D86" s="10"/>
      <c r="E86" s="79"/>
      <c r="F86" s="80"/>
      <c r="G86" s="10"/>
      <c r="H86" s="76">
        <v>0</v>
      </c>
      <c r="I86" s="11"/>
    </row>
    <row r="87" spans="1:9" ht="15.75" hidden="1" customHeight="1" x14ac:dyDescent="0.25">
      <c r="B87" s="56"/>
      <c r="C87" s="10">
        <v>10</v>
      </c>
      <c r="D87" s="10"/>
      <c r="E87" s="79"/>
      <c r="F87" s="80"/>
      <c r="G87" s="10"/>
      <c r="H87" s="76">
        <v>10</v>
      </c>
      <c r="I87" s="11"/>
    </row>
    <row r="88" spans="1:9" ht="15.75" hidden="1" customHeight="1" x14ac:dyDescent="0.25">
      <c r="B88" s="56"/>
      <c r="C88" s="10">
        <v>0.5</v>
      </c>
      <c r="D88" s="10"/>
      <c r="E88" s="79"/>
      <c r="F88" s="80"/>
      <c r="G88" s="10"/>
      <c r="H88" s="76">
        <v>1</v>
      </c>
      <c r="I88" s="11"/>
    </row>
    <row r="89" spans="1:9" ht="15.75" hidden="1" customHeight="1" x14ac:dyDescent="0.25">
      <c r="A89" s="66"/>
      <c r="B89" s="56"/>
      <c r="C89" s="10">
        <v>2</v>
      </c>
      <c r="D89" s="10"/>
      <c r="E89" s="79"/>
      <c r="F89" s="80"/>
      <c r="G89" s="10"/>
      <c r="H89" s="76">
        <v>2</v>
      </c>
      <c r="I89" s="11"/>
    </row>
    <row r="90" spans="1:9" ht="15.75" hidden="1" customHeight="1" x14ac:dyDescent="0.25">
      <c r="B90" s="56"/>
      <c r="C90" s="10">
        <v>0</v>
      </c>
      <c r="D90" s="10"/>
      <c r="E90" s="79"/>
      <c r="F90" s="80"/>
      <c r="G90" s="10"/>
      <c r="H90" s="76">
        <v>0</v>
      </c>
      <c r="I90" s="11"/>
    </row>
    <row r="91" spans="1:9" ht="15.75" hidden="1" customHeight="1" x14ac:dyDescent="0.25">
      <c r="B91" s="56"/>
      <c r="C91" s="10">
        <v>3</v>
      </c>
      <c r="D91" s="10"/>
      <c r="E91" s="79"/>
      <c r="F91" s="80"/>
      <c r="G91" s="10"/>
      <c r="H91" s="76">
        <v>3</v>
      </c>
      <c r="I91" s="11"/>
    </row>
    <row r="92" spans="1:9" ht="15.75" hidden="1" customHeight="1" x14ac:dyDescent="0.25">
      <c r="B92" s="56"/>
      <c r="C92" s="10">
        <v>0</v>
      </c>
      <c r="D92" s="10"/>
      <c r="E92" s="79"/>
      <c r="F92" s="80"/>
      <c r="G92" s="10"/>
      <c r="H92" s="76">
        <v>0</v>
      </c>
      <c r="I92" s="11"/>
    </row>
    <row r="93" spans="1:9" ht="15.75" hidden="1" customHeight="1" x14ac:dyDescent="0.25">
      <c r="B93" s="12"/>
      <c r="C93" s="12"/>
      <c r="D93" s="13"/>
      <c r="E93" s="13"/>
      <c r="F93" s="13"/>
      <c r="G93" s="13"/>
      <c r="H93" s="13"/>
      <c r="I93" s="13"/>
    </row>
    <row r="94" spans="1:9" ht="15.75" hidden="1" customHeight="1" x14ac:dyDescent="0.25">
      <c r="B94" s="58"/>
      <c r="C94" s="11">
        <v>80</v>
      </c>
      <c r="D94" s="11"/>
      <c r="E94" s="79"/>
      <c r="F94" s="80"/>
      <c r="G94" s="11"/>
      <c r="H94" s="76">
        <v>80</v>
      </c>
      <c r="I94" s="11"/>
    </row>
    <row r="95" spans="1:9" ht="15.75" hidden="1" customHeight="1" x14ac:dyDescent="0.25">
      <c r="B95" s="58"/>
      <c r="C95" s="11">
        <v>7</v>
      </c>
      <c r="D95" s="11"/>
      <c r="E95" s="79"/>
      <c r="F95" s="80"/>
      <c r="G95" s="11"/>
      <c r="H95" s="76">
        <v>7</v>
      </c>
      <c r="I95" s="11"/>
    </row>
    <row r="96" spans="1:9" ht="15.75" hidden="1" customHeight="1" x14ac:dyDescent="0.25">
      <c r="B96" s="56"/>
      <c r="C96" s="11">
        <v>9</v>
      </c>
      <c r="D96" s="11"/>
      <c r="E96" s="79"/>
      <c r="F96" s="80"/>
      <c r="G96" s="11"/>
      <c r="H96" s="76">
        <v>9</v>
      </c>
      <c r="I96" s="11"/>
    </row>
    <row r="97" spans="1:9" ht="15.75" hidden="1" customHeight="1" x14ac:dyDescent="0.25">
      <c r="B97" s="56"/>
      <c r="C97" s="11">
        <v>0</v>
      </c>
      <c r="D97" s="11"/>
      <c r="E97" s="79"/>
      <c r="F97" s="80"/>
      <c r="G97" s="11"/>
      <c r="H97" s="76">
        <v>0</v>
      </c>
      <c r="I97" s="11"/>
    </row>
    <row r="98" spans="1:9" ht="15.75" hidden="1" customHeight="1" x14ac:dyDescent="0.25">
      <c r="B98" s="56"/>
      <c r="C98" s="11">
        <v>1</v>
      </c>
      <c r="D98" s="11"/>
      <c r="E98" s="79"/>
      <c r="F98" s="80"/>
      <c r="G98" s="11"/>
      <c r="H98" s="76">
        <v>1</v>
      </c>
      <c r="I98" s="11"/>
    </row>
    <row r="99" spans="1:9" ht="15.75" hidden="1" customHeight="1" x14ac:dyDescent="0.25">
      <c r="A99" s="70"/>
      <c r="B99" s="56"/>
      <c r="C99" s="11">
        <v>1</v>
      </c>
      <c r="D99" s="11"/>
      <c r="E99" s="79"/>
      <c r="F99" s="80"/>
      <c r="G99" s="11"/>
      <c r="H99" s="76">
        <v>1</v>
      </c>
      <c r="I99" s="11"/>
    </row>
    <row r="100" spans="1:9" ht="15.75" hidden="1" customHeight="1" x14ac:dyDescent="0.25">
      <c r="B100" s="12"/>
      <c r="C100" s="12"/>
      <c r="D100" s="13"/>
      <c r="E100" s="13"/>
      <c r="F100" s="13"/>
      <c r="G100" s="13"/>
      <c r="H100" s="13"/>
      <c r="I100" s="13"/>
    </row>
    <row r="101" spans="1:9" ht="15.75" hidden="1" customHeight="1" x14ac:dyDescent="0.25">
      <c r="A101" s="71"/>
      <c r="B101" s="58"/>
      <c r="C101" s="11">
        <v>0.6</v>
      </c>
      <c r="D101" s="11"/>
      <c r="E101" s="79"/>
      <c r="F101" s="80"/>
      <c r="G101" s="11"/>
      <c r="H101" s="76">
        <v>0.6</v>
      </c>
      <c r="I101" s="11"/>
    </row>
    <row r="102" spans="1:9" ht="15.75" hidden="1" customHeight="1" x14ac:dyDescent="0.25">
      <c r="B102" s="58"/>
      <c r="C102" s="11">
        <v>1</v>
      </c>
      <c r="D102" s="11"/>
      <c r="E102" s="79"/>
      <c r="F102" s="80"/>
      <c r="G102" s="11"/>
      <c r="H102" s="76">
        <v>1</v>
      </c>
      <c r="I102" s="11"/>
    </row>
    <row r="103" spans="1:9" ht="15.75" hidden="1" customHeight="1" x14ac:dyDescent="0.25">
      <c r="B103" s="57"/>
      <c r="C103" s="11">
        <v>43</v>
      </c>
      <c r="D103" s="11"/>
      <c r="E103" s="79"/>
      <c r="F103" s="80"/>
      <c r="G103" s="11"/>
      <c r="H103" s="76">
        <v>39</v>
      </c>
      <c r="I103" s="11"/>
    </row>
    <row r="104" spans="1:9" ht="15.75" hidden="1" customHeight="1" x14ac:dyDescent="0.25">
      <c r="B104" s="58"/>
      <c r="C104" s="11">
        <v>75</v>
      </c>
      <c r="D104" s="11"/>
      <c r="E104" s="79"/>
      <c r="F104" s="80"/>
      <c r="G104" s="11"/>
      <c r="H104" s="76">
        <v>75</v>
      </c>
      <c r="I104" s="11"/>
    </row>
    <row r="105" spans="1:9" ht="15.75" hidden="1" customHeight="1" x14ac:dyDescent="0.25">
      <c r="B105" s="58"/>
      <c r="C105" s="11">
        <v>0.9</v>
      </c>
      <c r="D105" s="11"/>
      <c r="E105" s="79"/>
      <c r="F105" s="80"/>
      <c r="G105" s="11"/>
      <c r="H105" s="76">
        <v>0.8</v>
      </c>
      <c r="I105" s="11"/>
    </row>
    <row r="106" spans="1:9" ht="15.75" hidden="1" customHeight="1" x14ac:dyDescent="0.25">
      <c r="B106" s="58"/>
      <c r="C106" s="11">
        <v>0</v>
      </c>
      <c r="D106" s="11"/>
      <c r="E106" s="79"/>
      <c r="F106" s="80"/>
      <c r="G106" s="11"/>
      <c r="H106" s="76">
        <v>0</v>
      </c>
      <c r="I106" s="11"/>
    </row>
    <row r="107" spans="1:9" ht="15.75" hidden="1" customHeight="1" x14ac:dyDescent="0.25">
      <c r="B107" s="58"/>
      <c r="C107" s="11">
        <v>20</v>
      </c>
      <c r="D107" s="11"/>
      <c r="E107" s="79"/>
      <c r="F107" s="80"/>
      <c r="G107" s="11"/>
      <c r="H107" s="76">
        <v>20</v>
      </c>
      <c r="I107" s="11"/>
    </row>
    <row r="108" spans="1:9" ht="15.75" hidden="1" customHeight="1" x14ac:dyDescent="0.25">
      <c r="B108" s="58"/>
      <c r="C108" s="11">
        <v>3</v>
      </c>
      <c r="D108" s="11"/>
      <c r="E108" s="79"/>
      <c r="F108" s="80"/>
      <c r="G108" s="11"/>
      <c r="H108" s="76">
        <v>3</v>
      </c>
      <c r="I108" s="11"/>
    </row>
    <row r="109" spans="1:9" ht="15.75" hidden="1" customHeight="1" x14ac:dyDescent="0.25">
      <c r="B109" s="58"/>
      <c r="C109" s="11">
        <v>0.5</v>
      </c>
      <c r="D109" s="11"/>
      <c r="E109" s="79"/>
      <c r="F109" s="80"/>
      <c r="G109" s="11"/>
      <c r="H109" s="76">
        <v>0.5</v>
      </c>
      <c r="I109" s="11"/>
    </row>
    <row r="110" spans="1:9" ht="15.75" hidden="1" customHeight="1" x14ac:dyDescent="0.25">
      <c r="B110" s="58"/>
      <c r="C110" s="11">
        <v>3</v>
      </c>
      <c r="D110" s="11"/>
      <c r="E110" s="79"/>
      <c r="F110" s="80"/>
      <c r="G110" s="11"/>
      <c r="H110" s="76">
        <v>3</v>
      </c>
      <c r="I110" s="11"/>
    </row>
    <row r="111" spans="1:9" ht="15.75" hidden="1" customHeight="1" x14ac:dyDescent="0.25">
      <c r="B111" s="58"/>
      <c r="C111" s="11">
        <v>80</v>
      </c>
      <c r="D111" s="11"/>
      <c r="E111" s="79"/>
      <c r="F111" s="80"/>
      <c r="G111" s="11"/>
      <c r="H111" s="76">
        <v>104</v>
      </c>
      <c r="I111" s="11"/>
    </row>
    <row r="112" spans="1:9" ht="15.75" hidden="1" customHeight="1" x14ac:dyDescent="0.25">
      <c r="B112" s="58"/>
      <c r="C112" s="11">
        <v>174</v>
      </c>
      <c r="D112" s="11"/>
      <c r="E112" s="79"/>
      <c r="F112" s="80"/>
      <c r="G112" s="11"/>
      <c r="H112" s="76">
        <v>172</v>
      </c>
      <c r="I112" s="11"/>
    </row>
    <row r="113" spans="1:9" ht="15.75" hidden="1" customHeight="1" x14ac:dyDescent="0.25">
      <c r="B113" s="64"/>
      <c r="C113" s="11">
        <v>174</v>
      </c>
      <c r="D113" s="11"/>
      <c r="E113" s="79"/>
      <c r="F113" s="80"/>
      <c r="G113" s="11"/>
      <c r="H113" s="76">
        <v>172</v>
      </c>
      <c r="I113" s="11"/>
    </row>
    <row r="114" spans="1:9" ht="15.75" hidden="1" customHeight="1" x14ac:dyDescent="0.25">
      <c r="B114" s="58"/>
      <c r="C114" s="11">
        <v>90</v>
      </c>
      <c r="D114" s="11"/>
      <c r="E114" s="79"/>
      <c r="F114" s="80"/>
      <c r="G114" s="11"/>
      <c r="H114" s="76">
        <v>90</v>
      </c>
      <c r="I114" s="11"/>
    </row>
    <row r="115" spans="1:9" ht="15.75" hidden="1" customHeight="1" x14ac:dyDescent="0.25">
      <c r="B115" s="12"/>
      <c r="C115" s="12"/>
      <c r="D115" s="13"/>
      <c r="E115" s="13"/>
      <c r="F115" s="13"/>
      <c r="G115" s="13"/>
      <c r="H115" s="13"/>
      <c r="I115" s="13"/>
    </row>
    <row r="116" spans="1:9" ht="15.75" hidden="1" customHeight="1" x14ac:dyDescent="0.25">
      <c r="B116" s="58"/>
      <c r="C116" s="17">
        <v>1</v>
      </c>
      <c r="D116" s="11"/>
      <c r="E116" s="79"/>
      <c r="F116" s="80"/>
      <c r="G116" s="17"/>
      <c r="H116" s="82">
        <v>1</v>
      </c>
      <c r="I116" s="11"/>
    </row>
    <row r="117" spans="1:9" ht="15.75" hidden="1" customHeight="1" x14ac:dyDescent="0.25">
      <c r="B117" s="58"/>
      <c r="C117" s="11">
        <v>0</v>
      </c>
      <c r="D117" s="11"/>
      <c r="E117" s="79"/>
      <c r="F117" s="80"/>
      <c r="G117" s="11"/>
      <c r="H117" s="76">
        <v>0</v>
      </c>
      <c r="I117" s="11"/>
    </row>
    <row r="118" spans="1:9" ht="15.75" hidden="1" customHeight="1" x14ac:dyDescent="0.25">
      <c r="B118" s="58"/>
      <c r="C118" s="11">
        <v>0</v>
      </c>
      <c r="D118" s="11"/>
      <c r="E118" s="79"/>
      <c r="F118" s="80"/>
      <c r="G118" s="11"/>
      <c r="H118" s="76">
        <v>0</v>
      </c>
      <c r="I118" s="11"/>
    </row>
    <row r="119" spans="1:9" ht="15.75" hidden="1" customHeight="1" x14ac:dyDescent="0.25">
      <c r="B119" s="58"/>
      <c r="C119" s="11">
        <v>0.5</v>
      </c>
      <c r="D119" s="11"/>
      <c r="E119" s="79"/>
      <c r="F119" s="80"/>
      <c r="G119" s="11"/>
      <c r="H119" s="76">
        <v>0.3</v>
      </c>
      <c r="I119" s="11"/>
    </row>
    <row r="120" spans="1:9" ht="15.75" hidden="1" customHeight="1" x14ac:dyDescent="0.25">
      <c r="A120" s="66"/>
      <c r="B120" s="65"/>
      <c r="C120" s="11">
        <v>1</v>
      </c>
      <c r="D120" s="11"/>
      <c r="E120" s="79"/>
      <c r="F120" s="80"/>
      <c r="G120" s="11"/>
      <c r="H120" s="76">
        <v>1</v>
      </c>
      <c r="I120" s="11"/>
    </row>
    <row r="121" spans="1:9" ht="15.75" hidden="1" customHeight="1" x14ac:dyDescent="0.25">
      <c r="B121" s="58"/>
      <c r="C121" s="17">
        <v>0.3</v>
      </c>
      <c r="D121" s="11"/>
      <c r="E121" s="79"/>
      <c r="F121" s="80"/>
      <c r="G121" s="17"/>
      <c r="H121" s="82">
        <v>0.3</v>
      </c>
      <c r="I121" s="11"/>
    </row>
    <row r="122" spans="1:9" ht="15.75" hidden="1" customHeight="1" x14ac:dyDescent="0.25">
      <c r="A122" s="66"/>
      <c r="B122" s="58"/>
      <c r="C122" s="11">
        <v>1</v>
      </c>
      <c r="D122" s="11"/>
      <c r="E122" s="79"/>
      <c r="F122" s="80"/>
      <c r="G122" s="11"/>
      <c r="H122" s="76">
        <v>1</v>
      </c>
      <c r="I122" s="11"/>
    </row>
    <row r="123" spans="1:9" ht="15.75" hidden="1" customHeight="1" x14ac:dyDescent="0.25">
      <c r="A123" s="66"/>
      <c r="B123" s="58"/>
      <c r="C123" s="11">
        <v>30</v>
      </c>
      <c r="D123" s="11"/>
      <c r="E123" s="79"/>
      <c r="F123" s="80"/>
      <c r="G123" s="11"/>
      <c r="H123" s="76">
        <v>30</v>
      </c>
      <c r="I123" s="11"/>
    </row>
    <row r="124" spans="1:9" ht="15.75" hidden="1" customHeight="1" x14ac:dyDescent="0.25">
      <c r="B124" s="58"/>
      <c r="C124" s="11">
        <v>49</v>
      </c>
      <c r="D124" s="11"/>
      <c r="E124" s="79"/>
      <c r="F124" s="80"/>
      <c r="G124" s="11"/>
      <c r="H124" s="76">
        <v>49</v>
      </c>
      <c r="I124" s="11"/>
    </row>
    <row r="125" spans="1:9" ht="15.75" hidden="1" customHeight="1" x14ac:dyDescent="0.25">
      <c r="A125" s="66"/>
      <c r="B125" s="58"/>
      <c r="C125" s="11">
        <v>0</v>
      </c>
      <c r="D125" s="11"/>
      <c r="E125" s="79"/>
      <c r="F125" s="80"/>
      <c r="G125" s="11"/>
      <c r="H125" s="76">
        <v>2</v>
      </c>
      <c r="I125" s="11"/>
    </row>
    <row r="126" spans="1:9" ht="15.75" hidden="1" customHeight="1" x14ac:dyDescent="0.25">
      <c r="B126" s="58"/>
      <c r="C126" s="11">
        <v>1</v>
      </c>
      <c r="D126" s="11"/>
      <c r="E126" s="79"/>
      <c r="F126" s="80"/>
      <c r="G126" s="11"/>
      <c r="H126" s="76">
        <v>0</v>
      </c>
      <c r="I126" s="11"/>
    </row>
    <row r="127" spans="1:9" ht="15.75" hidden="1" customHeight="1" x14ac:dyDescent="0.25">
      <c r="B127" s="58"/>
      <c r="C127" s="11">
        <v>9</v>
      </c>
      <c r="D127" s="11"/>
      <c r="E127" s="79"/>
      <c r="F127" s="80"/>
      <c r="G127" s="11"/>
      <c r="H127" s="76">
        <v>9</v>
      </c>
      <c r="I127" s="11"/>
    </row>
    <row r="128" spans="1:9" ht="15.75" hidden="1" customHeight="1" x14ac:dyDescent="0.25">
      <c r="A128" s="66"/>
      <c r="B128" s="58"/>
      <c r="C128" s="11">
        <v>0.5</v>
      </c>
      <c r="D128" s="11"/>
      <c r="E128" s="79"/>
      <c r="F128" s="80"/>
      <c r="G128" s="11"/>
      <c r="H128" s="76">
        <v>0</v>
      </c>
      <c r="I128" s="11"/>
    </row>
    <row r="129" spans="1:10" ht="15.75" hidden="1" customHeight="1" x14ac:dyDescent="0.25">
      <c r="A129" s="66"/>
      <c r="B129" s="58"/>
      <c r="C129" s="11">
        <v>1</v>
      </c>
      <c r="D129" s="11"/>
      <c r="E129" s="79"/>
      <c r="F129" s="80"/>
      <c r="G129" s="11"/>
      <c r="H129" s="76">
        <v>1</v>
      </c>
      <c r="I129" s="11"/>
    </row>
    <row r="130" spans="1:10" ht="15.75" hidden="1" customHeight="1" x14ac:dyDescent="0.25">
      <c r="A130" s="66"/>
      <c r="B130" s="58"/>
      <c r="C130" s="11">
        <v>2</v>
      </c>
      <c r="D130" s="11"/>
      <c r="E130" s="79"/>
      <c r="F130" s="80"/>
      <c r="G130" s="11"/>
      <c r="H130" s="76">
        <v>2</v>
      </c>
      <c r="I130" s="11"/>
    </row>
    <row r="131" spans="1:10" ht="15.75" hidden="1" customHeight="1" x14ac:dyDescent="0.25">
      <c r="B131" s="58"/>
      <c r="C131" s="11">
        <v>2</v>
      </c>
      <c r="D131" s="11"/>
      <c r="E131" s="79"/>
      <c r="F131" s="80"/>
      <c r="G131" s="11"/>
      <c r="H131" s="76">
        <v>2</v>
      </c>
      <c r="I131" s="11"/>
    </row>
    <row r="132" spans="1:10" x14ac:dyDescent="0.25">
      <c r="A132"/>
      <c r="B132" s="4"/>
      <c r="C132"/>
      <c r="D132" s="4"/>
      <c r="E132" s="4"/>
      <c r="G132" s="4"/>
      <c r="H132" s="3"/>
    </row>
    <row r="133" spans="1:10" x14ac:dyDescent="0.25">
      <c r="A133"/>
      <c r="B133" s="4"/>
      <c r="C133"/>
      <c r="D133" s="4"/>
      <c r="E133" s="4"/>
      <c r="G133" s="4"/>
      <c r="H133" s="3"/>
    </row>
    <row r="134" spans="1:10" s="3" customFormat="1" x14ac:dyDescent="0.25">
      <c r="A134"/>
      <c r="B134" s="4"/>
      <c r="C134"/>
      <c r="D134" s="4"/>
      <c r="E134" s="4"/>
      <c r="G134" s="4"/>
      <c r="J134"/>
    </row>
    <row r="135" spans="1:10" s="3" customFormat="1" x14ac:dyDescent="0.25">
      <c r="A135"/>
      <c r="B135" s="4"/>
      <c r="C135"/>
      <c r="D135" s="4"/>
      <c r="E135" s="4"/>
      <c r="G135" s="4"/>
      <c r="J135"/>
    </row>
    <row r="136" spans="1:10" s="3" customFormat="1" x14ac:dyDescent="0.25">
      <c r="A136"/>
      <c r="B136" s="4"/>
      <c r="C136"/>
      <c r="D136" s="4"/>
      <c r="E136" s="4"/>
      <c r="G136" s="4"/>
      <c r="J136"/>
    </row>
    <row r="137" spans="1:10" s="3" customFormat="1" x14ac:dyDescent="0.25">
      <c r="A137"/>
      <c r="B137" s="4"/>
      <c r="C137"/>
      <c r="D137" s="4"/>
      <c r="E137" s="4"/>
      <c r="G137" s="4"/>
      <c r="J137"/>
    </row>
    <row r="138" spans="1:10" s="3" customFormat="1" x14ac:dyDescent="0.25">
      <c r="A138"/>
      <c r="B138" s="4"/>
      <c r="C138"/>
      <c r="D138" s="4"/>
      <c r="E138" s="4"/>
      <c r="G138" s="4"/>
      <c r="J138"/>
    </row>
    <row r="139" spans="1:10" s="3" customFormat="1" x14ac:dyDescent="0.25">
      <c r="A139"/>
      <c r="B139" s="4"/>
      <c r="C139"/>
      <c r="D139" s="4"/>
      <c r="E139" s="4"/>
      <c r="G139" s="4"/>
      <c r="J139"/>
    </row>
    <row r="140" spans="1:10" s="3" customFormat="1" x14ac:dyDescent="0.25">
      <c r="A140"/>
      <c r="B140" s="4"/>
      <c r="C140"/>
      <c r="D140" s="4"/>
      <c r="E140" s="4"/>
      <c r="G140" s="4"/>
      <c r="J140"/>
    </row>
    <row r="141" spans="1:10" s="3" customFormat="1" x14ac:dyDescent="0.25">
      <c r="A141"/>
      <c r="B141" s="4"/>
      <c r="C141"/>
      <c r="D141" s="4"/>
      <c r="E141" s="4"/>
      <c r="G141" s="4"/>
      <c r="J141"/>
    </row>
    <row r="142" spans="1:10" s="3" customFormat="1" x14ac:dyDescent="0.25">
      <c r="A142"/>
      <c r="B142" s="4"/>
      <c r="C142"/>
      <c r="D142" s="4"/>
      <c r="E142" s="4"/>
      <c r="G142" s="4"/>
      <c r="J142"/>
    </row>
    <row r="143" spans="1:10" s="3" customFormat="1" x14ac:dyDescent="0.25">
      <c r="A143"/>
      <c r="B143" s="4"/>
      <c r="C143"/>
      <c r="D143" s="4"/>
      <c r="E143" s="4"/>
      <c r="G143" s="4"/>
      <c r="J143"/>
    </row>
    <row r="144" spans="1:10" s="3" customFormat="1" x14ac:dyDescent="0.25">
      <c r="A144"/>
      <c r="B144" s="4"/>
      <c r="C144"/>
      <c r="D144" s="4"/>
      <c r="E144" s="4"/>
      <c r="G144" s="4"/>
      <c r="J144"/>
    </row>
    <row r="145" spans="1:10" s="3" customFormat="1" x14ac:dyDescent="0.25">
      <c r="A145"/>
      <c r="B145" s="4"/>
      <c r="C145"/>
      <c r="D145" s="4"/>
      <c r="E145" s="4"/>
      <c r="G145" s="4"/>
      <c r="J145"/>
    </row>
    <row r="146" spans="1:10" s="3" customFormat="1" x14ac:dyDescent="0.25">
      <c r="A146"/>
      <c r="B146" s="4"/>
      <c r="C146"/>
      <c r="D146" s="4"/>
      <c r="E146" s="4"/>
      <c r="G146" s="4"/>
      <c r="J146"/>
    </row>
    <row r="147" spans="1:10" s="3" customFormat="1" x14ac:dyDescent="0.25">
      <c r="A147"/>
      <c r="B147" s="4"/>
      <c r="C147"/>
      <c r="D147" s="4"/>
      <c r="E147" s="4"/>
      <c r="G147" s="4"/>
      <c r="J147"/>
    </row>
    <row r="148" spans="1:10" s="3" customFormat="1" x14ac:dyDescent="0.25">
      <c r="A148"/>
      <c r="B148" s="4"/>
      <c r="C148"/>
      <c r="D148" s="4"/>
      <c r="E148" s="4"/>
      <c r="G148" s="4"/>
      <c r="J148"/>
    </row>
    <row r="149" spans="1:10" s="3" customFormat="1" x14ac:dyDescent="0.25">
      <c r="A149"/>
      <c r="B149" s="4"/>
      <c r="C149"/>
      <c r="D149" s="4"/>
      <c r="E149" s="4"/>
      <c r="G149" s="4"/>
      <c r="J149"/>
    </row>
    <row r="150" spans="1:10" s="3" customFormat="1" x14ac:dyDescent="0.25">
      <c r="A150"/>
      <c r="B150" s="4"/>
      <c r="C150"/>
      <c r="D150" s="4"/>
      <c r="E150" s="4"/>
      <c r="G150" s="4"/>
      <c r="J150"/>
    </row>
    <row r="151" spans="1:10" s="3" customFormat="1" x14ac:dyDescent="0.25">
      <c r="A151"/>
      <c r="B151" s="4"/>
      <c r="C151"/>
      <c r="D151" s="4"/>
      <c r="E151" s="4"/>
      <c r="G151" s="4"/>
      <c r="J151"/>
    </row>
    <row r="152" spans="1:10" s="3" customFormat="1" x14ac:dyDescent="0.25">
      <c r="A152"/>
      <c r="B152" s="4"/>
      <c r="C152"/>
      <c r="D152" s="4"/>
      <c r="E152" s="4"/>
      <c r="G152" s="4"/>
      <c r="J152"/>
    </row>
    <row r="153" spans="1:10" s="3" customFormat="1" x14ac:dyDescent="0.25">
      <c r="A153"/>
      <c r="B153" s="4"/>
      <c r="C153"/>
      <c r="D153" s="4"/>
      <c r="E153" s="4"/>
      <c r="G153" s="4"/>
      <c r="J153"/>
    </row>
    <row r="154" spans="1:10" s="3" customFormat="1" x14ac:dyDescent="0.25">
      <c r="A154"/>
      <c r="B154" s="4"/>
      <c r="C154"/>
      <c r="D154" s="4"/>
      <c r="E154" s="4"/>
      <c r="G154" s="4"/>
      <c r="J154"/>
    </row>
    <row r="155" spans="1:10" s="3" customFormat="1" x14ac:dyDescent="0.25">
      <c r="A155"/>
      <c r="B155" s="4"/>
      <c r="C155"/>
      <c r="D155" s="4"/>
      <c r="E155" s="4"/>
      <c r="G155" s="4"/>
      <c r="J155"/>
    </row>
    <row r="156" spans="1:10" s="3" customFormat="1" x14ac:dyDescent="0.25">
      <c r="A156"/>
      <c r="B156" s="4"/>
      <c r="C156"/>
      <c r="D156" s="4"/>
      <c r="E156" s="4"/>
      <c r="G156" s="4"/>
      <c r="J156"/>
    </row>
    <row r="157" spans="1:10" s="3" customFormat="1" x14ac:dyDescent="0.25">
      <c r="A157"/>
      <c r="B157" s="4"/>
      <c r="C157"/>
      <c r="D157" s="4"/>
      <c r="E157" s="4"/>
      <c r="G157" s="4"/>
      <c r="J157"/>
    </row>
    <row r="158" spans="1:10" s="3" customFormat="1" x14ac:dyDescent="0.25">
      <c r="A158"/>
      <c r="B158" s="4"/>
      <c r="C158"/>
      <c r="D158" s="4"/>
      <c r="E158" s="4"/>
      <c r="G158" s="4"/>
      <c r="J158"/>
    </row>
    <row r="159" spans="1:10" s="3" customFormat="1" x14ac:dyDescent="0.25">
      <c r="A159"/>
      <c r="B159" s="4"/>
      <c r="C159"/>
      <c r="D159" s="4"/>
      <c r="E159" s="4"/>
      <c r="G159" s="4"/>
      <c r="J159"/>
    </row>
    <row r="160" spans="1:10" s="3" customFormat="1" x14ac:dyDescent="0.25">
      <c r="A160"/>
      <c r="B160" s="4"/>
      <c r="C160"/>
      <c r="D160" s="4"/>
      <c r="E160" s="4"/>
      <c r="G160" s="4"/>
      <c r="J160"/>
    </row>
    <row r="161" spans="1:10" s="3" customFormat="1" x14ac:dyDescent="0.25">
      <c r="A161"/>
      <c r="B161" s="4"/>
      <c r="C161"/>
      <c r="D161" s="4"/>
      <c r="E161" s="4"/>
      <c r="G161" s="4"/>
      <c r="J161"/>
    </row>
    <row r="162" spans="1:10" s="3" customFormat="1" x14ac:dyDescent="0.25">
      <c r="A162"/>
      <c r="B162" s="4"/>
      <c r="C162"/>
      <c r="D162" s="4"/>
      <c r="E162" s="4"/>
      <c r="G162" s="4"/>
      <c r="J162"/>
    </row>
    <row r="163" spans="1:10" s="3" customFormat="1" x14ac:dyDescent="0.25">
      <c r="A163"/>
      <c r="B163" s="4"/>
      <c r="C163"/>
      <c r="D163" s="4"/>
      <c r="E163" s="4"/>
      <c r="G163" s="4"/>
      <c r="J163"/>
    </row>
    <row r="164" spans="1:10" s="3" customFormat="1" x14ac:dyDescent="0.25">
      <c r="A164"/>
      <c r="B164" s="4"/>
      <c r="C164"/>
      <c r="D164" s="4"/>
      <c r="E164" s="4"/>
      <c r="G164" s="4"/>
      <c r="J164"/>
    </row>
    <row r="165" spans="1:10" s="3" customFormat="1" x14ac:dyDescent="0.25">
      <c r="A165"/>
      <c r="B165" s="4"/>
      <c r="C165"/>
      <c r="D165" s="4"/>
      <c r="E165" s="4"/>
      <c r="G165" s="4"/>
      <c r="J165"/>
    </row>
    <row r="166" spans="1:10" s="3" customFormat="1" x14ac:dyDescent="0.25">
      <c r="A166"/>
      <c r="B166" s="4"/>
      <c r="C166"/>
      <c r="D166" s="4"/>
      <c r="E166" s="4"/>
      <c r="G166" s="4"/>
      <c r="J166"/>
    </row>
    <row r="167" spans="1:10" s="3" customFormat="1" x14ac:dyDescent="0.25">
      <c r="A167"/>
      <c r="B167" s="4"/>
      <c r="C167"/>
      <c r="D167" s="4"/>
      <c r="E167" s="4"/>
      <c r="G167" s="4"/>
      <c r="J167"/>
    </row>
    <row r="168" spans="1:10" s="3" customFormat="1" x14ac:dyDescent="0.25">
      <c r="A168"/>
      <c r="B168" s="4"/>
      <c r="C168"/>
      <c r="D168" s="4"/>
      <c r="E168" s="4"/>
      <c r="G168" s="4"/>
      <c r="J168"/>
    </row>
    <row r="169" spans="1:10" s="3" customFormat="1" x14ac:dyDescent="0.25">
      <c r="A169"/>
      <c r="B169" s="4"/>
      <c r="C169"/>
      <c r="D169" s="4"/>
      <c r="E169" s="4"/>
      <c r="G169" s="4"/>
      <c r="J169"/>
    </row>
    <row r="170" spans="1:10" s="3" customFormat="1" x14ac:dyDescent="0.25">
      <c r="A170"/>
      <c r="B170" s="4"/>
      <c r="C170"/>
      <c r="D170" s="4"/>
      <c r="E170" s="4"/>
      <c r="G170" s="4"/>
      <c r="J170"/>
    </row>
    <row r="171" spans="1:10" s="3" customFormat="1" x14ac:dyDescent="0.25">
      <c r="A171"/>
      <c r="B171" s="4"/>
      <c r="C171"/>
      <c r="D171" s="4"/>
      <c r="E171" s="4"/>
      <c r="G171" s="4"/>
      <c r="J171"/>
    </row>
    <row r="172" spans="1:10" s="3" customFormat="1" x14ac:dyDescent="0.25">
      <c r="A172"/>
      <c r="B172" s="4"/>
      <c r="C172"/>
      <c r="D172" s="4"/>
      <c r="E172" s="4"/>
      <c r="G172" s="4"/>
      <c r="J172"/>
    </row>
    <row r="173" spans="1:10" s="3" customFormat="1" x14ac:dyDescent="0.25">
      <c r="A173"/>
      <c r="B173" s="4"/>
      <c r="C173"/>
      <c r="D173" s="4"/>
      <c r="E173" s="4"/>
      <c r="G173" s="4"/>
      <c r="J173"/>
    </row>
    <row r="174" spans="1:10" s="3" customFormat="1" x14ac:dyDescent="0.25">
      <c r="A174"/>
      <c r="B174" s="4"/>
      <c r="C174"/>
      <c r="D174" s="4"/>
      <c r="E174" s="4"/>
      <c r="G174" s="4"/>
      <c r="J174"/>
    </row>
    <row r="175" spans="1:10" s="3" customFormat="1" x14ac:dyDescent="0.25">
      <c r="A175"/>
      <c r="B175" s="4"/>
      <c r="C175"/>
      <c r="D175" s="4"/>
      <c r="E175" s="4"/>
      <c r="G175" s="4"/>
      <c r="J175"/>
    </row>
    <row r="176" spans="1:10" s="3" customFormat="1" x14ac:dyDescent="0.25">
      <c r="A176"/>
      <c r="B176" s="4"/>
      <c r="C176"/>
      <c r="D176" s="4"/>
      <c r="E176" s="4"/>
      <c r="G176" s="4"/>
      <c r="J176"/>
    </row>
    <row r="177" spans="1:10" s="3" customFormat="1" x14ac:dyDescent="0.25">
      <c r="A177"/>
      <c r="B177" s="4"/>
      <c r="C177"/>
      <c r="D177" s="4"/>
      <c r="E177" s="4"/>
      <c r="G177" s="4"/>
      <c r="J177"/>
    </row>
    <row r="178" spans="1:10" s="3" customFormat="1" x14ac:dyDescent="0.25">
      <c r="A178"/>
      <c r="B178" s="4"/>
      <c r="C178"/>
      <c r="D178" s="4"/>
      <c r="E178" s="4"/>
      <c r="G178" s="4"/>
      <c r="J178"/>
    </row>
    <row r="179" spans="1:10" s="3" customFormat="1" x14ac:dyDescent="0.25">
      <c r="A179"/>
      <c r="B179" s="4"/>
      <c r="C179"/>
      <c r="D179" s="4"/>
      <c r="E179" s="4"/>
      <c r="G179" s="4"/>
      <c r="J179"/>
    </row>
    <row r="180" spans="1:10" s="3" customFormat="1" x14ac:dyDescent="0.25">
      <c r="A180"/>
      <c r="B180" s="4"/>
      <c r="C180"/>
      <c r="D180" s="4"/>
      <c r="E180" s="4"/>
      <c r="G180" s="4"/>
      <c r="J180"/>
    </row>
    <row r="181" spans="1:10" s="3" customFormat="1" x14ac:dyDescent="0.25">
      <c r="A181"/>
      <c r="B181" s="4"/>
      <c r="C181"/>
      <c r="D181" s="4"/>
      <c r="E181" s="4"/>
      <c r="G181" s="4"/>
      <c r="J181"/>
    </row>
    <row r="182" spans="1:10" s="3" customFormat="1" x14ac:dyDescent="0.25">
      <c r="A182"/>
      <c r="B182" s="4"/>
      <c r="C182"/>
      <c r="D182" s="4"/>
      <c r="E182" s="4"/>
      <c r="G182" s="4"/>
      <c r="J182"/>
    </row>
    <row r="183" spans="1:10" s="3" customFormat="1" x14ac:dyDescent="0.25">
      <c r="A183"/>
      <c r="B183" s="4"/>
      <c r="C183"/>
      <c r="D183" s="4"/>
      <c r="E183" s="4"/>
      <c r="G183" s="4"/>
      <c r="J183"/>
    </row>
    <row r="184" spans="1:10" s="3" customFormat="1" x14ac:dyDescent="0.25">
      <c r="A184"/>
      <c r="B184" s="4"/>
      <c r="C184"/>
      <c r="D184" s="4"/>
      <c r="E184" s="4"/>
      <c r="G184" s="4"/>
      <c r="J184"/>
    </row>
    <row r="185" spans="1:10" s="3" customFormat="1" x14ac:dyDescent="0.25">
      <c r="A185"/>
      <c r="B185" s="4"/>
      <c r="C185"/>
      <c r="D185" s="4"/>
      <c r="E185" s="4"/>
      <c r="G185" s="4"/>
      <c r="J185"/>
    </row>
    <row r="186" spans="1:10" s="3" customFormat="1" x14ac:dyDescent="0.25">
      <c r="A186"/>
      <c r="B186" s="4"/>
      <c r="C186"/>
      <c r="D186" s="4"/>
      <c r="E186" s="4"/>
      <c r="G186" s="4"/>
      <c r="J186"/>
    </row>
    <row r="187" spans="1:10" s="3" customFormat="1" x14ac:dyDescent="0.25">
      <c r="A187"/>
      <c r="B187" s="4"/>
      <c r="C187"/>
      <c r="D187" s="4"/>
      <c r="E187" s="4"/>
      <c r="G187" s="4"/>
      <c r="J187"/>
    </row>
    <row r="188" spans="1:10" s="3" customFormat="1" x14ac:dyDescent="0.25">
      <c r="A188"/>
      <c r="B188" s="4"/>
      <c r="C188"/>
      <c r="D188" s="4"/>
      <c r="E188" s="4"/>
      <c r="G188" s="4"/>
      <c r="J188"/>
    </row>
    <row r="189" spans="1:10" s="3" customFormat="1" x14ac:dyDescent="0.25">
      <c r="A189"/>
      <c r="B189" s="4"/>
      <c r="C189"/>
      <c r="D189" s="4"/>
      <c r="E189" s="4"/>
      <c r="G189" s="4"/>
      <c r="J189"/>
    </row>
    <row r="190" spans="1:10" s="3" customFormat="1" x14ac:dyDescent="0.25">
      <c r="A190"/>
      <c r="B190" s="4"/>
      <c r="C190"/>
      <c r="D190" s="4"/>
      <c r="E190" s="4"/>
      <c r="G190" s="4"/>
      <c r="J190"/>
    </row>
    <row r="191" spans="1:10" s="3" customFormat="1" x14ac:dyDescent="0.25">
      <c r="A191"/>
      <c r="B191" s="4"/>
      <c r="C191"/>
      <c r="D191" s="4"/>
      <c r="E191" s="4"/>
      <c r="G191" s="4"/>
      <c r="J191"/>
    </row>
    <row r="192" spans="1:10" s="3" customFormat="1" x14ac:dyDescent="0.25">
      <c r="A192"/>
      <c r="B192" s="4"/>
      <c r="C192"/>
      <c r="D192" s="4"/>
      <c r="E192" s="4"/>
      <c r="G192" s="4"/>
      <c r="J192"/>
    </row>
    <row r="193" spans="1:10" s="3" customFormat="1" x14ac:dyDescent="0.25">
      <c r="A193"/>
      <c r="B193" s="4"/>
      <c r="C193"/>
      <c r="D193" s="4"/>
      <c r="E193" s="4"/>
      <c r="G193" s="4"/>
      <c r="J193"/>
    </row>
    <row r="194" spans="1:10" s="3" customFormat="1" x14ac:dyDescent="0.25">
      <c r="A194"/>
      <c r="B194" s="4"/>
      <c r="C194"/>
      <c r="D194" s="4"/>
      <c r="E194" s="4"/>
      <c r="G194" s="4"/>
      <c r="J194"/>
    </row>
    <row r="195" spans="1:10" s="3" customFormat="1" x14ac:dyDescent="0.25">
      <c r="A195"/>
      <c r="B195" s="4"/>
      <c r="C195"/>
      <c r="D195" s="4"/>
      <c r="E195" s="4"/>
      <c r="G195" s="4"/>
      <c r="J195"/>
    </row>
    <row r="196" spans="1:10" s="3" customFormat="1" x14ac:dyDescent="0.25">
      <c r="A196"/>
      <c r="B196" s="4"/>
      <c r="C196"/>
      <c r="D196" s="4"/>
      <c r="E196" s="4"/>
      <c r="G196" s="4"/>
      <c r="J196"/>
    </row>
    <row r="197" spans="1:10" s="3" customFormat="1" x14ac:dyDescent="0.25">
      <c r="A197"/>
      <c r="B197" s="4"/>
      <c r="C197"/>
      <c r="D197" s="4"/>
      <c r="E197" s="4"/>
      <c r="G197" s="4"/>
      <c r="J197"/>
    </row>
    <row r="198" spans="1:10" s="3" customFormat="1" x14ac:dyDescent="0.25">
      <c r="A198"/>
      <c r="B198" s="4"/>
      <c r="C198"/>
      <c r="D198" s="4"/>
      <c r="E198" s="4"/>
      <c r="G198" s="4"/>
      <c r="J198"/>
    </row>
    <row r="199" spans="1:10" s="3" customFormat="1" x14ac:dyDescent="0.25">
      <c r="A199"/>
      <c r="B199" s="4"/>
      <c r="C199"/>
      <c r="D199" s="4"/>
      <c r="E199" s="4"/>
      <c r="G199" s="4"/>
      <c r="J199"/>
    </row>
    <row r="200" spans="1:10" s="3" customFormat="1" x14ac:dyDescent="0.25">
      <c r="A200"/>
      <c r="B200" s="4"/>
      <c r="C200"/>
      <c r="D200" s="4"/>
      <c r="E200" s="4"/>
      <c r="G200" s="4"/>
      <c r="J200"/>
    </row>
    <row r="201" spans="1:10" s="3" customFormat="1" x14ac:dyDescent="0.25">
      <c r="A201"/>
      <c r="B201" s="4"/>
      <c r="C201"/>
      <c r="D201" s="4"/>
      <c r="E201" s="4"/>
      <c r="G201" s="4"/>
      <c r="J201"/>
    </row>
    <row r="202" spans="1:10" s="3" customFormat="1" x14ac:dyDescent="0.25">
      <c r="A202"/>
      <c r="B202" s="4"/>
      <c r="C202"/>
      <c r="D202" s="4"/>
      <c r="E202" s="4"/>
      <c r="G202" s="4"/>
      <c r="J202"/>
    </row>
    <row r="203" spans="1:10" s="3" customFormat="1" x14ac:dyDescent="0.25">
      <c r="A203"/>
      <c r="B203" s="4"/>
      <c r="C203"/>
      <c r="D203" s="4"/>
      <c r="E203" s="4"/>
      <c r="G203" s="4"/>
      <c r="J203"/>
    </row>
    <row r="204" spans="1:10" s="3" customFormat="1" x14ac:dyDescent="0.25">
      <c r="A204"/>
      <c r="B204" s="4"/>
      <c r="C204"/>
      <c r="D204" s="4"/>
      <c r="E204" s="4"/>
      <c r="G204" s="4"/>
      <c r="J204"/>
    </row>
    <row r="205" spans="1:10" s="3" customFormat="1" x14ac:dyDescent="0.25">
      <c r="A205"/>
      <c r="B205" s="4"/>
      <c r="C205"/>
      <c r="D205" s="4"/>
      <c r="E205" s="4"/>
      <c r="G205" s="4"/>
      <c r="J205"/>
    </row>
    <row r="206" spans="1:10" s="3" customFormat="1" x14ac:dyDescent="0.25">
      <c r="A206"/>
      <c r="B206" s="4"/>
      <c r="C206"/>
      <c r="D206" s="4"/>
      <c r="E206" s="4"/>
      <c r="G206" s="4"/>
      <c r="J206"/>
    </row>
    <row r="207" spans="1:10" s="3" customFormat="1" x14ac:dyDescent="0.25">
      <c r="A207"/>
      <c r="B207" s="4"/>
      <c r="C207"/>
      <c r="D207" s="4"/>
      <c r="E207" s="4"/>
      <c r="G207" s="4"/>
      <c r="J207"/>
    </row>
    <row r="208" spans="1:10" s="3" customFormat="1" x14ac:dyDescent="0.25">
      <c r="A208"/>
      <c r="B208" s="4"/>
      <c r="C208"/>
      <c r="D208" s="4"/>
      <c r="E208" s="4"/>
      <c r="G208" s="4"/>
      <c r="J208"/>
    </row>
    <row r="209" spans="1:10" s="3" customFormat="1" x14ac:dyDescent="0.25">
      <c r="A209"/>
      <c r="B209" s="4"/>
      <c r="C209"/>
      <c r="D209" s="4"/>
      <c r="E209" s="4"/>
      <c r="G209" s="4"/>
      <c r="J209"/>
    </row>
    <row r="210" spans="1:10" s="3" customFormat="1" x14ac:dyDescent="0.25">
      <c r="A210"/>
      <c r="B210" s="4"/>
      <c r="C210"/>
      <c r="D210" s="4"/>
      <c r="E210" s="4"/>
      <c r="G210" s="4"/>
      <c r="J210"/>
    </row>
    <row r="211" spans="1:10" s="3" customFormat="1" x14ac:dyDescent="0.25">
      <c r="A211"/>
      <c r="B211" s="4"/>
      <c r="C211"/>
      <c r="D211" s="4"/>
      <c r="E211" s="4"/>
      <c r="G211" s="4"/>
      <c r="J211"/>
    </row>
    <row r="212" spans="1:10" s="3" customFormat="1" x14ac:dyDescent="0.25">
      <c r="A212"/>
      <c r="B212" s="4"/>
      <c r="C212"/>
      <c r="D212" s="4"/>
      <c r="E212" s="4"/>
      <c r="G212" s="4"/>
      <c r="J212"/>
    </row>
    <row r="213" spans="1:10" s="3" customFormat="1" x14ac:dyDescent="0.25">
      <c r="A213"/>
      <c r="B213" s="4"/>
      <c r="C213"/>
      <c r="D213" s="4"/>
      <c r="E213" s="4"/>
      <c r="G213" s="4"/>
      <c r="J213"/>
    </row>
    <row r="214" spans="1:10" s="3" customFormat="1" x14ac:dyDescent="0.25">
      <c r="A214"/>
      <c r="B214" s="4"/>
      <c r="C214"/>
      <c r="D214" s="4"/>
      <c r="E214" s="4"/>
      <c r="G214" s="4"/>
      <c r="J214"/>
    </row>
    <row r="215" spans="1:10" s="3" customFormat="1" x14ac:dyDescent="0.25">
      <c r="A215"/>
      <c r="B215" s="4"/>
      <c r="C215"/>
      <c r="D215" s="4"/>
      <c r="E215" s="4"/>
      <c r="G215" s="4"/>
      <c r="J215"/>
    </row>
    <row r="216" spans="1:10" s="3" customFormat="1" x14ac:dyDescent="0.25">
      <c r="A216"/>
      <c r="B216" s="4"/>
      <c r="C216"/>
      <c r="D216" s="4"/>
      <c r="E216" s="4"/>
      <c r="G216" s="4"/>
      <c r="J216"/>
    </row>
    <row r="217" spans="1:10" s="3" customFormat="1" x14ac:dyDescent="0.25">
      <c r="A217"/>
      <c r="B217" s="4"/>
      <c r="C217"/>
      <c r="D217" s="4"/>
      <c r="E217" s="4"/>
      <c r="G217" s="4"/>
      <c r="J217"/>
    </row>
    <row r="218" spans="1:10" s="3" customFormat="1" x14ac:dyDescent="0.25">
      <c r="A218"/>
      <c r="B218" s="4"/>
      <c r="C218"/>
      <c r="D218" s="4"/>
      <c r="E218" s="4"/>
      <c r="G218" s="4"/>
      <c r="J218"/>
    </row>
    <row r="219" spans="1:10" s="3" customFormat="1" x14ac:dyDescent="0.25">
      <c r="A219"/>
      <c r="B219" s="4"/>
      <c r="C219"/>
      <c r="D219" s="4"/>
      <c r="E219" s="4"/>
      <c r="G219" s="4"/>
      <c r="J219"/>
    </row>
    <row r="220" spans="1:10" s="3" customFormat="1" x14ac:dyDescent="0.25">
      <c r="A220"/>
      <c r="B220" s="4"/>
      <c r="C220"/>
      <c r="D220" s="4"/>
      <c r="E220" s="4"/>
      <c r="G220" s="4"/>
      <c r="J220"/>
    </row>
    <row r="221" spans="1:10" s="3" customFormat="1" x14ac:dyDescent="0.25">
      <c r="A221"/>
      <c r="B221" s="4"/>
      <c r="C221"/>
      <c r="D221" s="4"/>
      <c r="E221" s="4"/>
      <c r="G221" s="4"/>
      <c r="J221"/>
    </row>
    <row r="222" spans="1:10" s="3" customFormat="1" x14ac:dyDescent="0.25">
      <c r="A222"/>
      <c r="B222" s="4"/>
      <c r="C222"/>
      <c r="D222" s="4"/>
      <c r="E222" s="4"/>
      <c r="G222" s="4"/>
      <c r="J222"/>
    </row>
    <row r="223" spans="1:10" s="3" customFormat="1" x14ac:dyDescent="0.25">
      <c r="A223"/>
      <c r="B223" s="4"/>
      <c r="C223"/>
      <c r="D223" s="4"/>
      <c r="E223" s="4"/>
      <c r="G223" s="4"/>
      <c r="J223"/>
    </row>
    <row r="224" spans="1:10" s="3" customFormat="1" x14ac:dyDescent="0.25">
      <c r="A224"/>
      <c r="B224" s="4"/>
      <c r="C224"/>
      <c r="D224" s="4"/>
      <c r="E224" s="4"/>
      <c r="G224" s="4"/>
      <c r="J224"/>
    </row>
    <row r="225" spans="1:10" s="3" customFormat="1" x14ac:dyDescent="0.25">
      <c r="A225"/>
      <c r="B225" s="4"/>
      <c r="C225"/>
      <c r="D225" s="4"/>
      <c r="E225" s="4"/>
      <c r="G225" s="4"/>
      <c r="J225"/>
    </row>
    <row r="226" spans="1:10" s="3" customFormat="1" x14ac:dyDescent="0.25">
      <c r="A226"/>
      <c r="B226" s="4"/>
      <c r="C226"/>
      <c r="D226" s="4"/>
      <c r="E226" s="4"/>
      <c r="G226" s="4"/>
      <c r="J226"/>
    </row>
    <row r="227" spans="1:10" s="3" customFormat="1" x14ac:dyDescent="0.25">
      <c r="A227"/>
      <c r="B227" s="4"/>
      <c r="C227"/>
      <c r="D227" s="4"/>
      <c r="E227" s="4"/>
      <c r="G227" s="4"/>
      <c r="J227"/>
    </row>
    <row r="228" spans="1:10" s="3" customFormat="1" x14ac:dyDescent="0.25">
      <c r="A228"/>
      <c r="B228" s="4"/>
      <c r="C228"/>
      <c r="D228" s="4"/>
      <c r="E228" s="4"/>
      <c r="G228" s="4"/>
      <c r="J228"/>
    </row>
    <row r="229" spans="1:10" s="3" customFormat="1" x14ac:dyDescent="0.25">
      <c r="A229"/>
      <c r="B229" s="4"/>
      <c r="C229"/>
      <c r="D229" s="4"/>
      <c r="E229" s="4"/>
      <c r="G229" s="4"/>
      <c r="J229"/>
    </row>
    <row r="230" spans="1:10" s="3" customFormat="1" x14ac:dyDescent="0.25">
      <c r="A230"/>
      <c r="B230" s="4"/>
      <c r="C230"/>
      <c r="D230" s="4"/>
      <c r="E230" s="4"/>
      <c r="G230" s="4"/>
      <c r="J230"/>
    </row>
    <row r="231" spans="1:10" s="3" customFormat="1" x14ac:dyDescent="0.25">
      <c r="A231"/>
      <c r="B231" s="4"/>
      <c r="C231"/>
      <c r="D231" s="4"/>
      <c r="E231" s="4"/>
      <c r="G231" s="4"/>
      <c r="J231"/>
    </row>
    <row r="232" spans="1:10" s="3" customFormat="1" x14ac:dyDescent="0.25">
      <c r="A232"/>
      <c r="B232" s="4"/>
      <c r="C232"/>
      <c r="D232" s="4"/>
      <c r="E232" s="4"/>
      <c r="G232" s="4"/>
      <c r="J232"/>
    </row>
    <row r="233" spans="1:10" s="3" customFormat="1" x14ac:dyDescent="0.25">
      <c r="A233"/>
      <c r="B233" s="4"/>
      <c r="C233"/>
      <c r="D233" s="4"/>
      <c r="E233" s="4"/>
      <c r="G233" s="4"/>
      <c r="J233"/>
    </row>
    <row r="234" spans="1:10" s="3" customFormat="1" x14ac:dyDescent="0.25">
      <c r="A234"/>
      <c r="B234" s="4"/>
      <c r="C234"/>
      <c r="D234" s="4"/>
      <c r="E234" s="4"/>
      <c r="G234" s="4"/>
      <c r="J234"/>
    </row>
    <row r="235" spans="1:10" s="3" customFormat="1" x14ac:dyDescent="0.25">
      <c r="A235"/>
      <c r="B235" s="4"/>
      <c r="C235"/>
      <c r="D235" s="4"/>
      <c r="E235" s="4"/>
      <c r="G235" s="4"/>
      <c r="J235"/>
    </row>
    <row r="236" spans="1:10" s="3" customFormat="1" x14ac:dyDescent="0.25">
      <c r="A236"/>
      <c r="B236" s="4"/>
      <c r="C236"/>
      <c r="D236" s="4"/>
      <c r="E236" s="4"/>
      <c r="G236" s="4"/>
      <c r="J236"/>
    </row>
    <row r="237" spans="1:10" s="3" customFormat="1" x14ac:dyDescent="0.25">
      <c r="A237"/>
      <c r="B237" s="4"/>
      <c r="C237"/>
      <c r="D237" s="4"/>
      <c r="E237" s="4"/>
      <c r="G237" s="4"/>
      <c r="J237"/>
    </row>
    <row r="238" spans="1:10" s="3" customFormat="1" x14ac:dyDescent="0.25">
      <c r="A238"/>
      <c r="B238" s="4"/>
      <c r="C238"/>
      <c r="D238" s="4"/>
      <c r="E238" s="4"/>
      <c r="G238" s="4"/>
      <c r="J238"/>
    </row>
    <row r="239" spans="1:10" s="3" customFormat="1" x14ac:dyDescent="0.25">
      <c r="A239"/>
      <c r="B239" s="4"/>
      <c r="C239"/>
      <c r="D239" s="4"/>
      <c r="E239" s="4"/>
      <c r="G239" s="4"/>
      <c r="J239"/>
    </row>
    <row r="240" spans="1:10" s="3" customFormat="1" x14ac:dyDescent="0.25">
      <c r="A240"/>
      <c r="B240" s="4"/>
      <c r="C240"/>
      <c r="D240" s="4"/>
      <c r="E240" s="4"/>
      <c r="G240" s="4"/>
      <c r="J240"/>
    </row>
    <row r="241" spans="1:10" s="3" customFormat="1" x14ac:dyDescent="0.25">
      <c r="A241"/>
      <c r="B241" s="4"/>
      <c r="C241"/>
      <c r="D241" s="4"/>
      <c r="E241" s="4"/>
      <c r="G241" s="4"/>
      <c r="J241"/>
    </row>
    <row r="242" spans="1:10" s="3" customFormat="1" x14ac:dyDescent="0.25">
      <c r="A242"/>
      <c r="B242" s="4"/>
      <c r="C242"/>
      <c r="D242" s="4"/>
      <c r="E242" s="4"/>
      <c r="G242" s="4"/>
      <c r="J242"/>
    </row>
    <row r="243" spans="1:10" s="3" customFormat="1" x14ac:dyDescent="0.25">
      <c r="A243"/>
      <c r="B243" s="4"/>
      <c r="C243"/>
      <c r="D243" s="4"/>
      <c r="E243" s="4"/>
      <c r="G243" s="4"/>
      <c r="J243"/>
    </row>
    <row r="244" spans="1:10" s="3" customFormat="1" x14ac:dyDescent="0.25">
      <c r="A244"/>
      <c r="B244" s="4"/>
      <c r="C244"/>
      <c r="D244" s="4"/>
      <c r="E244" s="4"/>
      <c r="G244" s="4"/>
      <c r="J244"/>
    </row>
    <row r="245" spans="1:10" s="3" customFormat="1" x14ac:dyDescent="0.25">
      <c r="A245"/>
      <c r="B245" s="4"/>
      <c r="C245"/>
      <c r="D245" s="4"/>
      <c r="E245" s="4"/>
      <c r="G245" s="4"/>
      <c r="J245"/>
    </row>
    <row r="246" spans="1:10" s="3" customFormat="1" x14ac:dyDescent="0.25">
      <c r="A246"/>
      <c r="B246" s="4"/>
      <c r="C246"/>
      <c r="D246" s="4"/>
      <c r="E246" s="4"/>
      <c r="G246" s="4"/>
      <c r="J246"/>
    </row>
    <row r="247" spans="1:10" s="3" customFormat="1" x14ac:dyDescent="0.25">
      <c r="A247"/>
      <c r="B247" s="4"/>
      <c r="C247"/>
      <c r="D247" s="4"/>
      <c r="E247" s="4"/>
      <c r="G247" s="4"/>
      <c r="J247"/>
    </row>
    <row r="248" spans="1:10" s="3" customFormat="1" x14ac:dyDescent="0.25">
      <c r="A248"/>
      <c r="B248" s="4"/>
      <c r="C248"/>
      <c r="D248" s="4"/>
      <c r="E248" s="4"/>
      <c r="G248" s="4"/>
      <c r="J248"/>
    </row>
    <row r="249" spans="1:10" s="3" customFormat="1" x14ac:dyDescent="0.25">
      <c r="A249"/>
      <c r="B249" s="4"/>
      <c r="C249"/>
      <c r="D249" s="4"/>
      <c r="E249" s="4"/>
      <c r="G249" s="4"/>
      <c r="J249"/>
    </row>
    <row r="250" spans="1:10" s="3" customFormat="1" x14ac:dyDescent="0.25">
      <c r="A250"/>
      <c r="B250" s="4"/>
      <c r="C250"/>
      <c r="D250" s="4"/>
      <c r="E250" s="4"/>
      <c r="G250" s="4"/>
      <c r="J250"/>
    </row>
    <row r="251" spans="1:10" s="3" customFormat="1" x14ac:dyDescent="0.25">
      <c r="A251"/>
      <c r="B251" s="4"/>
      <c r="C251"/>
      <c r="D251" s="4"/>
      <c r="E251" s="4"/>
      <c r="G251" s="4"/>
      <c r="J251"/>
    </row>
    <row r="252" spans="1:10" s="3" customFormat="1" x14ac:dyDescent="0.25">
      <c r="A252"/>
      <c r="B252" s="4"/>
      <c r="C252"/>
      <c r="D252" s="4"/>
      <c r="E252" s="4"/>
      <c r="G252" s="4"/>
      <c r="J252"/>
    </row>
    <row r="253" spans="1:10" s="3" customFormat="1" x14ac:dyDescent="0.25">
      <c r="A253"/>
      <c r="B253" s="4"/>
      <c r="C253"/>
      <c r="D253" s="4"/>
      <c r="E253" s="4"/>
      <c r="G253" s="4"/>
      <c r="J253"/>
    </row>
    <row r="254" spans="1:10" s="3" customFormat="1" x14ac:dyDescent="0.25">
      <c r="A254"/>
      <c r="B254" s="4"/>
      <c r="C254"/>
      <c r="D254" s="4"/>
      <c r="E254" s="4"/>
      <c r="G254" s="4"/>
      <c r="J254"/>
    </row>
    <row r="255" spans="1:10" s="3" customFormat="1" x14ac:dyDescent="0.25">
      <c r="A255"/>
      <c r="B255" s="4"/>
      <c r="C255"/>
      <c r="D255" s="4"/>
      <c r="E255" s="4"/>
      <c r="G255" s="4"/>
      <c r="J255"/>
    </row>
    <row r="256" spans="1:10" s="3" customFormat="1" x14ac:dyDescent="0.25">
      <c r="A256"/>
      <c r="B256" s="4"/>
      <c r="C256"/>
      <c r="D256" s="4"/>
      <c r="E256" s="4"/>
      <c r="G256" s="4"/>
      <c r="J256"/>
    </row>
    <row r="257" spans="1:10" s="3" customFormat="1" x14ac:dyDescent="0.25">
      <c r="A257"/>
      <c r="B257" s="4"/>
      <c r="C257"/>
      <c r="D257" s="4"/>
      <c r="E257" s="4"/>
      <c r="G257" s="4"/>
      <c r="J257"/>
    </row>
    <row r="258" spans="1:10" s="3" customFormat="1" x14ac:dyDescent="0.25">
      <c r="A258"/>
      <c r="B258" s="4"/>
      <c r="C258"/>
      <c r="D258" s="4"/>
      <c r="E258" s="4"/>
      <c r="G258" s="4"/>
      <c r="J258"/>
    </row>
    <row r="259" spans="1:10" s="3" customFormat="1" x14ac:dyDescent="0.25">
      <c r="A259"/>
      <c r="B259" s="4"/>
      <c r="C259"/>
      <c r="D259" s="4"/>
      <c r="E259" s="4"/>
      <c r="G259" s="4"/>
      <c r="J259"/>
    </row>
    <row r="260" spans="1:10" s="3" customFormat="1" x14ac:dyDescent="0.25">
      <c r="A260"/>
      <c r="B260" s="4"/>
      <c r="C260"/>
      <c r="D260" s="4"/>
      <c r="E260" s="4"/>
      <c r="G260" s="4"/>
      <c r="J260"/>
    </row>
    <row r="261" spans="1:10" s="3" customFormat="1" x14ac:dyDescent="0.25">
      <c r="A261"/>
      <c r="B261" s="4"/>
      <c r="C261"/>
      <c r="D261" s="4"/>
      <c r="E261" s="4"/>
      <c r="G261" s="4"/>
      <c r="J261"/>
    </row>
    <row r="262" spans="1:10" s="3" customFormat="1" x14ac:dyDescent="0.25">
      <c r="A262"/>
      <c r="B262" s="4"/>
      <c r="C262"/>
      <c r="D262" s="4"/>
      <c r="E262" s="4"/>
      <c r="G262" s="4"/>
      <c r="J262"/>
    </row>
    <row r="263" spans="1:10" s="3" customFormat="1" x14ac:dyDescent="0.25">
      <c r="A263"/>
      <c r="B263" s="4"/>
      <c r="C263"/>
      <c r="D263" s="4"/>
      <c r="E263" s="4"/>
      <c r="G263" s="4"/>
      <c r="J263"/>
    </row>
    <row r="264" spans="1:10" s="3" customFormat="1" x14ac:dyDescent="0.25">
      <c r="A264"/>
      <c r="B264" s="4"/>
      <c r="C264"/>
      <c r="D264" s="4"/>
      <c r="E264" s="4"/>
      <c r="G264" s="4"/>
      <c r="J264"/>
    </row>
    <row r="265" spans="1:10" s="3" customFormat="1" x14ac:dyDescent="0.25">
      <c r="A265"/>
      <c r="B265" s="4"/>
      <c r="C265"/>
      <c r="D265" s="4"/>
      <c r="E265" s="4"/>
      <c r="G265" s="4"/>
      <c r="J265"/>
    </row>
    <row r="266" spans="1:10" s="3" customFormat="1" x14ac:dyDescent="0.25">
      <c r="A266"/>
      <c r="B266" s="4"/>
      <c r="C266"/>
      <c r="D266" s="4"/>
      <c r="E266" s="4"/>
      <c r="G266" s="4"/>
      <c r="J266"/>
    </row>
    <row r="267" spans="1:10" s="3" customFormat="1" x14ac:dyDescent="0.25">
      <c r="A267"/>
      <c r="B267" s="4"/>
      <c r="C267"/>
      <c r="D267" s="4"/>
      <c r="E267" s="4"/>
      <c r="G267" s="4"/>
      <c r="J267"/>
    </row>
    <row r="268" spans="1:10" s="3" customFormat="1" x14ac:dyDescent="0.25">
      <c r="A268"/>
      <c r="B268" s="4"/>
      <c r="C268"/>
      <c r="D268" s="4"/>
      <c r="E268" s="4"/>
      <c r="G268" s="4"/>
      <c r="J268"/>
    </row>
    <row r="269" spans="1:10" s="3" customFormat="1" x14ac:dyDescent="0.25">
      <c r="A269"/>
      <c r="B269" s="4"/>
      <c r="C269"/>
      <c r="D269" s="4"/>
      <c r="E269" s="4"/>
      <c r="G269" s="4"/>
      <c r="J269"/>
    </row>
    <row r="270" spans="1:10" s="3" customFormat="1" x14ac:dyDescent="0.25">
      <c r="A270"/>
      <c r="B270" s="4"/>
      <c r="C270"/>
      <c r="D270" s="4"/>
      <c r="E270" s="4"/>
      <c r="G270" s="4"/>
      <c r="J270"/>
    </row>
    <row r="271" spans="1:10" s="3" customFormat="1" x14ac:dyDescent="0.25">
      <c r="A271"/>
      <c r="B271" s="4"/>
      <c r="C271"/>
      <c r="D271" s="4"/>
      <c r="E271" s="4"/>
      <c r="G271" s="4"/>
      <c r="J271"/>
    </row>
    <row r="272" spans="1:10" s="3" customFormat="1" x14ac:dyDescent="0.25">
      <c r="A272"/>
      <c r="B272" s="4"/>
      <c r="C272"/>
      <c r="D272" s="4"/>
      <c r="E272" s="4"/>
      <c r="G272" s="4"/>
      <c r="J272"/>
    </row>
    <row r="273" spans="1:10" s="3" customFormat="1" x14ac:dyDescent="0.25">
      <c r="A273"/>
      <c r="B273" s="4"/>
      <c r="C273"/>
      <c r="D273" s="4"/>
      <c r="E273" s="4"/>
      <c r="G273" s="4"/>
      <c r="J273"/>
    </row>
    <row r="274" spans="1:10" s="3" customFormat="1" x14ac:dyDescent="0.25">
      <c r="A274"/>
      <c r="B274" s="4"/>
      <c r="C274"/>
      <c r="D274" s="4"/>
      <c r="E274" s="4"/>
      <c r="G274" s="4"/>
      <c r="J274"/>
    </row>
    <row r="275" spans="1:10" s="3" customFormat="1" x14ac:dyDescent="0.25">
      <c r="A275"/>
      <c r="B275" s="4"/>
      <c r="C275"/>
      <c r="D275" s="4"/>
      <c r="E275" s="4"/>
      <c r="G275" s="4"/>
      <c r="J275"/>
    </row>
    <row r="276" spans="1:10" s="3" customFormat="1" x14ac:dyDescent="0.25">
      <c r="A276"/>
      <c r="B276" s="4"/>
      <c r="C276"/>
      <c r="D276" s="4"/>
      <c r="E276" s="4"/>
      <c r="G276" s="4"/>
      <c r="J276"/>
    </row>
    <row r="277" spans="1:10" s="3" customFormat="1" x14ac:dyDescent="0.25">
      <c r="A277"/>
      <c r="B277" s="4"/>
      <c r="C277"/>
      <c r="D277" s="4"/>
      <c r="E277" s="4"/>
      <c r="G277" s="4"/>
      <c r="J277"/>
    </row>
    <row r="278" spans="1:10" s="3" customFormat="1" x14ac:dyDescent="0.25">
      <c r="A278"/>
      <c r="B278" s="4"/>
      <c r="C278"/>
      <c r="D278" s="4"/>
      <c r="E278" s="4"/>
      <c r="G278" s="4"/>
      <c r="J278"/>
    </row>
    <row r="279" spans="1:10" s="3" customFormat="1" x14ac:dyDescent="0.25">
      <c r="A279"/>
      <c r="B279" s="4"/>
      <c r="C279"/>
      <c r="D279" s="4"/>
      <c r="E279" s="4"/>
      <c r="G279" s="4"/>
      <c r="J279"/>
    </row>
    <row r="280" spans="1:10" s="3" customFormat="1" x14ac:dyDescent="0.25">
      <c r="A280"/>
      <c r="B280" s="4"/>
      <c r="C280"/>
      <c r="D280" s="4"/>
      <c r="E280" s="4"/>
      <c r="G280" s="4"/>
      <c r="J280"/>
    </row>
    <row r="281" spans="1:10" s="3" customFormat="1" x14ac:dyDescent="0.25">
      <c r="A281"/>
      <c r="B281" s="4"/>
      <c r="C281"/>
      <c r="D281" s="4"/>
      <c r="E281" s="4"/>
      <c r="G281" s="4"/>
      <c r="J281"/>
    </row>
    <row r="282" spans="1:10" s="3" customFormat="1" x14ac:dyDescent="0.25">
      <c r="A282"/>
      <c r="B282" s="4"/>
      <c r="C282"/>
      <c r="D282" s="4"/>
      <c r="E282" s="4"/>
      <c r="G282" s="4"/>
      <c r="J282"/>
    </row>
    <row r="283" spans="1:10" s="3" customFormat="1" x14ac:dyDescent="0.25">
      <c r="A283"/>
      <c r="B283" s="4"/>
      <c r="C283"/>
      <c r="D283" s="4"/>
      <c r="E283" s="4"/>
      <c r="G283" s="4"/>
      <c r="J283"/>
    </row>
    <row r="284" spans="1:10" s="3" customFormat="1" x14ac:dyDescent="0.25">
      <c r="A284"/>
      <c r="B284" s="4"/>
      <c r="C284"/>
      <c r="D284" s="4"/>
      <c r="E284" s="4"/>
      <c r="G284" s="4"/>
      <c r="J284"/>
    </row>
  </sheetData>
  <autoFilter ref="B2:I131" xr:uid="{00000000-0009-0000-0000-000005000000}">
    <filterColumn colId="0">
      <customFilters>
        <customFilter operator="notEqual" val=" "/>
      </customFilters>
    </filterColumn>
  </autoFilter>
  <mergeCells count="1">
    <mergeCell ref="B2:B3"/>
  </mergeCells>
  <conditionalFormatting sqref="I12 I24 I35:I37 I39:I44 I46:I63 I65:I71 I94:I99 I101:I114 I116:I131 I14 I17 I27:I33 I73:I92">
    <cfRule type="cellIs" dxfId="14" priority="2" operator="equal">
      <formula>0</formula>
    </cfRule>
    <cfRule type="cellIs" dxfId="13" priority="3" operator="greaterThan">
      <formula>0</formula>
    </cfRule>
    <cfRule type="cellIs" dxfId="12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D76ED29-C141-448C-A057-24E96AA7CA0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I24 I12 I35:I37 I39:I44 I46:I63 I65:I71 I94:I99 I101:I114 I116:I131 I14 I17 I27:I33 I73:I92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 filterMode="1">
    <pageSetUpPr fitToPage="1"/>
  </sheetPr>
  <dimension ref="A1:I175"/>
  <sheetViews>
    <sheetView zoomScale="70" zoomScaleNormal="70" zoomScaleSheetLayoutView="50" zoomScalePageLayoutView="50" workbookViewId="0">
      <pane xSplit="2" ySplit="5" topLeftCell="C51" activePane="bottomRight" state="frozen"/>
      <selection pane="topRight" activeCell="C1" sqref="C1"/>
      <selection pane="bottomLeft" activeCell="A6" sqref="A6"/>
      <selection pane="bottomRight" activeCell="H165" sqref="H165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9" width="27.140625" style="97" bestFit="1" customWidth="1"/>
  </cols>
  <sheetData>
    <row r="1" spans="1:9" s="128" customFormat="1" ht="21.95" customHeight="1" x14ac:dyDescent="0.3">
      <c r="B1" s="208" t="s">
        <v>1</v>
      </c>
      <c r="C1" s="323" t="s">
        <v>577</v>
      </c>
      <c r="D1" s="323" t="s">
        <v>578</v>
      </c>
      <c r="E1" s="323" t="s">
        <v>584</v>
      </c>
      <c r="F1" s="323" t="s">
        <v>580</v>
      </c>
      <c r="G1" s="323" t="s">
        <v>581</v>
      </c>
      <c r="H1" s="323" t="s">
        <v>585</v>
      </c>
      <c r="I1" s="323" t="s">
        <v>583</v>
      </c>
    </row>
    <row r="2" spans="1:9" s="7" customFormat="1" ht="21.95" hidden="1" customHeight="1" x14ac:dyDescent="0.3">
      <c r="B2" s="298"/>
      <c r="C2" s="155" t="s">
        <v>3</v>
      </c>
      <c r="D2" s="155" t="s">
        <v>3</v>
      </c>
      <c r="E2" s="155" t="s">
        <v>3</v>
      </c>
      <c r="F2" s="155" t="s">
        <v>3</v>
      </c>
      <c r="G2" s="155" t="s">
        <v>3</v>
      </c>
      <c r="H2" s="155" t="s">
        <v>3</v>
      </c>
      <c r="I2" s="155" t="s">
        <v>3</v>
      </c>
    </row>
    <row r="3" spans="1:9" s="7" customFormat="1" ht="21.95" customHeight="1" x14ac:dyDescent="0.3">
      <c r="B3" s="21" t="s">
        <v>32</v>
      </c>
      <c r="C3" s="108" t="s">
        <v>3</v>
      </c>
      <c r="D3" s="108" t="s">
        <v>3</v>
      </c>
      <c r="E3" s="108" t="s">
        <v>3</v>
      </c>
      <c r="F3" s="108" t="s">
        <v>3</v>
      </c>
      <c r="G3" s="108" t="s">
        <v>3</v>
      </c>
      <c r="H3" s="108" t="s">
        <v>3</v>
      </c>
      <c r="I3" s="108" t="s">
        <v>3</v>
      </c>
    </row>
    <row r="4" spans="1:9" s="7" customFormat="1" ht="30" hidden="1" customHeight="1" x14ac:dyDescent="0.45">
      <c r="A4" s="3"/>
      <c r="B4" s="22"/>
      <c r="C4" s="109"/>
      <c r="D4" s="109"/>
      <c r="E4" s="109"/>
      <c r="F4" s="109"/>
      <c r="G4" s="109"/>
      <c r="H4" s="109"/>
      <c r="I4" s="109"/>
    </row>
    <row r="5" spans="1:9" s="7" customFormat="1" ht="30" hidden="1" customHeight="1" x14ac:dyDescent="0.45">
      <c r="A5" s="3"/>
      <c r="B5" s="23"/>
      <c r="C5" s="109"/>
      <c r="D5" s="109"/>
      <c r="E5" s="109"/>
      <c r="F5" s="109"/>
      <c r="G5" s="109"/>
      <c r="H5" s="109"/>
      <c r="I5" s="109"/>
    </row>
    <row r="6" spans="1:9" s="7" customFormat="1" ht="30" customHeight="1" x14ac:dyDescent="0.3">
      <c r="A6" s="3" t="s">
        <v>213</v>
      </c>
      <c r="B6" s="299" t="s">
        <v>18</v>
      </c>
      <c r="C6" s="203"/>
      <c r="D6" s="203">
        <v>0</v>
      </c>
      <c r="E6" s="203">
        <v>4</v>
      </c>
      <c r="F6" s="203">
        <v>12</v>
      </c>
      <c r="G6" s="203">
        <v>9</v>
      </c>
      <c r="H6" s="203">
        <v>18</v>
      </c>
      <c r="I6" s="203"/>
    </row>
    <row r="7" spans="1:9" s="7" customFormat="1" ht="30" hidden="1" customHeight="1" x14ac:dyDescent="0.45">
      <c r="A7" s="3"/>
      <c r="B7" s="23"/>
      <c r="C7" s="109"/>
      <c r="D7" s="109"/>
      <c r="E7" s="109"/>
      <c r="F7" s="109"/>
      <c r="G7" s="109"/>
      <c r="H7" s="109"/>
      <c r="I7" s="109"/>
    </row>
    <row r="8" spans="1:9" s="7" customFormat="1" ht="30" hidden="1" customHeight="1" x14ac:dyDescent="0.45">
      <c r="A8" s="3"/>
      <c r="B8" s="24"/>
      <c r="C8" s="109"/>
      <c r="D8" s="109"/>
      <c r="E8" s="109"/>
      <c r="F8" s="109"/>
      <c r="G8" s="109"/>
      <c r="H8" s="109"/>
      <c r="I8" s="109"/>
    </row>
    <row r="9" spans="1:9" s="7" customFormat="1" ht="30" hidden="1" customHeight="1" x14ac:dyDescent="0.45">
      <c r="A9" s="3"/>
      <c r="B9" s="22"/>
      <c r="C9" s="109"/>
      <c r="D9" s="109"/>
      <c r="E9" s="109"/>
      <c r="F9" s="109"/>
      <c r="G9" s="109"/>
      <c r="H9" s="109"/>
      <c r="I9" s="109"/>
    </row>
    <row r="10" spans="1:9" s="7" customFormat="1" ht="30" hidden="1" customHeight="1" x14ac:dyDescent="0.45">
      <c r="A10" s="3"/>
      <c r="B10" s="22"/>
      <c r="C10" s="109"/>
      <c r="D10" s="109"/>
      <c r="E10" s="109"/>
      <c r="F10" s="109"/>
      <c r="G10" s="109"/>
      <c r="H10" s="109"/>
      <c r="I10" s="109"/>
    </row>
    <row r="11" spans="1:9" s="7" customFormat="1" ht="30" hidden="1" customHeight="1" x14ac:dyDescent="0.45">
      <c r="A11" s="3"/>
      <c r="B11" s="22"/>
      <c r="C11" s="109"/>
      <c r="D11" s="109"/>
      <c r="E11" s="109"/>
      <c r="F11" s="109"/>
      <c r="G11" s="109"/>
      <c r="H11" s="109"/>
      <c r="I11" s="109"/>
    </row>
    <row r="12" spans="1:9" s="7" customFormat="1" ht="30" hidden="1" customHeight="1" x14ac:dyDescent="0.45">
      <c r="A12" s="3"/>
      <c r="B12" s="23"/>
      <c r="C12" s="109"/>
      <c r="D12" s="109"/>
      <c r="E12" s="109"/>
      <c r="F12" s="109"/>
      <c r="G12" s="109"/>
      <c r="H12" s="109"/>
      <c r="I12" s="109"/>
    </row>
    <row r="13" spans="1:9" s="7" customFormat="1" ht="30" hidden="1" customHeight="1" x14ac:dyDescent="0.45">
      <c r="A13" s="3"/>
      <c r="B13" s="26"/>
      <c r="C13" s="112"/>
      <c r="D13" s="112"/>
      <c r="E13" s="112"/>
      <c r="F13" s="112"/>
      <c r="G13" s="112"/>
      <c r="H13" s="112"/>
      <c r="I13" s="112"/>
    </row>
    <row r="14" spans="1:9" s="7" customFormat="1" ht="30" hidden="1" customHeight="1" x14ac:dyDescent="0.4">
      <c r="A14" s="3"/>
      <c r="B14" s="27"/>
      <c r="C14" s="109"/>
      <c r="D14" s="109"/>
      <c r="E14" s="109"/>
      <c r="F14" s="109"/>
      <c r="G14" s="109"/>
      <c r="H14" s="109"/>
      <c r="I14" s="109"/>
    </row>
    <row r="15" spans="1:9" s="7" customFormat="1" ht="30" hidden="1" customHeight="1" x14ac:dyDescent="0.45">
      <c r="A15" s="3"/>
      <c r="B15" s="28"/>
      <c r="C15" s="109"/>
      <c r="D15" s="109"/>
      <c r="E15" s="109"/>
      <c r="F15" s="109"/>
      <c r="G15" s="109"/>
      <c r="H15" s="109"/>
      <c r="I15" s="109"/>
    </row>
    <row r="16" spans="1:9" s="7" customFormat="1" ht="30" hidden="1" customHeight="1" x14ac:dyDescent="0.4">
      <c r="A16" s="3"/>
      <c r="B16" s="29"/>
      <c r="C16" s="109"/>
      <c r="D16" s="109"/>
      <c r="E16" s="109"/>
      <c r="F16" s="109"/>
      <c r="G16" s="109"/>
      <c r="H16" s="109"/>
      <c r="I16" s="109"/>
    </row>
    <row r="17" spans="1:9" s="7" customFormat="1" ht="30" hidden="1" customHeight="1" x14ac:dyDescent="0.45">
      <c r="A17" s="3"/>
      <c r="B17" s="30"/>
      <c r="C17" s="109"/>
      <c r="D17" s="109"/>
      <c r="E17" s="109"/>
      <c r="F17" s="109"/>
      <c r="G17" s="109"/>
      <c r="H17" s="109"/>
      <c r="I17" s="109"/>
    </row>
    <row r="18" spans="1:9" s="7" customFormat="1" ht="30" hidden="1" customHeight="1" x14ac:dyDescent="0.4">
      <c r="A18" s="3"/>
      <c r="B18" s="29"/>
      <c r="C18" s="109"/>
      <c r="D18" s="109"/>
      <c r="E18" s="109"/>
      <c r="F18" s="109"/>
      <c r="G18" s="109"/>
      <c r="H18" s="109"/>
      <c r="I18" s="109"/>
    </row>
    <row r="19" spans="1:9" s="7" customFormat="1" ht="30" hidden="1" customHeight="1" x14ac:dyDescent="0.45">
      <c r="A19" s="3"/>
      <c r="B19" s="31"/>
      <c r="C19" s="109"/>
      <c r="D19" s="109"/>
      <c r="E19" s="109"/>
      <c r="F19" s="109"/>
      <c r="G19" s="109"/>
      <c r="H19" s="109"/>
      <c r="I19" s="109"/>
    </row>
    <row r="20" spans="1:9" s="7" customFormat="1" ht="30" hidden="1" customHeight="1" x14ac:dyDescent="0.45">
      <c r="A20" s="3"/>
      <c r="B20" s="28"/>
      <c r="C20" s="109"/>
      <c r="D20" s="109"/>
      <c r="E20" s="109"/>
      <c r="F20" s="109"/>
      <c r="G20" s="109"/>
      <c r="H20" s="109"/>
      <c r="I20" s="109"/>
    </row>
    <row r="21" spans="1:9" s="7" customFormat="1" ht="30" hidden="1" customHeight="1" x14ac:dyDescent="0.45">
      <c r="A21" s="3"/>
      <c r="B21" s="25"/>
      <c r="C21" s="109"/>
      <c r="D21" s="109"/>
      <c r="E21" s="109"/>
      <c r="F21" s="109"/>
      <c r="G21" s="109"/>
      <c r="H21" s="109"/>
      <c r="I21" s="109"/>
    </row>
    <row r="22" spans="1:9" s="7" customFormat="1" ht="30" hidden="1" customHeight="1" x14ac:dyDescent="0.45">
      <c r="A22" s="3"/>
      <c r="B22" s="30"/>
      <c r="C22" s="109"/>
      <c r="D22" s="109"/>
      <c r="E22" s="109"/>
      <c r="F22" s="109"/>
      <c r="G22" s="109"/>
      <c r="H22" s="109"/>
      <c r="I22" s="109"/>
    </row>
    <row r="23" spans="1:9" s="7" customFormat="1" ht="30" hidden="1" customHeight="1" x14ac:dyDescent="0.45">
      <c r="A23" s="3"/>
      <c r="B23" s="30"/>
      <c r="C23" s="109"/>
      <c r="D23" s="109"/>
      <c r="E23" s="109"/>
      <c r="F23" s="109"/>
      <c r="G23" s="109"/>
      <c r="H23" s="109"/>
      <c r="I23" s="109"/>
    </row>
    <row r="24" spans="1:9" s="7" customFormat="1" ht="30" hidden="1" customHeight="1" x14ac:dyDescent="0.4">
      <c r="A24" s="3"/>
      <c r="B24" s="27"/>
      <c r="C24" s="109"/>
      <c r="D24" s="109"/>
      <c r="E24" s="109"/>
      <c r="F24" s="109"/>
      <c r="G24" s="109"/>
      <c r="H24" s="109"/>
      <c r="I24" s="109"/>
    </row>
    <row r="25" spans="1:9" s="7" customFormat="1" ht="30" hidden="1" customHeight="1" x14ac:dyDescent="0.4">
      <c r="A25" s="3"/>
      <c r="B25" s="29"/>
      <c r="C25" s="109"/>
      <c r="D25" s="109"/>
      <c r="E25" s="109"/>
      <c r="F25" s="109"/>
      <c r="G25" s="109"/>
      <c r="H25" s="109"/>
      <c r="I25" s="109"/>
    </row>
    <row r="26" spans="1:9" s="7" customFormat="1" ht="30" hidden="1" customHeight="1" x14ac:dyDescent="0.45">
      <c r="A26" s="3"/>
      <c r="B26" s="32"/>
      <c r="C26" s="109"/>
      <c r="D26" s="109"/>
      <c r="E26" s="109"/>
      <c r="F26" s="109"/>
      <c r="G26" s="109"/>
      <c r="H26" s="109"/>
      <c r="I26" s="109"/>
    </row>
    <row r="27" spans="1:9" s="7" customFormat="1" ht="30" hidden="1" customHeight="1" x14ac:dyDescent="0.45">
      <c r="A27" s="3"/>
      <c r="B27" s="28"/>
      <c r="C27" s="109"/>
      <c r="D27" s="109"/>
      <c r="E27" s="109"/>
      <c r="F27" s="109"/>
      <c r="G27" s="109"/>
      <c r="H27" s="109"/>
      <c r="I27" s="109"/>
    </row>
    <row r="28" spans="1:9" s="7" customFormat="1" ht="30" hidden="1" customHeight="1" x14ac:dyDescent="0.45">
      <c r="A28" s="3"/>
      <c r="B28" s="33"/>
      <c r="C28" s="109"/>
      <c r="D28" s="109"/>
      <c r="E28" s="109"/>
      <c r="F28" s="109"/>
      <c r="G28" s="109"/>
      <c r="H28" s="109"/>
      <c r="I28" s="109"/>
    </row>
    <row r="29" spans="1:9" s="7" customFormat="1" ht="30" hidden="1" customHeight="1" x14ac:dyDescent="0.45">
      <c r="A29" s="3"/>
      <c r="B29" s="30"/>
      <c r="C29" s="109"/>
      <c r="D29" s="109"/>
      <c r="E29" s="109"/>
      <c r="F29" s="109"/>
      <c r="G29" s="109"/>
      <c r="H29" s="109"/>
      <c r="I29" s="109"/>
    </row>
    <row r="30" spans="1:9" s="7" customFormat="1" ht="30" hidden="1" customHeight="1" x14ac:dyDescent="0.45">
      <c r="A30" s="3"/>
      <c r="B30" s="30"/>
      <c r="C30" s="109"/>
      <c r="D30" s="109"/>
      <c r="E30" s="109"/>
      <c r="F30" s="109"/>
      <c r="G30" s="109"/>
      <c r="H30" s="109"/>
      <c r="I30" s="109"/>
    </row>
    <row r="31" spans="1:9" s="7" customFormat="1" ht="30" hidden="1" customHeight="1" x14ac:dyDescent="0.4">
      <c r="A31" s="3"/>
      <c r="B31" s="29"/>
      <c r="C31" s="109"/>
      <c r="D31" s="109"/>
      <c r="E31" s="109"/>
      <c r="F31" s="109"/>
      <c r="G31" s="109"/>
      <c r="H31" s="109"/>
      <c r="I31" s="109"/>
    </row>
    <row r="32" spans="1:9" s="7" customFormat="1" ht="30" hidden="1" customHeight="1" x14ac:dyDescent="0.45">
      <c r="A32" s="3"/>
      <c r="B32" s="28"/>
      <c r="C32" s="109"/>
      <c r="D32" s="109"/>
      <c r="E32" s="109"/>
      <c r="F32" s="109"/>
      <c r="G32" s="109"/>
      <c r="H32" s="109"/>
      <c r="I32" s="109"/>
    </row>
    <row r="33" spans="1:9" s="7" customFormat="1" ht="30" customHeight="1" x14ac:dyDescent="0.3">
      <c r="A33" s="3"/>
      <c r="B33" s="300" t="s">
        <v>33</v>
      </c>
      <c r="C33" s="108"/>
      <c r="D33" s="108"/>
      <c r="E33" s="108"/>
      <c r="F33" s="108"/>
      <c r="G33" s="108"/>
      <c r="H33" s="108"/>
      <c r="I33" s="108"/>
    </row>
    <row r="34" spans="1:9" s="7" customFormat="1" ht="30" hidden="1" customHeight="1" x14ac:dyDescent="0.45">
      <c r="A34" s="3"/>
      <c r="B34" s="49"/>
      <c r="C34" s="109"/>
      <c r="D34" s="109"/>
      <c r="E34" s="109"/>
      <c r="F34" s="109"/>
      <c r="G34" s="109"/>
      <c r="H34" s="109"/>
      <c r="I34" s="109"/>
    </row>
    <row r="35" spans="1:9" s="7" customFormat="1" ht="30" hidden="1" customHeight="1" x14ac:dyDescent="0.45">
      <c r="A35" s="3"/>
      <c r="B35" s="50"/>
      <c r="C35" s="109"/>
      <c r="D35" s="109"/>
      <c r="E35" s="109"/>
      <c r="F35" s="109"/>
      <c r="G35" s="109"/>
      <c r="H35" s="109"/>
      <c r="I35" s="109"/>
    </row>
    <row r="36" spans="1:9" s="7" customFormat="1" ht="30" hidden="1" customHeight="1" x14ac:dyDescent="0.45">
      <c r="A36" s="3"/>
      <c r="B36" s="49"/>
      <c r="C36" s="109"/>
      <c r="D36" s="109"/>
      <c r="E36" s="109"/>
      <c r="F36" s="109"/>
      <c r="G36" s="109"/>
      <c r="H36" s="109"/>
      <c r="I36" s="109"/>
    </row>
    <row r="37" spans="1:9" s="7" customFormat="1" ht="30" customHeight="1" x14ac:dyDescent="0.3">
      <c r="A37" s="3" t="s">
        <v>207</v>
      </c>
      <c r="B37" s="301" t="s">
        <v>61</v>
      </c>
      <c r="C37" s="203"/>
      <c r="D37" s="203">
        <v>6</v>
      </c>
      <c r="E37" s="203">
        <v>6</v>
      </c>
      <c r="F37" s="203">
        <v>6</v>
      </c>
      <c r="G37" s="203">
        <v>18</v>
      </c>
      <c r="H37" s="203">
        <v>12</v>
      </c>
      <c r="I37" s="203"/>
    </row>
    <row r="38" spans="1:9" s="7" customFormat="1" ht="30" customHeight="1" x14ac:dyDescent="0.3">
      <c r="A38" s="3" t="s">
        <v>206</v>
      </c>
      <c r="B38" s="302" t="s">
        <v>62</v>
      </c>
      <c r="C38" s="203"/>
      <c r="D38" s="203">
        <v>4</v>
      </c>
      <c r="E38" s="203">
        <v>0</v>
      </c>
      <c r="F38" s="203">
        <v>0</v>
      </c>
      <c r="G38" s="203">
        <v>0</v>
      </c>
      <c r="H38" s="203">
        <v>8</v>
      </c>
      <c r="I38" s="203"/>
    </row>
    <row r="39" spans="1:9" s="7" customFormat="1" ht="30" customHeight="1" x14ac:dyDescent="0.3">
      <c r="A39" s="3" t="s">
        <v>208</v>
      </c>
      <c r="B39" s="303" t="s">
        <v>63</v>
      </c>
      <c r="C39" s="203"/>
      <c r="D39" s="203">
        <v>6</v>
      </c>
      <c r="E39" s="203">
        <v>6</v>
      </c>
      <c r="F39" s="203">
        <v>12</v>
      </c>
      <c r="G39" s="203">
        <v>0</v>
      </c>
      <c r="H39" s="203">
        <v>12</v>
      </c>
      <c r="I39" s="203"/>
    </row>
    <row r="40" spans="1:9" s="7" customFormat="1" ht="30" hidden="1" customHeight="1" x14ac:dyDescent="0.45">
      <c r="A40" s="3"/>
      <c r="B40" s="51"/>
      <c r="C40" s="109"/>
      <c r="D40" s="109"/>
      <c r="E40" s="109"/>
      <c r="F40" s="109"/>
      <c r="G40" s="109"/>
      <c r="H40" s="109"/>
      <c r="I40" s="109"/>
    </row>
    <row r="41" spans="1:9" s="7" customFormat="1" ht="30" customHeight="1" x14ac:dyDescent="0.3">
      <c r="A41" s="3" t="s">
        <v>211</v>
      </c>
      <c r="B41" s="302" t="s">
        <v>64</v>
      </c>
      <c r="C41" s="203"/>
      <c r="D41" s="203">
        <v>6</v>
      </c>
      <c r="E41" s="203">
        <v>0</v>
      </c>
      <c r="F41" s="203">
        <v>6</v>
      </c>
      <c r="G41" s="203">
        <v>18</v>
      </c>
      <c r="H41" s="203">
        <v>18</v>
      </c>
      <c r="I41" s="203"/>
    </row>
    <row r="42" spans="1:9" s="7" customFormat="1" ht="30" customHeight="1" x14ac:dyDescent="0.3">
      <c r="A42" s="3" t="s">
        <v>210</v>
      </c>
      <c r="B42" s="304" t="s">
        <v>65</v>
      </c>
      <c r="C42" s="203"/>
      <c r="D42" s="203">
        <v>4</v>
      </c>
      <c r="E42" s="203">
        <v>0</v>
      </c>
      <c r="F42" s="203">
        <v>12</v>
      </c>
      <c r="G42" s="203">
        <v>0</v>
      </c>
      <c r="H42" s="203">
        <v>8</v>
      </c>
      <c r="I42" s="203"/>
    </row>
    <row r="43" spans="1:9" s="7" customFormat="1" ht="30" hidden="1" customHeight="1" x14ac:dyDescent="0.4">
      <c r="A43" s="3"/>
      <c r="B43" s="52"/>
      <c r="C43" s="109"/>
      <c r="D43" s="109"/>
      <c r="E43" s="109"/>
      <c r="F43" s="109"/>
      <c r="G43" s="109"/>
      <c r="H43" s="109"/>
      <c r="I43" s="109"/>
    </row>
    <row r="44" spans="1:9" s="7" customFormat="1" ht="30" hidden="1" customHeight="1" x14ac:dyDescent="0.45">
      <c r="A44" s="3"/>
      <c r="B44" s="51"/>
      <c r="C44" s="109"/>
      <c r="D44" s="109"/>
      <c r="E44" s="109"/>
      <c r="F44" s="109"/>
      <c r="G44" s="109"/>
      <c r="H44" s="109"/>
      <c r="I44" s="109"/>
    </row>
    <row r="45" spans="1:9" s="7" customFormat="1" ht="30" hidden="1" customHeight="1" x14ac:dyDescent="0.45">
      <c r="A45" s="3"/>
      <c r="B45" s="51"/>
      <c r="C45" s="109"/>
      <c r="D45" s="109"/>
      <c r="E45" s="109"/>
      <c r="F45" s="109"/>
      <c r="G45" s="109"/>
      <c r="H45" s="109"/>
      <c r="I45" s="109"/>
    </row>
    <row r="46" spans="1:9" s="7" customFormat="1" ht="30" hidden="1" customHeight="1" x14ac:dyDescent="0.45">
      <c r="A46" s="3"/>
      <c r="B46" s="51"/>
      <c r="C46" s="109"/>
      <c r="D46" s="109"/>
      <c r="E46" s="109"/>
      <c r="F46" s="109"/>
      <c r="G46" s="109"/>
      <c r="H46" s="109"/>
      <c r="I46" s="109"/>
    </row>
    <row r="47" spans="1:9" s="7" customFormat="1" ht="30" hidden="1" customHeight="1" x14ac:dyDescent="0.45">
      <c r="A47" s="3"/>
      <c r="B47" s="51"/>
      <c r="C47" s="109"/>
      <c r="D47" s="109"/>
      <c r="E47" s="109"/>
      <c r="F47" s="109"/>
      <c r="G47" s="109"/>
      <c r="H47" s="109"/>
      <c r="I47" s="109"/>
    </row>
    <row r="48" spans="1:9" s="7" customFormat="1" ht="30" hidden="1" customHeight="1" x14ac:dyDescent="0.45">
      <c r="A48" s="3"/>
      <c r="B48" s="51"/>
      <c r="C48" s="109"/>
      <c r="D48" s="109"/>
      <c r="E48" s="109"/>
      <c r="F48" s="109"/>
      <c r="G48" s="109"/>
      <c r="H48" s="109"/>
      <c r="I48" s="109"/>
    </row>
    <row r="49" spans="1:9" s="7" customFormat="1" ht="30" hidden="1" customHeight="1" x14ac:dyDescent="0.45">
      <c r="A49" s="3"/>
      <c r="B49" s="51"/>
      <c r="C49" s="109"/>
      <c r="D49" s="109"/>
      <c r="E49" s="109"/>
      <c r="F49" s="109"/>
      <c r="G49" s="109"/>
      <c r="H49" s="109"/>
      <c r="I49" s="109"/>
    </row>
    <row r="50" spans="1:9" s="7" customFormat="1" ht="30" customHeight="1" x14ac:dyDescent="0.3">
      <c r="A50" s="3" t="s">
        <v>247</v>
      </c>
      <c r="B50" s="305" t="s">
        <v>21</v>
      </c>
      <c r="C50" s="203"/>
      <c r="D50" s="203">
        <v>0</v>
      </c>
      <c r="E50" s="203">
        <v>0</v>
      </c>
      <c r="F50" s="203">
        <v>0</v>
      </c>
      <c r="G50" s="203">
        <v>3</v>
      </c>
      <c r="H50" s="203">
        <v>0</v>
      </c>
      <c r="I50" s="203"/>
    </row>
    <row r="51" spans="1:9" s="7" customFormat="1" ht="30" customHeight="1" x14ac:dyDescent="0.3">
      <c r="A51" s="3" t="s">
        <v>248</v>
      </c>
      <c r="B51" s="306" t="s">
        <v>22</v>
      </c>
      <c r="C51" s="203"/>
      <c r="D51" s="203">
        <v>0</v>
      </c>
      <c r="E51" s="203">
        <v>4</v>
      </c>
      <c r="F51" s="203">
        <v>5</v>
      </c>
      <c r="G51" s="203">
        <v>0</v>
      </c>
      <c r="H51" s="203">
        <v>8</v>
      </c>
      <c r="I51" s="203"/>
    </row>
    <row r="52" spans="1:9" s="7" customFormat="1" ht="30" hidden="1" customHeight="1" x14ac:dyDescent="0.45">
      <c r="A52" s="3"/>
      <c r="B52" s="53"/>
      <c r="C52" s="109"/>
      <c r="D52" s="109"/>
      <c r="E52" s="109"/>
      <c r="F52" s="109"/>
      <c r="G52" s="109"/>
      <c r="H52" s="109"/>
      <c r="I52" s="109"/>
    </row>
    <row r="53" spans="1:9" s="7" customFormat="1" ht="30" hidden="1" customHeight="1" x14ac:dyDescent="0.45">
      <c r="A53" s="3"/>
      <c r="B53" s="51"/>
      <c r="C53" s="109"/>
      <c r="D53" s="109"/>
      <c r="E53" s="109"/>
      <c r="F53" s="109"/>
      <c r="G53" s="109"/>
      <c r="H53" s="109"/>
      <c r="I53" s="109"/>
    </row>
    <row r="54" spans="1:9" s="7" customFormat="1" ht="30" hidden="1" customHeight="1" x14ac:dyDescent="0.4">
      <c r="A54" s="3"/>
      <c r="B54" s="52"/>
      <c r="C54" s="109"/>
      <c r="D54" s="109"/>
      <c r="E54" s="109"/>
      <c r="F54" s="109"/>
      <c r="G54" s="109"/>
      <c r="H54" s="109"/>
      <c r="I54" s="109"/>
    </row>
    <row r="55" spans="1:9" s="7" customFormat="1" ht="30" hidden="1" customHeight="1" x14ac:dyDescent="0.45">
      <c r="A55" s="3"/>
      <c r="B55" s="51"/>
      <c r="C55" s="109"/>
      <c r="D55" s="109"/>
      <c r="E55" s="109"/>
      <c r="F55" s="109"/>
      <c r="G55" s="109"/>
      <c r="H55" s="109"/>
      <c r="I55" s="109"/>
    </row>
    <row r="56" spans="1:9" s="7" customFormat="1" ht="30" hidden="1" customHeight="1" x14ac:dyDescent="0.45">
      <c r="A56" s="3"/>
      <c r="B56" s="54"/>
      <c r="C56" s="109"/>
      <c r="D56" s="109"/>
      <c r="E56" s="109"/>
      <c r="F56" s="109"/>
      <c r="G56" s="109"/>
      <c r="H56" s="109"/>
      <c r="I56" s="109"/>
    </row>
    <row r="57" spans="1:9" s="7" customFormat="1" ht="30" hidden="1" customHeight="1" x14ac:dyDescent="0.45">
      <c r="A57" s="3"/>
      <c r="B57" s="26"/>
      <c r="C57" s="112"/>
      <c r="D57" s="112"/>
      <c r="E57" s="112"/>
      <c r="F57" s="112"/>
      <c r="G57" s="112"/>
      <c r="H57" s="112"/>
      <c r="I57" s="112"/>
    </row>
    <row r="58" spans="1:9" s="7" customFormat="1" ht="30" hidden="1" customHeight="1" x14ac:dyDescent="0.45">
      <c r="A58" s="3"/>
      <c r="B58" s="22"/>
      <c r="C58" s="109"/>
      <c r="D58" s="109"/>
      <c r="E58" s="109"/>
      <c r="F58" s="109"/>
      <c r="G58" s="109"/>
      <c r="H58" s="109"/>
      <c r="I58" s="109"/>
    </row>
    <row r="59" spans="1:9" s="7" customFormat="1" ht="30" hidden="1" customHeight="1" x14ac:dyDescent="0.45">
      <c r="A59" s="3"/>
      <c r="B59" s="22"/>
      <c r="C59" s="109"/>
      <c r="D59" s="109"/>
      <c r="E59" s="109"/>
      <c r="F59" s="109"/>
      <c r="G59" s="109"/>
      <c r="H59" s="109"/>
      <c r="I59" s="109"/>
    </row>
    <row r="60" spans="1:9" s="7" customFormat="1" ht="30" hidden="1" customHeight="1" x14ac:dyDescent="0.45">
      <c r="A60" s="3"/>
      <c r="B60" s="22"/>
      <c r="C60" s="109"/>
      <c r="D60" s="109"/>
      <c r="E60" s="109"/>
      <c r="F60" s="109"/>
      <c r="G60" s="109"/>
      <c r="H60" s="109"/>
      <c r="I60" s="109"/>
    </row>
    <row r="61" spans="1:9" s="7" customFormat="1" ht="30" hidden="1" customHeight="1" x14ac:dyDescent="0.45">
      <c r="A61" s="3"/>
      <c r="B61" s="22"/>
      <c r="C61" s="109"/>
      <c r="D61" s="109"/>
      <c r="E61" s="109"/>
      <c r="F61" s="109"/>
      <c r="G61" s="109"/>
      <c r="H61" s="109"/>
      <c r="I61" s="109"/>
    </row>
    <row r="62" spans="1:9" s="7" customFormat="1" ht="30" hidden="1" customHeight="1" x14ac:dyDescent="0.45">
      <c r="A62" s="3"/>
      <c r="B62" s="22"/>
      <c r="C62" s="114"/>
      <c r="D62" s="114"/>
      <c r="E62" s="114"/>
      <c r="F62" s="114"/>
      <c r="G62" s="114"/>
      <c r="H62" s="114"/>
      <c r="I62" s="114"/>
    </row>
    <row r="63" spans="1:9" s="7" customFormat="1" ht="30" hidden="1" customHeight="1" x14ac:dyDescent="0.45">
      <c r="A63" s="3"/>
      <c r="B63" s="22"/>
      <c r="C63" s="109"/>
      <c r="D63" s="109"/>
      <c r="E63" s="109"/>
      <c r="F63" s="109"/>
      <c r="G63" s="109"/>
      <c r="H63" s="109"/>
      <c r="I63" s="109"/>
    </row>
    <row r="64" spans="1:9" s="7" customFormat="1" ht="30" hidden="1" customHeight="1" x14ac:dyDescent="0.4">
      <c r="A64" s="3"/>
      <c r="B64" s="34"/>
      <c r="C64" s="109"/>
      <c r="D64" s="109"/>
      <c r="E64" s="109"/>
      <c r="F64" s="109"/>
      <c r="G64" s="109"/>
      <c r="H64" s="109"/>
      <c r="I64" s="109"/>
    </row>
    <row r="65" spans="1:9" s="7" customFormat="1" ht="30" customHeight="1" x14ac:dyDescent="0.3">
      <c r="A65" s="3"/>
      <c r="B65" s="307" t="s">
        <v>39</v>
      </c>
      <c r="C65" s="108"/>
      <c r="D65" s="108"/>
      <c r="E65" s="108"/>
      <c r="F65" s="108"/>
      <c r="G65" s="108"/>
      <c r="H65" s="108"/>
      <c r="I65" s="108"/>
    </row>
    <row r="66" spans="1:9" s="7" customFormat="1" ht="30" hidden="1" customHeight="1" x14ac:dyDescent="0.45">
      <c r="A66" s="3"/>
      <c r="B66" s="36"/>
      <c r="C66" s="109"/>
      <c r="D66" s="109"/>
      <c r="E66" s="109"/>
      <c r="F66" s="109"/>
      <c r="G66" s="109"/>
      <c r="H66" s="109"/>
      <c r="I66" s="109"/>
    </row>
    <row r="67" spans="1:9" s="7" customFormat="1" ht="30" customHeight="1" x14ac:dyDescent="0.3">
      <c r="A67" s="3" t="s">
        <v>270</v>
      </c>
      <c r="B67" s="308" t="s">
        <v>48</v>
      </c>
      <c r="C67" s="203"/>
      <c r="D67" s="203">
        <v>1</v>
      </c>
      <c r="E67" s="203">
        <v>0</v>
      </c>
      <c r="F67" s="203">
        <v>18</v>
      </c>
      <c r="G67" s="203">
        <v>5</v>
      </c>
      <c r="H67" s="203">
        <v>0</v>
      </c>
      <c r="I67" s="203"/>
    </row>
    <row r="68" spans="1:9" s="7" customFormat="1" ht="30" customHeight="1" x14ac:dyDescent="0.3">
      <c r="A68" s="3" t="s">
        <v>268</v>
      </c>
      <c r="B68" s="308" t="s">
        <v>27</v>
      </c>
      <c r="C68" s="203"/>
      <c r="D68" s="203">
        <v>3</v>
      </c>
      <c r="E68" s="203">
        <v>0</v>
      </c>
      <c r="F68" s="203">
        <v>7</v>
      </c>
      <c r="G68" s="203">
        <v>8</v>
      </c>
      <c r="H68" s="203">
        <v>6</v>
      </c>
      <c r="I68" s="203"/>
    </row>
    <row r="69" spans="1:9" s="7" customFormat="1" ht="30" customHeight="1" x14ac:dyDescent="0.3">
      <c r="A69" s="3" t="s">
        <v>269</v>
      </c>
      <c r="B69" s="308" t="s">
        <v>28</v>
      </c>
      <c r="C69" s="203"/>
      <c r="D69" s="203">
        <v>0</v>
      </c>
      <c r="E69" s="203">
        <v>0</v>
      </c>
      <c r="F69" s="203">
        <v>7</v>
      </c>
      <c r="G69" s="203">
        <v>2</v>
      </c>
      <c r="H69" s="203">
        <v>2</v>
      </c>
      <c r="I69" s="203"/>
    </row>
    <row r="70" spans="1:9" s="7" customFormat="1" ht="30" hidden="1" customHeight="1" x14ac:dyDescent="0.45">
      <c r="A70" s="3"/>
      <c r="B70" s="26"/>
      <c r="C70" s="113"/>
      <c r="D70" s="113"/>
      <c r="E70" s="113"/>
      <c r="F70" s="113"/>
      <c r="G70" s="113"/>
      <c r="H70" s="113"/>
      <c r="I70" s="113"/>
    </row>
    <row r="71" spans="1:9" s="7" customFormat="1" ht="30" hidden="1" customHeight="1" x14ac:dyDescent="0.45">
      <c r="A71" s="3"/>
      <c r="B71" s="24"/>
      <c r="C71" s="109"/>
      <c r="D71" s="109"/>
      <c r="E71" s="109"/>
      <c r="F71" s="109"/>
      <c r="G71" s="109"/>
      <c r="H71" s="109"/>
      <c r="I71" s="109"/>
    </row>
    <row r="72" spans="1:9" s="7" customFormat="1" ht="30" hidden="1" customHeight="1" x14ac:dyDescent="0.45">
      <c r="A72" s="3"/>
      <c r="B72" s="37"/>
      <c r="C72" s="109"/>
      <c r="D72" s="109"/>
      <c r="E72" s="109"/>
      <c r="F72" s="109"/>
      <c r="G72" s="109"/>
      <c r="H72" s="109"/>
      <c r="I72" s="109"/>
    </row>
    <row r="73" spans="1:9" s="7" customFormat="1" ht="30" hidden="1" customHeight="1" x14ac:dyDescent="0.45">
      <c r="A73" s="3"/>
      <c r="B73" s="37"/>
      <c r="C73" s="109"/>
      <c r="D73" s="109"/>
      <c r="E73" s="109"/>
      <c r="F73" s="109"/>
      <c r="G73" s="109"/>
      <c r="H73" s="109"/>
      <c r="I73" s="109"/>
    </row>
    <row r="74" spans="1:9" s="7" customFormat="1" ht="30" hidden="1" customHeight="1" x14ac:dyDescent="0.45">
      <c r="A74" s="3"/>
      <c r="B74" s="37"/>
      <c r="C74" s="109"/>
      <c r="D74" s="109"/>
      <c r="E74" s="109"/>
      <c r="F74" s="109"/>
      <c r="G74" s="109"/>
      <c r="H74" s="109"/>
      <c r="I74" s="109"/>
    </row>
    <row r="75" spans="1:9" s="7" customFormat="1" ht="30" hidden="1" customHeight="1" x14ac:dyDescent="0.45">
      <c r="A75" s="3"/>
      <c r="B75" s="37"/>
      <c r="C75" s="109"/>
      <c r="D75" s="109"/>
      <c r="E75" s="109"/>
      <c r="F75" s="109"/>
      <c r="G75" s="109"/>
      <c r="H75" s="109"/>
      <c r="I75" s="109"/>
    </row>
    <row r="76" spans="1:9" s="7" customFormat="1" ht="30" hidden="1" customHeight="1" x14ac:dyDescent="0.45">
      <c r="A76" s="3"/>
      <c r="B76" s="37"/>
      <c r="C76" s="109"/>
      <c r="D76" s="109"/>
      <c r="E76" s="109"/>
      <c r="F76" s="109"/>
      <c r="G76" s="109"/>
      <c r="H76" s="109"/>
      <c r="I76" s="109"/>
    </row>
    <row r="77" spans="1:9" s="7" customFormat="1" ht="30" hidden="1" customHeight="1" x14ac:dyDescent="0.45">
      <c r="A77" s="3"/>
      <c r="B77" s="24"/>
      <c r="C77" s="109"/>
      <c r="D77" s="109"/>
      <c r="E77" s="109"/>
      <c r="F77" s="109"/>
      <c r="G77" s="109"/>
      <c r="H77" s="109"/>
      <c r="I77" s="109"/>
    </row>
    <row r="78" spans="1:9" s="7" customFormat="1" ht="30" hidden="1" customHeight="1" x14ac:dyDescent="0.45">
      <c r="A78" s="3"/>
      <c r="B78" s="24"/>
      <c r="C78" s="109"/>
      <c r="D78" s="109"/>
      <c r="E78" s="109"/>
      <c r="F78" s="109"/>
      <c r="G78" s="109"/>
      <c r="H78" s="109"/>
      <c r="I78" s="109"/>
    </row>
    <row r="79" spans="1:9" s="7" customFormat="1" ht="30" hidden="1" customHeight="1" x14ac:dyDescent="0.45">
      <c r="A79" s="3"/>
      <c r="B79" s="35"/>
      <c r="C79" s="109"/>
      <c r="D79" s="109"/>
      <c r="E79" s="109"/>
      <c r="F79" s="109"/>
      <c r="G79" s="109"/>
      <c r="H79" s="109"/>
      <c r="I79" s="109"/>
    </row>
    <row r="80" spans="1:9" s="7" customFormat="1" ht="30" hidden="1" customHeight="1" x14ac:dyDescent="0.45">
      <c r="A80" s="3"/>
      <c r="B80" s="28"/>
      <c r="C80" s="109"/>
      <c r="D80" s="109"/>
      <c r="E80" s="109"/>
      <c r="F80" s="109"/>
      <c r="G80" s="109"/>
      <c r="H80" s="109"/>
      <c r="I80" s="109"/>
    </row>
    <row r="81" spans="1:9" s="7" customFormat="1" ht="30" hidden="1" customHeight="1" x14ac:dyDescent="0.45">
      <c r="A81" s="3"/>
      <c r="B81" s="31"/>
      <c r="C81" s="109"/>
      <c r="D81" s="109"/>
      <c r="E81" s="109"/>
      <c r="F81" s="109"/>
      <c r="G81" s="109"/>
      <c r="H81" s="109"/>
      <c r="I81" s="109"/>
    </row>
    <row r="82" spans="1:9" s="7" customFormat="1" ht="30" hidden="1" customHeight="1" x14ac:dyDescent="0.45">
      <c r="A82" s="3"/>
      <c r="B82" s="26"/>
      <c r="C82" s="112"/>
      <c r="D82" s="112"/>
      <c r="E82" s="112"/>
      <c r="F82" s="112"/>
      <c r="G82" s="112"/>
      <c r="H82" s="112"/>
      <c r="I82" s="112"/>
    </row>
    <row r="83" spans="1:9" s="7" customFormat="1" ht="30" hidden="1" customHeight="1" x14ac:dyDescent="0.45">
      <c r="A83" s="3"/>
      <c r="B83" s="28"/>
      <c r="C83" s="109"/>
      <c r="D83" s="109"/>
      <c r="E83" s="109"/>
      <c r="F83" s="109"/>
      <c r="G83" s="109"/>
      <c r="H83" s="109"/>
      <c r="I83" s="109"/>
    </row>
    <row r="84" spans="1:9" s="7" customFormat="1" ht="30" hidden="1" customHeight="1" x14ac:dyDescent="0.45">
      <c r="A84" s="3"/>
      <c r="B84" s="28"/>
      <c r="C84" s="109"/>
      <c r="D84" s="109"/>
      <c r="E84" s="109"/>
      <c r="F84" s="109"/>
      <c r="G84" s="109"/>
      <c r="H84" s="109"/>
      <c r="I84" s="109"/>
    </row>
    <row r="85" spans="1:9" s="7" customFormat="1" ht="30" hidden="1" customHeight="1" x14ac:dyDescent="0.4">
      <c r="A85" s="3"/>
      <c r="B85" s="38"/>
      <c r="C85" s="109"/>
      <c r="D85" s="109"/>
      <c r="E85" s="109"/>
      <c r="F85" s="109"/>
      <c r="G85" s="109"/>
      <c r="H85" s="109"/>
      <c r="I85" s="109"/>
    </row>
    <row r="86" spans="1:9" s="7" customFormat="1" ht="30" hidden="1" customHeight="1" x14ac:dyDescent="0.45">
      <c r="A86" s="3"/>
      <c r="B86" s="28"/>
      <c r="C86" s="109"/>
      <c r="D86" s="109"/>
      <c r="E86" s="109"/>
      <c r="F86" s="109"/>
      <c r="G86" s="109"/>
      <c r="H86" s="109"/>
      <c r="I86" s="109"/>
    </row>
    <row r="87" spans="1:9" s="7" customFormat="1" ht="30" hidden="1" customHeight="1" x14ac:dyDescent="0.45">
      <c r="A87" s="3"/>
      <c r="B87" s="28"/>
      <c r="C87" s="109"/>
      <c r="D87" s="109"/>
      <c r="E87" s="109"/>
      <c r="F87" s="109"/>
      <c r="G87" s="109"/>
      <c r="H87" s="109"/>
      <c r="I87" s="109"/>
    </row>
    <row r="88" spans="1:9" s="7" customFormat="1" ht="30" hidden="1" customHeight="1" x14ac:dyDescent="0.45">
      <c r="A88" s="3"/>
      <c r="B88" s="28"/>
      <c r="C88" s="109"/>
      <c r="D88" s="109"/>
      <c r="E88" s="109"/>
      <c r="F88" s="109"/>
      <c r="G88" s="109"/>
      <c r="H88" s="109"/>
      <c r="I88" s="109"/>
    </row>
    <row r="89" spans="1:9" s="7" customFormat="1" ht="30" hidden="1" customHeight="1" x14ac:dyDescent="0.45">
      <c r="A89" s="3"/>
      <c r="B89" s="24"/>
      <c r="C89" s="109"/>
      <c r="D89" s="109"/>
      <c r="E89" s="109"/>
      <c r="F89" s="109"/>
      <c r="G89" s="109"/>
      <c r="H89" s="109"/>
      <c r="I89" s="109"/>
    </row>
    <row r="90" spans="1:9" s="7" customFormat="1" ht="30" hidden="1" customHeight="1" x14ac:dyDescent="0.45">
      <c r="A90" s="3"/>
      <c r="B90" s="35"/>
      <c r="C90" s="109"/>
      <c r="D90" s="109"/>
      <c r="E90" s="109"/>
      <c r="F90" s="109"/>
      <c r="G90" s="109"/>
      <c r="H90" s="109"/>
      <c r="I90" s="109"/>
    </row>
    <row r="91" spans="1:9" s="7" customFormat="1" ht="30" customHeight="1" x14ac:dyDescent="0.3">
      <c r="A91" s="3"/>
      <c r="B91" s="309" t="s">
        <v>34</v>
      </c>
      <c r="C91" s="108"/>
      <c r="D91" s="108"/>
      <c r="E91" s="108"/>
      <c r="F91" s="108"/>
      <c r="G91" s="108"/>
      <c r="H91" s="108"/>
      <c r="I91" s="108"/>
    </row>
    <row r="92" spans="1:9" s="7" customFormat="1" ht="30" customHeight="1" x14ac:dyDescent="0.3">
      <c r="A92" s="3" t="s">
        <v>234</v>
      </c>
      <c r="B92" s="310" t="s">
        <v>19</v>
      </c>
      <c r="C92" s="203"/>
      <c r="D92" s="203">
        <v>0</v>
      </c>
      <c r="E92" s="203">
        <v>0</v>
      </c>
      <c r="F92" s="203">
        <v>0</v>
      </c>
      <c r="G92" s="203">
        <v>0</v>
      </c>
      <c r="H92" s="203">
        <v>0</v>
      </c>
      <c r="I92" s="203"/>
    </row>
    <row r="93" spans="1:9" s="7" customFormat="1" ht="30" customHeight="1" x14ac:dyDescent="0.3">
      <c r="A93" s="3" t="s">
        <v>235</v>
      </c>
      <c r="B93" s="310" t="s">
        <v>66</v>
      </c>
      <c r="C93" s="203"/>
      <c r="D93" s="203">
        <v>0</v>
      </c>
      <c r="E93" s="203">
        <v>0</v>
      </c>
      <c r="F93" s="203">
        <v>0</v>
      </c>
      <c r="G93" s="203">
        <v>0</v>
      </c>
      <c r="H93" s="203">
        <v>0</v>
      </c>
      <c r="I93" s="203"/>
    </row>
    <row r="94" spans="1:9" s="7" customFormat="1" ht="30" customHeight="1" x14ac:dyDescent="0.3">
      <c r="A94" s="3"/>
      <c r="B94" s="310" t="s">
        <v>67</v>
      </c>
      <c r="C94" s="203"/>
      <c r="D94" s="203">
        <v>0</v>
      </c>
      <c r="E94" s="203">
        <v>0</v>
      </c>
      <c r="F94" s="203">
        <v>0</v>
      </c>
      <c r="G94" s="203">
        <v>0</v>
      </c>
      <c r="H94" s="203">
        <v>0</v>
      </c>
      <c r="I94" s="203"/>
    </row>
    <row r="95" spans="1:9" s="7" customFormat="1" ht="30" customHeight="1" x14ac:dyDescent="0.3">
      <c r="A95" s="3" t="s">
        <v>236</v>
      </c>
      <c r="B95" s="310" t="s">
        <v>20</v>
      </c>
      <c r="C95" s="203"/>
      <c r="D95" s="203">
        <v>0</v>
      </c>
      <c r="E95" s="203">
        <v>0</v>
      </c>
      <c r="F95" s="203">
        <v>0</v>
      </c>
      <c r="G95" s="203">
        <v>0</v>
      </c>
      <c r="H95" s="203">
        <v>0</v>
      </c>
      <c r="I95" s="203"/>
    </row>
    <row r="96" spans="1:9" s="7" customFormat="1" ht="30" customHeight="1" x14ac:dyDescent="0.3">
      <c r="A96" s="3" t="s">
        <v>239</v>
      </c>
      <c r="B96" s="311" t="s">
        <v>23</v>
      </c>
      <c r="C96" s="203"/>
      <c r="D96" s="203">
        <v>0</v>
      </c>
      <c r="E96" s="203">
        <v>0</v>
      </c>
      <c r="F96" s="203">
        <v>0</v>
      </c>
      <c r="G96" s="203">
        <v>0</v>
      </c>
      <c r="H96" s="203">
        <v>1</v>
      </c>
      <c r="I96" s="203"/>
    </row>
    <row r="97" spans="1:9" s="7" customFormat="1" ht="30" customHeight="1" x14ac:dyDescent="0.3">
      <c r="A97" s="3" t="s">
        <v>240</v>
      </c>
      <c r="B97" s="311" t="s">
        <v>24</v>
      </c>
      <c r="C97" s="203"/>
      <c r="D97" s="203">
        <v>0</v>
      </c>
      <c r="E97" s="203">
        <v>0</v>
      </c>
      <c r="F97" s="203">
        <v>0</v>
      </c>
      <c r="G97" s="203">
        <v>0</v>
      </c>
      <c r="H97" s="203">
        <v>0</v>
      </c>
      <c r="I97" s="203"/>
    </row>
    <row r="98" spans="1:9" s="7" customFormat="1" ht="30" customHeight="1" x14ac:dyDescent="0.3">
      <c r="A98" s="3" t="s">
        <v>344</v>
      </c>
      <c r="B98" s="311" t="s">
        <v>55</v>
      </c>
      <c r="C98" s="203"/>
      <c r="D98" s="203">
        <v>0</v>
      </c>
      <c r="E98" s="203">
        <v>0</v>
      </c>
      <c r="F98" s="203">
        <v>0</v>
      </c>
      <c r="G98" s="203">
        <v>0</v>
      </c>
      <c r="H98" s="203">
        <v>0</v>
      </c>
      <c r="I98" s="203"/>
    </row>
    <row r="99" spans="1:9" s="7" customFormat="1" ht="30" hidden="1" customHeight="1" x14ac:dyDescent="0.45">
      <c r="A99" s="3"/>
      <c r="B99" s="24"/>
      <c r="C99" s="109"/>
      <c r="D99" s="109"/>
      <c r="E99" s="109"/>
      <c r="F99" s="109"/>
      <c r="G99" s="109"/>
      <c r="H99" s="109"/>
      <c r="I99" s="109"/>
    </row>
    <row r="100" spans="1:9" s="7" customFormat="1" ht="30" hidden="1" customHeight="1" x14ac:dyDescent="0.45">
      <c r="A100" s="3"/>
      <c r="B100" s="24"/>
      <c r="C100" s="109"/>
      <c r="D100" s="109"/>
      <c r="E100" s="109"/>
      <c r="F100" s="109"/>
      <c r="G100" s="109"/>
      <c r="H100" s="109"/>
      <c r="I100" s="109"/>
    </row>
    <row r="101" spans="1:9" s="7" customFormat="1" ht="30" customHeight="1" x14ac:dyDescent="0.3">
      <c r="A101" s="3" t="s">
        <v>343</v>
      </c>
      <c r="B101" s="310" t="s">
        <v>56</v>
      </c>
      <c r="C101" s="203"/>
      <c r="D101" s="203">
        <v>0</v>
      </c>
      <c r="E101" s="203">
        <v>0</v>
      </c>
      <c r="F101" s="203">
        <v>0</v>
      </c>
      <c r="G101" s="203">
        <v>0</v>
      </c>
      <c r="H101" s="203">
        <v>0</v>
      </c>
      <c r="I101" s="203"/>
    </row>
    <row r="102" spans="1:9" s="7" customFormat="1" ht="30" customHeight="1" x14ac:dyDescent="0.3">
      <c r="A102" s="3"/>
      <c r="B102" s="300" t="s">
        <v>35</v>
      </c>
      <c r="C102" s="108"/>
      <c r="D102" s="108"/>
      <c r="E102" s="108"/>
      <c r="F102" s="108"/>
      <c r="G102" s="108"/>
      <c r="H102" s="108"/>
      <c r="I102" s="108"/>
    </row>
    <row r="103" spans="1:9" s="7" customFormat="1" ht="30" customHeight="1" x14ac:dyDescent="0.3">
      <c r="A103" s="3" t="s">
        <v>290</v>
      </c>
      <c r="B103" s="310" t="s">
        <v>16</v>
      </c>
      <c r="C103" s="203"/>
      <c r="D103" s="203">
        <v>0</v>
      </c>
      <c r="E103" s="203">
        <v>0</v>
      </c>
      <c r="F103" s="203">
        <v>0</v>
      </c>
      <c r="G103" s="203">
        <v>0</v>
      </c>
      <c r="H103" s="203">
        <v>0</v>
      </c>
      <c r="I103" s="203"/>
    </row>
    <row r="104" spans="1:9" s="7" customFormat="1" ht="30" customHeight="1" x14ac:dyDescent="0.3">
      <c r="A104" s="3"/>
      <c r="B104" s="312" t="s">
        <v>36</v>
      </c>
      <c r="C104" s="108"/>
      <c r="D104" s="108"/>
      <c r="E104" s="108"/>
      <c r="F104" s="108"/>
      <c r="G104" s="108"/>
      <c r="H104" s="108"/>
      <c r="I104" s="108"/>
    </row>
    <row r="105" spans="1:9" s="7" customFormat="1" ht="30" hidden="1" customHeight="1" x14ac:dyDescent="0.45">
      <c r="A105" s="3"/>
      <c r="B105" s="28"/>
      <c r="C105" s="109"/>
      <c r="D105" s="109"/>
      <c r="E105" s="109"/>
      <c r="F105" s="109"/>
      <c r="G105" s="109"/>
      <c r="H105" s="109"/>
      <c r="I105" s="109"/>
    </row>
    <row r="106" spans="1:9" s="7" customFormat="1" ht="30" customHeight="1" x14ac:dyDescent="0.3">
      <c r="A106" s="3" t="s">
        <v>224</v>
      </c>
      <c r="B106" s="310" t="s">
        <v>17</v>
      </c>
      <c r="C106" s="203"/>
      <c r="D106" s="203">
        <v>0</v>
      </c>
      <c r="E106" s="203">
        <v>0</v>
      </c>
      <c r="F106" s="203">
        <v>0</v>
      </c>
      <c r="G106" s="203">
        <v>0</v>
      </c>
      <c r="H106" s="203">
        <v>0</v>
      </c>
      <c r="I106" s="203"/>
    </row>
    <row r="107" spans="1:9" s="8" customFormat="1" ht="30" customHeight="1" x14ac:dyDescent="0.3">
      <c r="A107" s="3" t="s">
        <v>288</v>
      </c>
      <c r="B107" s="310" t="s">
        <v>49</v>
      </c>
      <c r="C107" s="203"/>
      <c r="D107" s="203">
        <v>0</v>
      </c>
      <c r="E107" s="203">
        <v>0</v>
      </c>
      <c r="F107" s="203">
        <v>0</v>
      </c>
      <c r="G107" s="203">
        <v>0</v>
      </c>
      <c r="H107" s="203">
        <v>0</v>
      </c>
      <c r="I107" s="203"/>
    </row>
    <row r="108" spans="1:9" s="8" customFormat="1" ht="30" customHeight="1" x14ac:dyDescent="0.3">
      <c r="A108" s="3" t="s">
        <v>286</v>
      </c>
      <c r="B108" s="310" t="s">
        <v>50</v>
      </c>
      <c r="C108" s="203"/>
      <c r="D108" s="203">
        <v>0</v>
      </c>
      <c r="E108" s="203">
        <v>0</v>
      </c>
      <c r="F108" s="203">
        <v>1</v>
      </c>
      <c r="G108" s="203">
        <v>1</v>
      </c>
      <c r="H108" s="203">
        <v>1</v>
      </c>
      <c r="I108" s="203"/>
    </row>
    <row r="109" spans="1:9" s="8" customFormat="1" ht="30" customHeight="1" x14ac:dyDescent="0.3">
      <c r="A109" s="3" t="s">
        <v>287</v>
      </c>
      <c r="B109" s="310" t="s">
        <v>51</v>
      </c>
      <c r="C109" s="203"/>
      <c r="D109" s="203">
        <v>0</v>
      </c>
      <c r="E109" s="203">
        <v>0</v>
      </c>
      <c r="F109" s="203">
        <v>0</v>
      </c>
      <c r="G109" s="203">
        <v>0</v>
      </c>
      <c r="H109" s="203">
        <v>0</v>
      </c>
      <c r="I109" s="203"/>
    </row>
    <row r="110" spans="1:9" s="7" customFormat="1" ht="30" customHeight="1" x14ac:dyDescent="0.3">
      <c r="A110" s="3"/>
      <c r="B110" s="312" t="s">
        <v>37</v>
      </c>
      <c r="C110" s="108"/>
      <c r="D110" s="108"/>
      <c r="E110" s="108"/>
      <c r="F110" s="108"/>
      <c r="G110" s="108"/>
      <c r="H110" s="108"/>
      <c r="I110" s="108"/>
    </row>
    <row r="111" spans="1:9" s="7" customFormat="1" ht="30" hidden="1" customHeight="1" x14ac:dyDescent="0.45">
      <c r="A111" s="3"/>
      <c r="B111" s="30"/>
      <c r="C111" s="109"/>
      <c r="D111" s="109"/>
      <c r="E111" s="109"/>
      <c r="F111" s="109"/>
      <c r="G111" s="109"/>
      <c r="H111" s="109"/>
      <c r="I111" s="109"/>
    </row>
    <row r="112" spans="1:9" s="7" customFormat="1" ht="30" hidden="1" customHeight="1" x14ac:dyDescent="0.45">
      <c r="A112" s="3"/>
      <c r="B112" s="30"/>
      <c r="C112" s="109"/>
      <c r="D112" s="109"/>
      <c r="E112" s="109"/>
      <c r="F112" s="109"/>
      <c r="G112" s="109"/>
      <c r="H112" s="109"/>
      <c r="I112" s="109"/>
    </row>
    <row r="113" spans="1:9" s="8" customFormat="1" ht="30" hidden="1" customHeight="1" x14ac:dyDescent="0.45">
      <c r="A113" s="3"/>
      <c r="B113" s="39"/>
      <c r="C113" s="116"/>
      <c r="D113" s="116"/>
      <c r="E113" s="116"/>
      <c r="F113" s="116"/>
      <c r="G113" s="116"/>
      <c r="H113" s="116"/>
      <c r="I113" s="116"/>
    </row>
    <row r="114" spans="1:9" s="8" customFormat="1" ht="30" hidden="1" customHeight="1" x14ac:dyDescent="0.45">
      <c r="A114" s="3"/>
      <c r="B114" s="39"/>
      <c r="C114" s="116"/>
      <c r="D114" s="116"/>
      <c r="E114" s="116"/>
      <c r="F114" s="116"/>
      <c r="G114" s="116"/>
      <c r="H114" s="116"/>
      <c r="I114" s="116"/>
    </row>
    <row r="115" spans="1:9" s="8" customFormat="1" ht="30" hidden="1" customHeight="1" x14ac:dyDescent="0.45">
      <c r="A115" s="3"/>
      <c r="B115" s="39"/>
      <c r="C115" s="116"/>
      <c r="D115" s="116"/>
      <c r="E115" s="116"/>
      <c r="F115" s="116"/>
      <c r="G115" s="116"/>
      <c r="H115" s="116"/>
      <c r="I115" s="116"/>
    </row>
    <row r="116" spans="1:9" s="7" customFormat="1" ht="30" hidden="1" customHeight="1" x14ac:dyDescent="0.45">
      <c r="A116" s="3"/>
      <c r="B116" s="31"/>
      <c r="C116" s="109"/>
      <c r="D116" s="109"/>
      <c r="E116" s="109"/>
      <c r="F116" s="109"/>
      <c r="G116" s="109"/>
      <c r="H116" s="109"/>
      <c r="I116" s="109"/>
    </row>
    <row r="117" spans="1:9" s="7" customFormat="1" ht="30" customHeight="1" x14ac:dyDescent="0.3">
      <c r="A117" s="3" t="s">
        <v>251</v>
      </c>
      <c r="B117" s="313" t="s">
        <v>25</v>
      </c>
      <c r="C117" s="203"/>
      <c r="D117" s="203">
        <v>0</v>
      </c>
      <c r="E117" s="203">
        <v>0</v>
      </c>
      <c r="F117" s="203">
        <v>0</v>
      </c>
      <c r="G117" s="203">
        <v>0</v>
      </c>
      <c r="H117" s="203">
        <v>0</v>
      </c>
      <c r="I117" s="203"/>
    </row>
    <row r="118" spans="1:9" s="7" customFormat="1" ht="30" customHeight="1" x14ac:dyDescent="0.3">
      <c r="A118" s="3"/>
      <c r="B118" s="312" t="s">
        <v>38</v>
      </c>
      <c r="C118" s="108"/>
      <c r="D118" s="108"/>
      <c r="E118" s="108"/>
      <c r="F118" s="108"/>
      <c r="G118" s="108"/>
      <c r="H118" s="108"/>
      <c r="I118" s="108"/>
    </row>
    <row r="119" spans="1:9" s="7" customFormat="1" ht="30" hidden="1" customHeight="1" x14ac:dyDescent="0.45">
      <c r="A119" s="3"/>
      <c r="B119" s="32"/>
      <c r="C119" s="109"/>
      <c r="D119" s="109"/>
      <c r="E119" s="109"/>
      <c r="F119" s="109"/>
      <c r="G119" s="109"/>
      <c r="H119" s="109"/>
      <c r="I119" s="109"/>
    </row>
    <row r="120" spans="1:9" s="7" customFormat="1" ht="30" hidden="1" customHeight="1" x14ac:dyDescent="0.45">
      <c r="A120" s="3"/>
      <c r="B120" s="32"/>
      <c r="C120" s="109"/>
      <c r="D120" s="109"/>
      <c r="E120" s="109"/>
      <c r="F120" s="109"/>
      <c r="G120" s="109"/>
      <c r="H120" s="109"/>
      <c r="I120" s="109"/>
    </row>
    <row r="121" spans="1:9" s="7" customFormat="1" ht="30" customHeight="1" x14ac:dyDescent="0.3">
      <c r="A121" s="3" t="s">
        <v>256</v>
      </c>
      <c r="B121" s="314" t="s">
        <v>52</v>
      </c>
      <c r="C121" s="203"/>
      <c r="D121" s="203">
        <v>0</v>
      </c>
      <c r="E121" s="203">
        <v>0</v>
      </c>
      <c r="F121" s="203">
        <v>0</v>
      </c>
      <c r="G121" s="203">
        <v>0</v>
      </c>
      <c r="H121" s="203">
        <v>0</v>
      </c>
      <c r="I121" s="203"/>
    </row>
    <row r="122" spans="1:9" s="7" customFormat="1" ht="30" customHeight="1" x14ac:dyDescent="0.3">
      <c r="A122" s="3"/>
      <c r="B122" s="312" t="s">
        <v>40</v>
      </c>
      <c r="C122" s="108"/>
      <c r="D122" s="108"/>
      <c r="E122" s="108"/>
      <c r="F122" s="108"/>
      <c r="G122" s="108"/>
      <c r="H122" s="108"/>
      <c r="I122" s="108"/>
    </row>
    <row r="123" spans="1:9" s="7" customFormat="1" ht="30" customHeight="1" x14ac:dyDescent="0.3">
      <c r="A123" s="3" t="s">
        <v>179</v>
      </c>
      <c r="B123" s="313" t="s">
        <v>14</v>
      </c>
      <c r="C123" s="203"/>
      <c r="D123" s="203">
        <v>0</v>
      </c>
      <c r="E123" s="203">
        <v>0</v>
      </c>
      <c r="F123" s="203">
        <v>0</v>
      </c>
      <c r="G123" s="203">
        <v>0</v>
      </c>
      <c r="H123" s="203">
        <v>2</v>
      </c>
      <c r="I123" s="203"/>
    </row>
    <row r="124" spans="1:9" s="7" customFormat="1" ht="30" hidden="1" customHeight="1" x14ac:dyDescent="0.45">
      <c r="A124" s="3"/>
      <c r="B124" s="30"/>
      <c r="C124" s="109"/>
      <c r="D124" s="109"/>
      <c r="E124" s="109"/>
      <c r="F124" s="109"/>
      <c r="G124" s="109"/>
      <c r="H124" s="109"/>
      <c r="I124" s="109"/>
    </row>
    <row r="125" spans="1:9" s="7" customFormat="1" ht="30" hidden="1" customHeight="1" x14ac:dyDescent="0.45">
      <c r="A125" s="3"/>
      <c r="B125" s="40"/>
      <c r="C125" s="109"/>
      <c r="D125" s="109"/>
      <c r="E125" s="109"/>
      <c r="F125" s="109"/>
      <c r="G125" s="109"/>
      <c r="H125" s="109"/>
      <c r="I125" s="109"/>
    </row>
    <row r="126" spans="1:9" s="7" customFormat="1" ht="30" hidden="1" customHeight="1" x14ac:dyDescent="0.45">
      <c r="A126" s="3"/>
      <c r="B126" s="32"/>
      <c r="C126" s="109"/>
      <c r="D126" s="109"/>
      <c r="E126" s="109"/>
      <c r="F126" s="109"/>
      <c r="G126" s="109"/>
      <c r="H126" s="109"/>
      <c r="I126" s="109"/>
    </row>
    <row r="127" spans="1:9" s="7" customFormat="1" ht="30" hidden="1" customHeight="1" x14ac:dyDescent="0.45">
      <c r="A127" s="3"/>
      <c r="B127" s="32"/>
      <c r="C127" s="109"/>
      <c r="D127" s="109"/>
      <c r="E127" s="109"/>
      <c r="F127" s="109"/>
      <c r="G127" s="109"/>
      <c r="H127" s="109"/>
      <c r="I127" s="109"/>
    </row>
    <row r="128" spans="1:9" s="7" customFormat="1" ht="30" customHeight="1" x14ac:dyDescent="0.3">
      <c r="A128" s="3" t="s">
        <v>237</v>
      </c>
      <c r="B128" s="299" t="s">
        <v>15</v>
      </c>
      <c r="C128" s="203"/>
      <c r="D128" s="203">
        <v>0</v>
      </c>
      <c r="E128" s="203">
        <v>0</v>
      </c>
      <c r="F128" s="203">
        <v>0</v>
      </c>
      <c r="G128" s="203">
        <v>0</v>
      </c>
      <c r="H128" s="203">
        <v>0</v>
      </c>
      <c r="I128" s="203"/>
    </row>
    <row r="129" spans="1:9" s="7" customFormat="1" ht="30" customHeight="1" x14ac:dyDescent="0.3">
      <c r="A129" s="3" t="s">
        <v>267</v>
      </c>
      <c r="B129" s="313" t="s">
        <v>26</v>
      </c>
      <c r="C129" s="203"/>
      <c r="D129" s="203">
        <v>0</v>
      </c>
      <c r="E129" s="203">
        <v>0</v>
      </c>
      <c r="F129" s="203">
        <v>0</v>
      </c>
      <c r="G129" s="203">
        <v>0</v>
      </c>
      <c r="H129" s="203">
        <v>3</v>
      </c>
      <c r="I129" s="203"/>
    </row>
    <row r="130" spans="1:9" s="7" customFormat="1" ht="30" customHeight="1" x14ac:dyDescent="0.3">
      <c r="A130" s="3" t="s">
        <v>563</v>
      </c>
      <c r="B130" s="313" t="s">
        <v>58</v>
      </c>
      <c r="C130" s="203"/>
      <c r="D130" s="203">
        <v>0</v>
      </c>
      <c r="E130" s="203">
        <v>0</v>
      </c>
      <c r="F130" s="203">
        <v>0</v>
      </c>
      <c r="G130" s="203">
        <v>0</v>
      </c>
      <c r="H130" s="203">
        <v>0</v>
      </c>
      <c r="I130" s="203"/>
    </row>
    <row r="131" spans="1:9" s="7" customFormat="1" ht="30" hidden="1" customHeight="1" x14ac:dyDescent="0.3">
      <c r="A131" s="3"/>
      <c r="B131" s="41"/>
      <c r="C131" s="118"/>
      <c r="D131" s="118"/>
      <c r="E131" s="118"/>
      <c r="F131" s="118"/>
      <c r="G131" s="118"/>
      <c r="H131" s="118"/>
      <c r="I131" s="118"/>
    </row>
    <row r="132" spans="1:9" s="7" customFormat="1" ht="30" hidden="1" customHeight="1" x14ac:dyDescent="0.45">
      <c r="A132" s="3"/>
      <c r="B132" s="42"/>
      <c r="C132" s="109"/>
      <c r="D132" s="109"/>
      <c r="E132" s="109"/>
      <c r="F132" s="109"/>
      <c r="G132" s="109"/>
      <c r="H132" s="109"/>
      <c r="I132" s="109"/>
    </row>
    <row r="133" spans="1:9" s="7" customFormat="1" ht="30" hidden="1" customHeight="1" x14ac:dyDescent="0.4">
      <c r="A133" s="3"/>
      <c r="B133" s="34"/>
      <c r="C133" s="109"/>
      <c r="D133" s="109"/>
      <c r="E133" s="109"/>
      <c r="F133" s="109"/>
      <c r="G133" s="109"/>
      <c r="H133" s="109"/>
      <c r="I133" s="109"/>
    </row>
    <row r="134" spans="1:9" s="7" customFormat="1" ht="30" hidden="1" customHeight="1" x14ac:dyDescent="0.45">
      <c r="A134" s="3"/>
      <c r="B134" s="42"/>
      <c r="C134" s="109"/>
      <c r="D134" s="109"/>
      <c r="E134" s="109"/>
      <c r="F134" s="109"/>
      <c r="G134" s="109"/>
      <c r="H134" s="109"/>
      <c r="I134" s="109"/>
    </row>
    <row r="135" spans="1:9" s="7" customFormat="1" ht="30" hidden="1" customHeight="1" x14ac:dyDescent="0.45">
      <c r="A135" s="3"/>
      <c r="B135" s="43"/>
      <c r="C135" s="109"/>
      <c r="D135" s="109"/>
      <c r="E135" s="109"/>
      <c r="F135" s="109"/>
      <c r="G135" s="109"/>
      <c r="H135" s="109"/>
      <c r="I135" s="109"/>
    </row>
    <row r="136" spans="1:9" s="7" customFormat="1" ht="30" hidden="1" customHeight="1" x14ac:dyDescent="0.4">
      <c r="A136" s="3"/>
      <c r="B136" s="34"/>
      <c r="C136" s="109"/>
      <c r="D136" s="109"/>
      <c r="E136" s="109"/>
      <c r="F136" s="109"/>
      <c r="G136" s="109"/>
      <c r="H136" s="109"/>
      <c r="I136" s="109"/>
    </row>
    <row r="137" spans="1:9" s="7" customFormat="1" ht="30" hidden="1" customHeight="1" x14ac:dyDescent="0.45">
      <c r="A137" s="3"/>
      <c r="B137" s="42"/>
      <c r="C137" s="109"/>
      <c r="D137" s="109"/>
      <c r="E137" s="109"/>
      <c r="F137" s="109"/>
      <c r="G137" s="109"/>
      <c r="H137" s="109"/>
      <c r="I137" s="109"/>
    </row>
    <row r="138" spans="1:9" s="7" customFormat="1" ht="30" hidden="1" customHeight="1" x14ac:dyDescent="0.4">
      <c r="A138" s="3"/>
      <c r="B138" s="34"/>
      <c r="C138" s="109"/>
      <c r="D138" s="109"/>
      <c r="E138" s="109"/>
      <c r="F138" s="109"/>
      <c r="G138" s="109"/>
      <c r="H138" s="109"/>
      <c r="I138" s="109"/>
    </row>
    <row r="139" spans="1:9" s="7" customFormat="1" ht="30" hidden="1" customHeight="1" x14ac:dyDescent="0.4">
      <c r="A139" s="3"/>
      <c r="B139" s="34"/>
      <c r="C139" s="114"/>
      <c r="D139" s="114"/>
      <c r="E139" s="114"/>
      <c r="F139" s="114"/>
      <c r="G139" s="114"/>
      <c r="H139" s="114"/>
      <c r="I139" s="114"/>
    </row>
    <row r="140" spans="1:9" s="7" customFormat="1" ht="30" hidden="1" customHeight="1" x14ac:dyDescent="0.45">
      <c r="A140" s="3"/>
      <c r="B140" s="43"/>
      <c r="C140" s="109"/>
      <c r="D140" s="109"/>
      <c r="E140" s="109"/>
      <c r="F140" s="109"/>
      <c r="G140" s="109"/>
      <c r="H140" s="109"/>
      <c r="I140" s="109"/>
    </row>
    <row r="141" spans="1:9" s="7" customFormat="1" ht="30" hidden="1" customHeight="1" x14ac:dyDescent="0.45">
      <c r="A141" s="3"/>
      <c r="B141" s="42"/>
      <c r="C141" s="109"/>
      <c r="D141" s="109"/>
      <c r="E141" s="109"/>
      <c r="F141" s="109"/>
      <c r="G141" s="109"/>
      <c r="H141" s="109"/>
      <c r="I141" s="109"/>
    </row>
    <row r="142" spans="1:9" s="7" customFormat="1" ht="30" hidden="1" customHeight="1" x14ac:dyDescent="0.45">
      <c r="A142" s="3"/>
      <c r="B142" s="42"/>
      <c r="C142" s="109"/>
      <c r="D142" s="109"/>
      <c r="E142" s="109"/>
      <c r="F142" s="109"/>
      <c r="G142" s="109"/>
      <c r="H142" s="109"/>
      <c r="I142" s="109"/>
    </row>
    <row r="143" spans="1:9" s="7" customFormat="1" ht="30" hidden="1" customHeight="1" x14ac:dyDescent="0.3">
      <c r="A143" s="3"/>
      <c r="B143" s="21"/>
      <c r="C143" s="120"/>
      <c r="D143" s="120"/>
      <c r="E143" s="120"/>
      <c r="F143" s="120"/>
      <c r="G143" s="120"/>
      <c r="H143" s="120"/>
      <c r="I143" s="120"/>
    </row>
    <row r="144" spans="1:9" s="7" customFormat="1" ht="30" hidden="1" customHeight="1" x14ac:dyDescent="0.4">
      <c r="A144" s="3"/>
      <c r="B144" s="34"/>
      <c r="C144" s="109"/>
      <c r="D144" s="109"/>
      <c r="E144" s="109"/>
      <c r="F144" s="109"/>
      <c r="G144" s="109"/>
      <c r="H144" s="109"/>
      <c r="I144" s="109"/>
    </row>
    <row r="145" spans="1:9" s="7" customFormat="1" ht="30" hidden="1" customHeight="1" x14ac:dyDescent="0.4">
      <c r="A145" s="3"/>
      <c r="B145" s="34"/>
      <c r="C145" s="109"/>
      <c r="D145" s="109"/>
      <c r="E145" s="109"/>
      <c r="F145" s="109"/>
      <c r="G145" s="109"/>
      <c r="H145" s="109"/>
      <c r="I145" s="109"/>
    </row>
    <row r="146" spans="1:9" s="7" customFormat="1" ht="30" hidden="1" customHeight="1" x14ac:dyDescent="0.4">
      <c r="A146" s="3"/>
      <c r="B146" s="34"/>
      <c r="C146" s="109"/>
      <c r="D146" s="109"/>
      <c r="E146" s="109"/>
      <c r="F146" s="109"/>
      <c r="G146" s="109"/>
      <c r="H146" s="109"/>
      <c r="I146" s="109"/>
    </row>
    <row r="147" spans="1:9" s="7" customFormat="1" ht="30" hidden="1" customHeight="1" x14ac:dyDescent="0.4">
      <c r="A147" s="3"/>
      <c r="B147" s="34"/>
      <c r="C147" s="109"/>
      <c r="D147" s="109"/>
      <c r="E147" s="109"/>
      <c r="F147" s="109"/>
      <c r="G147" s="109"/>
      <c r="H147" s="109"/>
      <c r="I147" s="109"/>
    </row>
    <row r="148" spans="1:9" s="7" customFormat="1" ht="30" hidden="1" customHeight="1" x14ac:dyDescent="0.4">
      <c r="A148" s="3"/>
      <c r="B148" s="34"/>
      <c r="C148" s="109"/>
      <c r="D148" s="109"/>
      <c r="E148" s="109"/>
      <c r="F148" s="109"/>
      <c r="G148" s="109"/>
      <c r="H148" s="109"/>
      <c r="I148" s="109"/>
    </row>
    <row r="149" spans="1:9" s="7" customFormat="1" ht="30" hidden="1" customHeight="1" x14ac:dyDescent="0.4">
      <c r="A149" s="3"/>
      <c r="B149" s="34"/>
      <c r="C149" s="109"/>
      <c r="D149" s="109"/>
      <c r="E149" s="109"/>
      <c r="F149" s="109"/>
      <c r="G149" s="109"/>
      <c r="H149" s="109"/>
      <c r="I149" s="109"/>
    </row>
    <row r="150" spans="1:9" s="7" customFormat="1" ht="30" hidden="1" customHeight="1" x14ac:dyDescent="0.4">
      <c r="A150" s="3"/>
      <c r="B150" s="34"/>
      <c r="C150" s="109"/>
      <c r="D150" s="109"/>
      <c r="E150" s="109"/>
      <c r="F150" s="109"/>
      <c r="G150" s="109"/>
      <c r="H150" s="109"/>
      <c r="I150" s="109"/>
    </row>
    <row r="151" spans="1:9" s="7" customFormat="1" ht="30" hidden="1" customHeight="1" x14ac:dyDescent="0.4">
      <c r="A151" s="3"/>
      <c r="B151" s="34"/>
      <c r="C151" s="109"/>
      <c r="D151" s="109"/>
      <c r="E151" s="109"/>
      <c r="F151" s="109"/>
      <c r="G151" s="109"/>
      <c r="H151" s="109"/>
      <c r="I151" s="109"/>
    </row>
    <row r="152" spans="1:9" s="7" customFormat="1" ht="30" hidden="1" customHeight="1" x14ac:dyDescent="0.4">
      <c r="A152" s="3"/>
      <c r="B152" s="34"/>
      <c r="C152" s="109"/>
      <c r="D152" s="109"/>
      <c r="E152" s="109"/>
      <c r="F152" s="109"/>
      <c r="G152" s="109"/>
      <c r="H152" s="109"/>
      <c r="I152" s="109"/>
    </row>
    <row r="153" spans="1:9" s="7" customFormat="1" ht="30" hidden="1" customHeight="1" x14ac:dyDescent="0.4">
      <c r="A153" s="3"/>
      <c r="B153" s="34"/>
      <c r="C153" s="109"/>
      <c r="D153" s="109"/>
      <c r="E153" s="109"/>
      <c r="F153" s="109"/>
      <c r="G153" s="109"/>
      <c r="H153" s="109"/>
      <c r="I153" s="109"/>
    </row>
    <row r="154" spans="1:9" s="7" customFormat="1" ht="30" hidden="1" customHeight="1" x14ac:dyDescent="0.4">
      <c r="A154" s="3"/>
      <c r="B154" s="34"/>
      <c r="C154" s="109"/>
      <c r="D154" s="109"/>
      <c r="E154" s="109"/>
      <c r="F154" s="109"/>
      <c r="G154" s="109"/>
      <c r="H154" s="109"/>
      <c r="I154" s="109"/>
    </row>
    <row r="155" spans="1:9" s="7" customFormat="1" ht="30" hidden="1" customHeight="1" x14ac:dyDescent="0.4">
      <c r="A155" s="3"/>
      <c r="B155" s="34"/>
      <c r="C155" s="114"/>
      <c r="D155" s="114"/>
      <c r="E155" s="114"/>
      <c r="F155" s="114"/>
      <c r="G155" s="114"/>
      <c r="H155" s="114"/>
      <c r="I155" s="114"/>
    </row>
    <row r="156" spans="1:9" s="7" customFormat="1" ht="30" hidden="1" customHeight="1" x14ac:dyDescent="0.4">
      <c r="A156" s="3"/>
      <c r="B156" s="34"/>
      <c r="C156" s="109"/>
      <c r="D156" s="109"/>
      <c r="E156" s="109"/>
      <c r="F156" s="109"/>
      <c r="G156" s="109"/>
      <c r="H156" s="109"/>
      <c r="I156" s="109"/>
    </row>
    <row r="157" spans="1:9" s="7" customFormat="1" ht="30" hidden="1" customHeight="1" x14ac:dyDescent="0.4">
      <c r="A157" s="3"/>
      <c r="B157" s="34"/>
      <c r="C157" s="109"/>
      <c r="D157" s="109"/>
      <c r="E157" s="109"/>
      <c r="F157" s="109"/>
      <c r="G157" s="109"/>
      <c r="H157" s="109"/>
      <c r="I157" s="109"/>
    </row>
    <row r="158" spans="1:9" s="7" customFormat="1" ht="30" hidden="1" customHeight="1" x14ac:dyDescent="0.3">
      <c r="A158" s="3"/>
      <c r="B158" s="44"/>
      <c r="C158" s="121"/>
      <c r="D158" s="121"/>
      <c r="E158" s="121"/>
      <c r="F158" s="121"/>
      <c r="G158" s="121"/>
      <c r="H158" s="121"/>
      <c r="I158" s="121"/>
    </row>
    <row r="159" spans="1:9" s="7" customFormat="1" ht="30" hidden="1" customHeight="1" x14ac:dyDescent="0.4">
      <c r="A159" s="3"/>
      <c r="B159" s="34"/>
      <c r="C159" s="109"/>
      <c r="D159" s="109"/>
      <c r="E159" s="109"/>
      <c r="F159" s="109"/>
      <c r="G159" s="109"/>
      <c r="H159" s="109"/>
      <c r="I159" s="109"/>
    </row>
    <row r="160" spans="1:9" s="7" customFormat="1" ht="30" hidden="1" customHeight="1" x14ac:dyDescent="0.4">
      <c r="A160" s="3"/>
      <c r="B160" s="34"/>
      <c r="C160" s="109"/>
      <c r="D160" s="109"/>
      <c r="E160" s="109"/>
      <c r="F160" s="109"/>
      <c r="G160" s="109"/>
      <c r="H160" s="109"/>
      <c r="I160" s="109"/>
    </row>
    <row r="161" spans="1:9" s="7" customFormat="1" ht="30" hidden="1" customHeight="1" x14ac:dyDescent="0.4">
      <c r="A161" s="3"/>
      <c r="B161" s="34"/>
      <c r="C161" s="109"/>
      <c r="D161" s="109"/>
      <c r="E161" s="109"/>
      <c r="F161" s="109"/>
      <c r="G161" s="109"/>
      <c r="H161" s="109"/>
      <c r="I161" s="109"/>
    </row>
    <row r="162" spans="1:9" s="7" customFormat="1" ht="30" hidden="1" customHeight="1" x14ac:dyDescent="0.4">
      <c r="A162" s="3"/>
      <c r="B162" s="34"/>
      <c r="C162" s="109"/>
      <c r="D162" s="109"/>
      <c r="E162" s="109"/>
      <c r="F162" s="109"/>
      <c r="G162" s="109"/>
      <c r="H162" s="109"/>
      <c r="I162" s="109"/>
    </row>
    <row r="163" spans="1:9" s="7" customFormat="1" ht="30" hidden="1" customHeight="1" x14ac:dyDescent="0.4">
      <c r="A163" s="66"/>
      <c r="B163" s="34"/>
      <c r="C163" s="114"/>
      <c r="D163" s="114"/>
      <c r="E163" s="114"/>
      <c r="F163" s="114"/>
      <c r="G163" s="114"/>
      <c r="H163" s="114"/>
      <c r="I163" s="114"/>
    </row>
    <row r="164" spans="1:9" s="7" customFormat="1" ht="30" hidden="1" customHeight="1" x14ac:dyDescent="0.4">
      <c r="A164" s="66"/>
      <c r="B164" s="34"/>
      <c r="C164" s="109"/>
      <c r="D164" s="109"/>
      <c r="E164" s="109"/>
      <c r="F164" s="109"/>
      <c r="G164" s="109"/>
      <c r="H164" s="109"/>
      <c r="I164" s="109"/>
    </row>
    <row r="165" spans="1:9" s="7" customFormat="1" ht="30" customHeight="1" x14ac:dyDescent="0.45">
      <c r="A165"/>
      <c r="B165" s="45"/>
      <c r="C165" s="196"/>
      <c r="D165" s="196"/>
      <c r="E165" s="196"/>
      <c r="F165" s="196"/>
      <c r="G165" s="196"/>
      <c r="H165" s="196"/>
      <c r="I165" s="196"/>
    </row>
    <row r="166" spans="1:9" s="7" customFormat="1" ht="21.95" customHeight="1" x14ac:dyDescent="0.45">
      <c r="A166"/>
      <c r="B166" s="45"/>
      <c r="C166" s="123"/>
      <c r="D166" s="123"/>
      <c r="E166" s="123"/>
      <c r="F166" s="123"/>
      <c r="G166" s="123"/>
      <c r="H166" s="123"/>
      <c r="I166" s="123"/>
    </row>
    <row r="167" spans="1:9" s="7" customFormat="1" ht="21.95" customHeight="1" x14ac:dyDescent="0.45">
      <c r="A167"/>
      <c r="B167" s="46"/>
      <c r="C167" s="123"/>
      <c r="D167" s="123"/>
      <c r="E167" s="123"/>
      <c r="F167" s="123"/>
      <c r="G167" s="123"/>
      <c r="H167" s="123"/>
      <c r="I167" s="123"/>
    </row>
    <row r="169" spans="1:9" ht="45" customHeight="1" x14ac:dyDescent="0.5">
      <c r="B169" s="48" t="s">
        <v>68</v>
      </c>
    </row>
    <row r="170" spans="1:9" ht="31.5" x14ac:dyDescent="0.5">
      <c r="B170" s="48"/>
    </row>
    <row r="171" spans="1:9" ht="31.5" x14ac:dyDescent="0.5">
      <c r="B171" s="48"/>
    </row>
    <row r="172" spans="1:9" ht="31.5" x14ac:dyDescent="0.5">
      <c r="B172" s="48"/>
    </row>
    <row r="173" spans="1:9" s="128" customFormat="1" ht="31.5" x14ac:dyDescent="0.5">
      <c r="A173"/>
      <c r="B173" s="48"/>
      <c r="C173" s="97"/>
      <c r="D173" s="97"/>
      <c r="E173" s="97"/>
      <c r="F173" s="97"/>
      <c r="G173" s="97"/>
      <c r="H173" s="97"/>
      <c r="I173" s="97"/>
    </row>
    <row r="174" spans="1:9" s="128" customFormat="1" ht="31.5" x14ac:dyDescent="0.5">
      <c r="A174"/>
      <c r="B174" s="48"/>
      <c r="C174" s="97"/>
      <c r="D174" s="97"/>
      <c r="E174" s="97"/>
      <c r="F174" s="97"/>
      <c r="G174" s="97"/>
      <c r="H174" s="97"/>
      <c r="I174" s="97"/>
    </row>
    <row r="175" spans="1:9" s="128" customFormat="1" ht="31.5" x14ac:dyDescent="0.5">
      <c r="A175"/>
      <c r="B175" s="48"/>
      <c r="C175" s="97"/>
      <c r="D175" s="97"/>
      <c r="E175" s="97"/>
      <c r="F175" s="97"/>
      <c r="G175" s="97"/>
      <c r="H175" s="97"/>
      <c r="I175" s="97"/>
    </row>
  </sheetData>
  <autoFilter ref="B1:I164" xr:uid="{00000000-0009-0000-0000-000006000000}">
    <filterColumn colId="0">
      <customFilters>
        <customFilter operator="notEqual" val=" "/>
      </customFilters>
    </filterColumn>
  </autoFilter>
  <pageMargins left="0.25" right="0.25" top="0.75" bottom="0.75" header="0.3" footer="0.3"/>
  <pageSetup paperSize="129" scale="36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B1:O201"/>
  <sheetViews>
    <sheetView workbookViewId="0">
      <selection activeCell="F205" sqref="F205"/>
    </sheetView>
  </sheetViews>
  <sheetFormatPr baseColWidth="10" defaultRowHeight="15" x14ac:dyDescent="0.25"/>
  <cols>
    <col min="2" max="2" width="49.140625" bestFit="1" customWidth="1"/>
    <col min="8" max="8" width="49.140625" bestFit="1" customWidth="1"/>
  </cols>
  <sheetData>
    <row r="1" spans="2:15" ht="15.75" thickBot="1" x14ac:dyDescent="0.3">
      <c r="B1" s="4" t="s">
        <v>565</v>
      </c>
      <c r="C1" s="4" t="s">
        <v>566</v>
      </c>
      <c r="I1" s="246" t="s">
        <v>577</v>
      </c>
      <c r="J1" s="247" t="s">
        <v>578</v>
      </c>
      <c r="K1" s="247" t="s">
        <v>584</v>
      </c>
      <c r="L1" s="247" t="s">
        <v>580</v>
      </c>
      <c r="M1" s="247" t="s">
        <v>581</v>
      </c>
      <c r="N1" s="247" t="s">
        <v>585</v>
      </c>
      <c r="O1" s="248" t="s">
        <v>583</v>
      </c>
    </row>
    <row r="2" spans="2:15" ht="15.75" x14ac:dyDescent="0.25">
      <c r="B2" s="157" t="s">
        <v>172</v>
      </c>
      <c r="C2" s="66">
        <f>IFERROR(VLOOKUP(B2,[1]!Tabla1[#All],132,FALSE),0)</f>
        <v>0</v>
      </c>
      <c r="H2" s="249" t="s">
        <v>172</v>
      </c>
      <c r="I2" s="259"/>
      <c r="J2" s="260">
        <v>0</v>
      </c>
      <c r="K2" s="260">
        <v>0</v>
      </c>
      <c r="L2" s="260">
        <v>0</v>
      </c>
      <c r="M2" s="260">
        <v>0</v>
      </c>
      <c r="N2" s="260">
        <v>0</v>
      </c>
      <c r="O2" s="261"/>
    </row>
    <row r="3" spans="2:15" ht="15.75" x14ac:dyDescent="0.25">
      <c r="B3" s="73" t="s">
        <v>173</v>
      </c>
      <c r="C3" s="66">
        <f>IFERROR(VLOOKUP(B3,[1]!Tabla1[#All],132,FALSE),0)</f>
        <v>0</v>
      </c>
      <c r="H3" s="250" t="s">
        <v>173</v>
      </c>
      <c r="I3" s="262"/>
      <c r="J3" s="2">
        <v>0</v>
      </c>
      <c r="K3" s="2">
        <v>0</v>
      </c>
      <c r="L3" s="2">
        <v>0</v>
      </c>
      <c r="M3" s="2">
        <v>0</v>
      </c>
      <c r="N3" s="2">
        <v>0</v>
      </c>
      <c r="O3" s="263"/>
    </row>
    <row r="4" spans="2:15" ht="15.75" x14ac:dyDescent="0.25">
      <c r="B4" s="73" t="s">
        <v>174</v>
      </c>
      <c r="C4" s="66">
        <f>IFERROR(VLOOKUP(B4,[1]!Tabla1[#All],132,FALSE),0)</f>
        <v>0</v>
      </c>
      <c r="H4" s="251" t="s">
        <v>174</v>
      </c>
      <c r="I4" s="262"/>
      <c r="J4" s="2">
        <v>0</v>
      </c>
      <c r="K4" s="2">
        <v>0</v>
      </c>
      <c r="L4" s="2">
        <v>0</v>
      </c>
      <c r="M4" s="2">
        <v>0</v>
      </c>
      <c r="N4" s="2">
        <v>0</v>
      </c>
      <c r="O4" s="263"/>
    </row>
    <row r="5" spans="2:15" ht="15.75" x14ac:dyDescent="0.25">
      <c r="B5" s="73" t="s">
        <v>175</v>
      </c>
      <c r="C5" s="66">
        <f>IFERROR(VLOOKUP(B5,[1]!Tabla1[#All],132,FALSE),0)</f>
        <v>0</v>
      </c>
      <c r="H5" s="250" t="s">
        <v>175</v>
      </c>
      <c r="I5" s="262"/>
      <c r="J5" s="2">
        <v>0</v>
      </c>
      <c r="K5" s="2">
        <v>0</v>
      </c>
      <c r="L5" s="2">
        <v>0</v>
      </c>
      <c r="M5" s="2">
        <v>0</v>
      </c>
      <c r="N5" s="2">
        <v>0</v>
      </c>
      <c r="O5" s="263"/>
    </row>
    <row r="6" spans="2:15" ht="15.75" x14ac:dyDescent="0.25">
      <c r="B6" s="74" t="s">
        <v>176</v>
      </c>
      <c r="C6" s="66">
        <f>IFERROR(VLOOKUP(B6,[1]!Tabla1[#All],132,FALSE),0)</f>
        <v>0</v>
      </c>
      <c r="H6" s="252" t="s">
        <v>176</v>
      </c>
      <c r="I6" s="262"/>
      <c r="J6" s="2">
        <v>525</v>
      </c>
      <c r="K6" s="2">
        <v>750</v>
      </c>
      <c r="L6" s="2">
        <v>1875</v>
      </c>
      <c r="M6" s="2">
        <v>1875</v>
      </c>
      <c r="N6" s="2">
        <v>2625</v>
      </c>
      <c r="O6" s="263"/>
    </row>
    <row r="7" spans="2:15" ht="15.75" x14ac:dyDescent="0.25">
      <c r="B7" s="73" t="s">
        <v>177</v>
      </c>
      <c r="C7" s="66">
        <f>IFERROR(VLOOKUP(B7,[1]!Tabla1[#All],132,FALSE),0)</f>
        <v>0</v>
      </c>
      <c r="H7" s="250" t="s">
        <v>177</v>
      </c>
      <c r="I7" s="262"/>
      <c r="J7" s="2">
        <v>0</v>
      </c>
      <c r="K7" s="2">
        <v>0</v>
      </c>
      <c r="L7" s="2">
        <v>0</v>
      </c>
      <c r="M7" s="2">
        <v>225</v>
      </c>
      <c r="N7" s="2">
        <v>0</v>
      </c>
      <c r="O7" s="263"/>
    </row>
    <row r="8" spans="2:15" ht="15.75" x14ac:dyDescent="0.25">
      <c r="B8" s="158" t="s">
        <v>178</v>
      </c>
      <c r="C8" s="66">
        <f>IFERROR(VLOOKUP(B8,[1]!Tabla1[#All],132,FALSE),0)</f>
        <v>0</v>
      </c>
      <c r="H8" s="253" t="s">
        <v>178</v>
      </c>
      <c r="I8" s="262"/>
      <c r="J8" s="2">
        <v>0</v>
      </c>
      <c r="K8" s="2">
        <v>0</v>
      </c>
      <c r="L8" s="2">
        <v>0</v>
      </c>
      <c r="M8" s="2">
        <v>0</v>
      </c>
      <c r="N8" s="2">
        <v>0</v>
      </c>
      <c r="O8" s="263"/>
    </row>
    <row r="9" spans="2:15" ht="15.75" x14ac:dyDescent="0.25">
      <c r="B9" s="157" t="s">
        <v>446</v>
      </c>
      <c r="C9" s="66">
        <f>IFERROR(VLOOKUP(B9,[1]!Tabla1[#All],132,FALSE),0)</f>
        <v>0</v>
      </c>
      <c r="H9" s="249" t="s">
        <v>446</v>
      </c>
      <c r="I9" s="262"/>
      <c r="J9" s="2">
        <v>20</v>
      </c>
      <c r="K9" s="2">
        <v>0</v>
      </c>
      <c r="L9" s="2">
        <v>0</v>
      </c>
      <c r="M9" s="2">
        <v>95</v>
      </c>
      <c r="N9" s="2">
        <v>0</v>
      </c>
      <c r="O9" s="263"/>
    </row>
    <row r="10" spans="2:15" ht="15.75" x14ac:dyDescent="0.25">
      <c r="B10" s="74" t="s">
        <v>179</v>
      </c>
      <c r="C10" s="66">
        <f>IFERROR(VLOOKUP(B10,[1]!Tabla1[#All],132,FALSE),0)</f>
        <v>0</v>
      </c>
      <c r="H10" s="252" t="s">
        <v>179</v>
      </c>
      <c r="I10" s="262"/>
      <c r="J10" s="2">
        <v>0</v>
      </c>
      <c r="K10" s="2">
        <v>75</v>
      </c>
      <c r="L10" s="2">
        <v>0</v>
      </c>
      <c r="M10" s="2">
        <v>300</v>
      </c>
      <c r="N10" s="2">
        <v>0</v>
      </c>
      <c r="O10" s="263"/>
    </row>
    <row r="11" spans="2:15" ht="15.75" x14ac:dyDescent="0.25">
      <c r="B11" s="74" t="s">
        <v>87</v>
      </c>
      <c r="C11" s="66">
        <f>IFERROR(VLOOKUP(B11,[1]!Tabla1[#All],132,FALSE),0)</f>
        <v>0</v>
      </c>
      <c r="H11" s="254" t="s">
        <v>87</v>
      </c>
      <c r="I11" s="262"/>
      <c r="J11" s="2">
        <v>0</v>
      </c>
      <c r="K11" s="2">
        <v>1</v>
      </c>
      <c r="L11" s="2">
        <v>0</v>
      </c>
      <c r="M11" s="2">
        <v>2</v>
      </c>
      <c r="N11" s="2">
        <v>0</v>
      </c>
      <c r="O11" s="263"/>
    </row>
    <row r="12" spans="2:15" ht="15.75" x14ac:dyDescent="0.25">
      <c r="B12" s="74" t="s">
        <v>180</v>
      </c>
      <c r="C12" s="66">
        <f>IFERROR(VLOOKUP(B12,[1]!Tabla1[#All],132,FALSE),0)</f>
        <v>0</v>
      </c>
      <c r="H12" s="252" t="s">
        <v>180</v>
      </c>
      <c r="I12" s="262"/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63"/>
    </row>
    <row r="13" spans="2:15" ht="15.75" x14ac:dyDescent="0.25">
      <c r="B13" s="73" t="s">
        <v>450</v>
      </c>
      <c r="C13" s="66">
        <f>IFERROR(VLOOKUP(B13,[1]!Tabla1[#All],132,FALSE),0)</f>
        <v>0</v>
      </c>
      <c r="H13" s="250" t="s">
        <v>450</v>
      </c>
      <c r="I13" s="262"/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63"/>
    </row>
    <row r="14" spans="2:15" ht="15.75" x14ac:dyDescent="0.25">
      <c r="B14" s="73" t="s">
        <v>181</v>
      </c>
      <c r="C14" s="66">
        <f>IFERROR(VLOOKUP(B14,[1]!Tabla1[#All],132,FALSE),0)</f>
        <v>0</v>
      </c>
      <c r="H14" s="251" t="s">
        <v>181</v>
      </c>
      <c r="I14" s="262"/>
      <c r="J14" s="2">
        <v>880</v>
      </c>
      <c r="K14" s="2">
        <v>560</v>
      </c>
      <c r="L14" s="2">
        <v>1030</v>
      </c>
      <c r="M14" s="2">
        <v>960</v>
      </c>
      <c r="N14" s="2">
        <v>1760</v>
      </c>
      <c r="O14" s="263"/>
    </row>
    <row r="15" spans="2:15" ht="15.75" x14ac:dyDescent="0.25">
      <c r="B15" s="74" t="s">
        <v>93</v>
      </c>
      <c r="C15" s="66">
        <f>IFERROR(VLOOKUP(B15,[1]!Tabla1[#All],132,FALSE),0)</f>
        <v>0</v>
      </c>
      <c r="H15" s="254" t="s">
        <v>93</v>
      </c>
      <c r="I15" s="262"/>
      <c r="J15" s="2">
        <v>8</v>
      </c>
      <c r="K15" s="2">
        <v>20</v>
      </c>
      <c r="L15" s="2">
        <v>5</v>
      </c>
      <c r="M15" s="2">
        <v>18</v>
      </c>
      <c r="N15" s="2">
        <v>12</v>
      </c>
      <c r="O15" s="263"/>
    </row>
    <row r="16" spans="2:15" ht="15.75" x14ac:dyDescent="0.25">
      <c r="B16" s="73" t="s">
        <v>182</v>
      </c>
      <c r="C16" s="66">
        <f>IFERROR(VLOOKUP(B16,[1]!Tabla1[#All],132,FALSE),0)</f>
        <v>0</v>
      </c>
      <c r="H16" s="251" t="s">
        <v>182</v>
      </c>
      <c r="I16" s="262"/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63"/>
    </row>
    <row r="17" spans="2:15" ht="15.75" x14ac:dyDescent="0.25">
      <c r="B17" s="157" t="s">
        <v>183</v>
      </c>
      <c r="C17" s="66">
        <f>IFERROR(VLOOKUP(B17,[1]!Tabla1[#All],132,FALSE),0)</f>
        <v>0</v>
      </c>
      <c r="H17" s="249" t="s">
        <v>183</v>
      </c>
      <c r="I17" s="262"/>
      <c r="J17" s="2">
        <v>0</v>
      </c>
      <c r="K17" s="2">
        <v>0</v>
      </c>
      <c r="L17" s="2">
        <v>1500</v>
      </c>
      <c r="M17" s="2">
        <v>4500</v>
      </c>
      <c r="N17" s="2">
        <v>0</v>
      </c>
      <c r="O17" s="263"/>
    </row>
    <row r="18" spans="2:15" ht="15.75" x14ac:dyDescent="0.25">
      <c r="B18" s="157" t="s">
        <v>557</v>
      </c>
      <c r="C18" s="66">
        <f>IFERROR(VLOOKUP(B18,[1]!Tabla1[#All],132,FALSE),0)</f>
        <v>0</v>
      </c>
      <c r="H18" s="249" t="s">
        <v>557</v>
      </c>
      <c r="I18" s="262"/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63"/>
    </row>
    <row r="19" spans="2:15" ht="15.75" x14ac:dyDescent="0.25">
      <c r="B19" s="73" t="s">
        <v>184</v>
      </c>
      <c r="C19" s="66">
        <f>IFERROR(VLOOKUP(B19,[1]!Tabla1[#All],132,FALSE),0)</f>
        <v>0</v>
      </c>
      <c r="H19" s="250" t="s">
        <v>184</v>
      </c>
      <c r="I19" s="262"/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63"/>
    </row>
    <row r="20" spans="2:15" ht="15.75" x14ac:dyDescent="0.25">
      <c r="B20" s="157" t="s">
        <v>185</v>
      </c>
      <c r="C20" s="66">
        <f>IFERROR(VLOOKUP(B20,[1]!Tabla1[#All],132,FALSE),0)</f>
        <v>0</v>
      </c>
      <c r="H20" s="249" t="s">
        <v>185</v>
      </c>
      <c r="I20" s="262"/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63"/>
    </row>
    <row r="21" spans="2:15" ht="15.75" x14ac:dyDescent="0.25">
      <c r="B21" s="157" t="s">
        <v>186</v>
      </c>
      <c r="C21" s="66">
        <f>IFERROR(VLOOKUP(B21,[1]!Tabla1[#All],132,FALSE),0)</f>
        <v>0</v>
      </c>
      <c r="H21" s="249" t="s">
        <v>186</v>
      </c>
      <c r="I21" s="262"/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63"/>
    </row>
    <row r="22" spans="2:15" ht="15.75" x14ac:dyDescent="0.25">
      <c r="B22" s="244" t="s">
        <v>325</v>
      </c>
      <c r="C22" s="66">
        <f>IFERROR(VLOOKUP(B22,[1]!Tabla1[#All],132,FALSE),0)</f>
        <v>0</v>
      </c>
      <c r="H22" s="255" t="s">
        <v>325</v>
      </c>
      <c r="I22" s="262"/>
      <c r="J22" s="2">
        <v>20</v>
      </c>
      <c r="K22" s="2">
        <v>60</v>
      </c>
      <c r="L22" s="2">
        <v>0</v>
      </c>
      <c r="M22" s="2">
        <v>40</v>
      </c>
      <c r="N22" s="2">
        <v>0</v>
      </c>
      <c r="O22" s="263"/>
    </row>
    <row r="23" spans="2:15" ht="15.75" x14ac:dyDescent="0.25">
      <c r="B23" s="244" t="s">
        <v>330</v>
      </c>
      <c r="C23" s="66">
        <f>IFERROR(VLOOKUP(B23,[1]!Tabla1[#All],132,FALSE),0)</f>
        <v>0</v>
      </c>
      <c r="H23" s="255" t="s">
        <v>330</v>
      </c>
      <c r="I23" s="262"/>
      <c r="J23" s="2">
        <v>1</v>
      </c>
      <c r="K23" s="2">
        <v>3</v>
      </c>
      <c r="L23" s="2">
        <v>0</v>
      </c>
      <c r="M23" s="2">
        <v>2</v>
      </c>
      <c r="N23" s="2">
        <v>0</v>
      </c>
      <c r="O23" s="263"/>
    </row>
    <row r="24" spans="2:15" ht="15.75" x14ac:dyDescent="0.25">
      <c r="B24" s="157" t="s">
        <v>187</v>
      </c>
      <c r="C24" s="66">
        <f>IFERROR(VLOOKUP(B24,[1]!Tabla1[#All],132,FALSE),0)</f>
        <v>0</v>
      </c>
      <c r="H24" s="249" t="s">
        <v>187</v>
      </c>
      <c r="I24" s="262"/>
      <c r="J24" s="2">
        <v>4500</v>
      </c>
      <c r="K24" s="2">
        <v>500</v>
      </c>
      <c r="L24" s="2">
        <v>13500</v>
      </c>
      <c r="M24" s="2">
        <v>11000</v>
      </c>
      <c r="N24" s="2">
        <v>5500</v>
      </c>
      <c r="O24" s="263"/>
    </row>
    <row r="25" spans="2:15" ht="15.75" x14ac:dyDescent="0.25">
      <c r="B25" s="157" t="s">
        <v>188</v>
      </c>
      <c r="C25" s="66">
        <f>IFERROR(VLOOKUP(B25,[1]!Tabla1[#All],132,FALSE),0)</f>
        <v>0</v>
      </c>
      <c r="H25" s="249" t="s">
        <v>188</v>
      </c>
      <c r="I25" s="262"/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63"/>
    </row>
    <row r="26" spans="2:15" ht="15.75" x14ac:dyDescent="0.25">
      <c r="B26" s="157" t="s">
        <v>189</v>
      </c>
      <c r="C26" s="66">
        <f>IFERROR(VLOOKUP(B26,[1]!Tabla1[#All],132,FALSE),0)</f>
        <v>0</v>
      </c>
      <c r="H26" s="249" t="s">
        <v>189</v>
      </c>
      <c r="I26" s="262"/>
      <c r="J26" s="2">
        <v>1</v>
      </c>
      <c r="K26" s="2">
        <v>0</v>
      </c>
      <c r="L26" s="2">
        <v>1</v>
      </c>
      <c r="M26" s="2">
        <v>1</v>
      </c>
      <c r="N26" s="2">
        <v>1</v>
      </c>
      <c r="O26" s="263"/>
    </row>
    <row r="27" spans="2:15" ht="15.75" x14ac:dyDescent="0.25">
      <c r="B27" s="73" t="s">
        <v>190</v>
      </c>
      <c r="C27" s="66">
        <f>IFERROR(VLOOKUP(B27,[1]!Tabla1[#All],132,FALSE),0)</f>
        <v>0</v>
      </c>
      <c r="H27" s="250" t="s">
        <v>190</v>
      </c>
      <c r="I27" s="262"/>
      <c r="J27" s="2">
        <v>225</v>
      </c>
      <c r="K27" s="2">
        <v>600</v>
      </c>
      <c r="L27" s="2">
        <v>450</v>
      </c>
      <c r="M27" s="2">
        <v>1500</v>
      </c>
      <c r="N27" s="2">
        <v>150</v>
      </c>
      <c r="O27" s="263"/>
    </row>
    <row r="28" spans="2:15" ht="15.75" x14ac:dyDescent="0.25">
      <c r="B28" s="74" t="s">
        <v>191</v>
      </c>
      <c r="C28" s="66">
        <f>IFERROR(VLOOKUP(B28,[1]!Tabla1[#All],132,FALSE),0)</f>
        <v>0</v>
      </c>
      <c r="H28" s="252" t="s">
        <v>191</v>
      </c>
      <c r="I28" s="262"/>
      <c r="J28" s="2">
        <v>0</v>
      </c>
      <c r="K28" s="2">
        <v>0</v>
      </c>
      <c r="L28" s="2">
        <v>700</v>
      </c>
      <c r="M28" s="2">
        <v>1650</v>
      </c>
      <c r="N28" s="2">
        <v>1400</v>
      </c>
      <c r="O28" s="263"/>
    </row>
    <row r="29" spans="2:15" ht="15.75" x14ac:dyDescent="0.25">
      <c r="B29" s="157" t="s">
        <v>83</v>
      </c>
      <c r="C29" s="66">
        <f>IFERROR(VLOOKUP(B29,[1]!Tabla1[#All],132,FALSE),0)</f>
        <v>0</v>
      </c>
      <c r="H29" s="249" t="s">
        <v>83</v>
      </c>
      <c r="I29" s="262"/>
      <c r="J29" s="2">
        <v>4</v>
      </c>
      <c r="K29" s="2">
        <v>0</v>
      </c>
      <c r="L29" s="2">
        <v>8</v>
      </c>
      <c r="M29" s="2">
        <v>4</v>
      </c>
      <c r="N29" s="2">
        <v>0</v>
      </c>
      <c r="O29" s="263"/>
    </row>
    <row r="30" spans="2:15" ht="15.75" x14ac:dyDescent="0.25">
      <c r="B30" s="157" t="s">
        <v>141</v>
      </c>
      <c r="C30" s="66">
        <f>IFERROR(VLOOKUP(B30,[1]!Tabla1[#All],132,FALSE),0)</f>
        <v>0</v>
      </c>
      <c r="H30" s="249" t="s">
        <v>141</v>
      </c>
      <c r="I30" s="262"/>
      <c r="J30" s="2">
        <v>0</v>
      </c>
      <c r="K30" s="2">
        <v>6</v>
      </c>
      <c r="L30" s="2">
        <v>0</v>
      </c>
      <c r="M30" s="2">
        <v>0</v>
      </c>
      <c r="N30" s="2">
        <v>0</v>
      </c>
      <c r="O30" s="263"/>
    </row>
    <row r="31" spans="2:15" ht="15.75" x14ac:dyDescent="0.25">
      <c r="B31" s="74" t="s">
        <v>192</v>
      </c>
      <c r="C31" s="66">
        <f>IFERROR(VLOOKUP(B31,[1]!Tabla1[#All],132,FALSE),0)</f>
        <v>0</v>
      </c>
      <c r="H31" s="254" t="s">
        <v>192</v>
      </c>
      <c r="I31" s="262"/>
      <c r="J31" s="2">
        <v>75</v>
      </c>
      <c r="K31" s="2">
        <v>75</v>
      </c>
      <c r="L31" s="2">
        <v>0</v>
      </c>
      <c r="M31" s="2">
        <v>75</v>
      </c>
      <c r="N31" s="2">
        <v>0</v>
      </c>
      <c r="O31" s="263"/>
    </row>
    <row r="32" spans="2:15" ht="15.75" x14ac:dyDescent="0.25">
      <c r="B32" s="73" t="s">
        <v>193</v>
      </c>
      <c r="C32" s="66">
        <f>IFERROR(VLOOKUP(B32,[1]!Tabla1[#All],132,FALSE),0)</f>
        <v>0</v>
      </c>
      <c r="H32" s="251" t="s">
        <v>193</v>
      </c>
      <c r="I32" s="262"/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63"/>
    </row>
    <row r="33" spans="2:15" ht="15.75" x14ac:dyDescent="0.25">
      <c r="B33" s="157" t="s">
        <v>194</v>
      </c>
      <c r="C33" s="66">
        <f>IFERROR(VLOOKUP(B33,[1]!Tabla1[#All],132,FALSE),0)</f>
        <v>0</v>
      </c>
      <c r="H33" s="249" t="s">
        <v>194</v>
      </c>
      <c r="I33" s="262"/>
      <c r="J33" s="2">
        <v>0</v>
      </c>
      <c r="K33" s="2">
        <v>0</v>
      </c>
      <c r="L33" s="2">
        <v>0</v>
      </c>
      <c r="M33" s="2">
        <v>2</v>
      </c>
      <c r="N33" s="2">
        <v>0</v>
      </c>
      <c r="O33" s="263"/>
    </row>
    <row r="34" spans="2:15" ht="15.75" x14ac:dyDescent="0.25">
      <c r="B34" s="244" t="s">
        <v>343</v>
      </c>
      <c r="C34" s="66">
        <f>IFERROR(VLOOKUP(B34,[1]!Tabla1[#All],132,FALSE),0)</f>
        <v>0</v>
      </c>
      <c r="H34" s="255" t="s">
        <v>343</v>
      </c>
      <c r="I34" s="262"/>
      <c r="J34" s="2">
        <v>0</v>
      </c>
      <c r="K34" s="2">
        <v>0</v>
      </c>
      <c r="L34" s="2">
        <v>0</v>
      </c>
      <c r="M34" s="2">
        <v>0</v>
      </c>
      <c r="N34" s="2">
        <v>1</v>
      </c>
      <c r="O34" s="263"/>
    </row>
    <row r="35" spans="2:15" ht="15.75" x14ac:dyDescent="0.25">
      <c r="B35" s="74" t="s">
        <v>195</v>
      </c>
      <c r="C35" s="66">
        <f>IFERROR(VLOOKUP(B35,[1]!Tabla1[#All],132,FALSE),0)</f>
        <v>0</v>
      </c>
      <c r="H35" s="254" t="s">
        <v>195</v>
      </c>
      <c r="I35" s="262"/>
      <c r="J35" s="2">
        <v>0</v>
      </c>
      <c r="K35" s="2">
        <v>0</v>
      </c>
      <c r="L35" s="2">
        <v>0</v>
      </c>
      <c r="M35" s="2">
        <v>40</v>
      </c>
      <c r="N35" s="2">
        <v>0</v>
      </c>
      <c r="O35" s="263"/>
    </row>
    <row r="36" spans="2:15" ht="15.75" x14ac:dyDescent="0.25">
      <c r="B36" s="73" t="s">
        <v>559</v>
      </c>
      <c r="C36" s="66">
        <f>IFERROR(VLOOKUP(B36,[1]!Tabla1[#All],132,FALSE),0)</f>
        <v>0</v>
      </c>
      <c r="H36" s="251" t="s">
        <v>559</v>
      </c>
      <c r="I36" s="262"/>
      <c r="J36" s="2">
        <v>1</v>
      </c>
      <c r="K36" s="2">
        <v>0</v>
      </c>
      <c r="L36" s="2">
        <v>0</v>
      </c>
      <c r="M36" s="2">
        <v>1</v>
      </c>
      <c r="N36" s="2">
        <v>0</v>
      </c>
      <c r="O36" s="263"/>
    </row>
    <row r="37" spans="2:15" ht="15.75" x14ac:dyDescent="0.25">
      <c r="B37" s="74" t="s">
        <v>196</v>
      </c>
      <c r="C37" s="66">
        <f>IFERROR(VLOOKUP(B37,[1]!Tabla1[#All],132,FALSE),0)</f>
        <v>0</v>
      </c>
      <c r="H37" s="254" t="s">
        <v>196</v>
      </c>
      <c r="I37" s="262"/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63"/>
    </row>
    <row r="38" spans="2:15" ht="15.75" x14ac:dyDescent="0.25">
      <c r="B38" s="74" t="s">
        <v>197</v>
      </c>
      <c r="C38" s="66">
        <f>IFERROR(VLOOKUP(B38,[1]!Tabla1[#All],132,FALSE),0)</f>
        <v>0</v>
      </c>
      <c r="H38" s="252" t="s">
        <v>197</v>
      </c>
      <c r="I38" s="262"/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63"/>
    </row>
    <row r="39" spans="2:15" ht="15.75" x14ac:dyDescent="0.25">
      <c r="B39" s="74" t="s">
        <v>198</v>
      </c>
      <c r="C39" s="66">
        <f>IFERROR(VLOOKUP(B39,[1]!Tabla1[#All],132,FALSE),0)</f>
        <v>0</v>
      </c>
      <c r="H39" s="254" t="s">
        <v>198</v>
      </c>
      <c r="I39" s="262"/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63"/>
    </row>
    <row r="40" spans="2:15" ht="15.75" x14ac:dyDescent="0.25">
      <c r="B40" s="74" t="s">
        <v>199</v>
      </c>
      <c r="C40" s="66">
        <f>IFERROR(VLOOKUP(B40,[1]!Tabla1[#All],132,FALSE),0)</f>
        <v>0</v>
      </c>
      <c r="H40" s="252" t="s">
        <v>199</v>
      </c>
      <c r="I40" s="262"/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63"/>
    </row>
    <row r="41" spans="2:15" ht="15.75" x14ac:dyDescent="0.25">
      <c r="B41" s="74" t="s">
        <v>200</v>
      </c>
      <c r="C41" s="66">
        <f>IFERROR(VLOOKUP(B41,[1]!Tabla1[#All],132,FALSE),0)</f>
        <v>0</v>
      </c>
      <c r="H41" s="254" t="s">
        <v>200</v>
      </c>
      <c r="I41" s="262"/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63"/>
    </row>
    <row r="42" spans="2:15" ht="15.75" x14ac:dyDescent="0.25">
      <c r="B42" s="74" t="s">
        <v>84</v>
      </c>
      <c r="C42" s="66">
        <f>IFERROR(VLOOKUP(B42,[1]!Tabla1[#All],132,FALSE),0)</f>
        <v>0</v>
      </c>
      <c r="H42" s="252" t="s">
        <v>84</v>
      </c>
      <c r="I42" s="262"/>
      <c r="J42" s="2">
        <v>2</v>
      </c>
      <c r="K42" s="2">
        <v>6</v>
      </c>
      <c r="L42" s="2">
        <v>4</v>
      </c>
      <c r="M42" s="2">
        <v>2</v>
      </c>
      <c r="N42" s="2">
        <v>2</v>
      </c>
      <c r="O42" s="263"/>
    </row>
    <row r="43" spans="2:15" ht="15.75" x14ac:dyDescent="0.25">
      <c r="B43" s="157" t="s">
        <v>85</v>
      </c>
      <c r="C43" s="66">
        <f>IFERROR(VLOOKUP(B43,[1]!Tabla1[#All],132,FALSE),0)</f>
        <v>0</v>
      </c>
      <c r="H43" s="249" t="s">
        <v>85</v>
      </c>
      <c r="I43" s="262"/>
      <c r="J43" s="2">
        <v>0</v>
      </c>
      <c r="K43" s="2">
        <v>6</v>
      </c>
      <c r="L43" s="2">
        <v>1</v>
      </c>
      <c r="M43" s="2">
        <v>13</v>
      </c>
      <c r="N43" s="2">
        <v>18</v>
      </c>
      <c r="O43" s="263"/>
    </row>
    <row r="44" spans="2:15" ht="15.75" x14ac:dyDescent="0.25">
      <c r="B44" s="74" t="s">
        <v>102</v>
      </c>
      <c r="C44" s="66">
        <f>IFERROR(VLOOKUP(B44,[1]!Tabla1[#All],132,FALSE),0)</f>
        <v>0</v>
      </c>
      <c r="H44" s="252" t="s">
        <v>102</v>
      </c>
      <c r="I44" s="262"/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63"/>
    </row>
    <row r="45" spans="2:15" ht="15.75" x14ac:dyDescent="0.25">
      <c r="B45" s="74" t="s">
        <v>201</v>
      </c>
      <c r="C45" s="66">
        <f>IFERROR(VLOOKUP(B45,[1]!Tabla1[#All],132,FALSE),0)</f>
        <v>0</v>
      </c>
      <c r="H45" s="254" t="s">
        <v>201</v>
      </c>
      <c r="I45" s="262"/>
      <c r="J45" s="2">
        <v>0</v>
      </c>
      <c r="K45" s="2">
        <v>0</v>
      </c>
      <c r="L45" s="2">
        <v>150</v>
      </c>
      <c r="M45" s="2">
        <v>0</v>
      </c>
      <c r="N45" s="2">
        <v>75</v>
      </c>
      <c r="O45" s="263"/>
    </row>
    <row r="46" spans="2:15" ht="15.75" x14ac:dyDescent="0.25">
      <c r="B46" s="74" t="s">
        <v>123</v>
      </c>
      <c r="C46" s="66">
        <f>IFERROR(VLOOKUP(B46,[1]!Tabla1[#All],132,FALSE),0)</f>
        <v>0</v>
      </c>
      <c r="H46" s="252" t="s">
        <v>123</v>
      </c>
      <c r="I46" s="262"/>
      <c r="J46" s="2">
        <v>0</v>
      </c>
      <c r="K46" s="2">
        <v>0</v>
      </c>
      <c r="L46" s="2">
        <v>0.5</v>
      </c>
      <c r="M46" s="2">
        <v>0.5</v>
      </c>
      <c r="N46" s="2">
        <v>2</v>
      </c>
      <c r="O46" s="263"/>
    </row>
    <row r="47" spans="2:15" ht="15.75" x14ac:dyDescent="0.25">
      <c r="B47" s="157" t="s">
        <v>202</v>
      </c>
      <c r="C47" s="66">
        <f>IFERROR(VLOOKUP(B47,[1]!Tabla1[#All],132,FALSE),0)</f>
        <v>0</v>
      </c>
      <c r="H47" s="249" t="s">
        <v>202</v>
      </c>
      <c r="I47" s="262"/>
      <c r="J47" s="2">
        <v>150</v>
      </c>
      <c r="K47" s="2">
        <v>600</v>
      </c>
      <c r="L47" s="2">
        <v>225</v>
      </c>
      <c r="M47" s="2">
        <v>2325</v>
      </c>
      <c r="N47" s="2">
        <v>1050</v>
      </c>
      <c r="O47" s="263"/>
    </row>
    <row r="48" spans="2:15" ht="15.75" x14ac:dyDescent="0.25">
      <c r="B48" s="74" t="s">
        <v>124</v>
      </c>
      <c r="C48" s="66">
        <f>IFERROR(VLOOKUP(B48,[1]!Tabla1[#All],132,FALSE),0)</f>
        <v>0</v>
      </c>
      <c r="H48" s="252" t="s">
        <v>124</v>
      </c>
      <c r="I48" s="262"/>
      <c r="J48" s="2">
        <v>7</v>
      </c>
      <c r="K48" s="2">
        <v>1</v>
      </c>
      <c r="L48" s="2">
        <v>10</v>
      </c>
      <c r="M48" s="2">
        <v>12</v>
      </c>
      <c r="N48" s="2">
        <v>2</v>
      </c>
      <c r="O48" s="263"/>
    </row>
    <row r="49" spans="2:15" ht="15.75" x14ac:dyDescent="0.25">
      <c r="B49" s="73" t="s">
        <v>140</v>
      </c>
      <c r="C49" s="66">
        <f>IFERROR(VLOOKUP(B49,[1]!Tabla1[#All],132,FALSE),0)</f>
        <v>0</v>
      </c>
      <c r="H49" s="250" t="s">
        <v>140</v>
      </c>
      <c r="I49" s="262"/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63"/>
    </row>
    <row r="50" spans="2:15" ht="15.75" x14ac:dyDescent="0.25">
      <c r="B50" s="74" t="s">
        <v>72</v>
      </c>
      <c r="C50" s="66">
        <f>IFERROR(VLOOKUP(B50,[1]!Tabla1[#All],132,FALSE),0)</f>
        <v>0</v>
      </c>
      <c r="H50" s="252" t="s">
        <v>72</v>
      </c>
      <c r="I50" s="262"/>
      <c r="J50" s="2">
        <v>2</v>
      </c>
      <c r="K50" s="2">
        <v>4</v>
      </c>
      <c r="L50" s="2">
        <v>5</v>
      </c>
      <c r="M50" s="2">
        <v>7</v>
      </c>
      <c r="N50" s="2">
        <v>4</v>
      </c>
      <c r="O50" s="263"/>
    </row>
    <row r="51" spans="2:15" ht="15.75" x14ac:dyDescent="0.25">
      <c r="B51" s="157" t="s">
        <v>125</v>
      </c>
      <c r="C51" s="66">
        <f>IFERROR(VLOOKUP(B51,[1]!Tabla1[#All],132,FALSE),0)</f>
        <v>0</v>
      </c>
      <c r="H51" s="249" t="s">
        <v>125</v>
      </c>
      <c r="I51" s="262"/>
      <c r="J51" s="2">
        <v>0</v>
      </c>
      <c r="K51" s="2">
        <v>0</v>
      </c>
      <c r="L51" s="2">
        <v>1</v>
      </c>
      <c r="M51" s="2">
        <v>1</v>
      </c>
      <c r="N51" s="2">
        <v>4</v>
      </c>
      <c r="O51" s="263"/>
    </row>
    <row r="52" spans="2:15" ht="15.75" x14ac:dyDescent="0.25">
      <c r="B52" s="74" t="s">
        <v>203</v>
      </c>
      <c r="C52" s="66">
        <f>IFERROR(VLOOKUP(B52,[1]!Tabla1[#All],132,FALSE),0)</f>
        <v>0</v>
      </c>
      <c r="H52" s="252" t="s">
        <v>203</v>
      </c>
      <c r="I52" s="262"/>
      <c r="J52" s="2">
        <v>4</v>
      </c>
      <c r="K52" s="2">
        <v>2</v>
      </c>
      <c r="L52" s="2">
        <v>1</v>
      </c>
      <c r="M52" s="2">
        <v>2</v>
      </c>
      <c r="N52" s="2">
        <v>2</v>
      </c>
      <c r="O52" s="263"/>
    </row>
    <row r="53" spans="2:15" ht="15.75" x14ac:dyDescent="0.25">
      <c r="B53" s="157" t="s">
        <v>75</v>
      </c>
      <c r="C53" s="66">
        <f>IFERROR(VLOOKUP(B53,[1]!Tabla1[#All],132,FALSE),0)</f>
        <v>0</v>
      </c>
      <c r="H53" s="249" t="s">
        <v>75</v>
      </c>
      <c r="I53" s="262"/>
      <c r="J53" s="2">
        <v>3</v>
      </c>
      <c r="K53" s="2">
        <v>0</v>
      </c>
      <c r="L53" s="2">
        <v>56</v>
      </c>
      <c r="M53" s="2">
        <v>67</v>
      </c>
      <c r="N53" s="2">
        <v>12</v>
      </c>
      <c r="O53" s="263"/>
    </row>
    <row r="54" spans="2:15" ht="15.75" x14ac:dyDescent="0.25">
      <c r="B54" s="74" t="s">
        <v>126</v>
      </c>
      <c r="C54" s="66">
        <f>IFERROR(VLOOKUP(B54,[1]!Tabla1[#All],132,FALSE),0)</f>
        <v>0</v>
      </c>
      <c r="H54" s="252" t="s">
        <v>126</v>
      </c>
      <c r="I54" s="262"/>
      <c r="J54" s="2">
        <v>180</v>
      </c>
      <c r="K54" s="2">
        <v>80</v>
      </c>
      <c r="L54" s="2">
        <v>480</v>
      </c>
      <c r="M54" s="2">
        <v>540</v>
      </c>
      <c r="N54" s="2">
        <v>440</v>
      </c>
      <c r="O54" s="263"/>
    </row>
    <row r="55" spans="2:15" ht="15.75" x14ac:dyDescent="0.25">
      <c r="B55" s="157" t="s">
        <v>204</v>
      </c>
      <c r="C55" s="66">
        <f>IFERROR(VLOOKUP(B55,[1]!Tabla1[#All],132,FALSE),0)</f>
        <v>0</v>
      </c>
      <c r="H55" s="249" t="s">
        <v>204</v>
      </c>
      <c r="I55" s="262"/>
      <c r="J55" s="2">
        <v>0</v>
      </c>
      <c r="K55" s="2">
        <v>0</v>
      </c>
      <c r="L55" s="2">
        <v>4</v>
      </c>
      <c r="M55" s="2">
        <v>0</v>
      </c>
      <c r="N55" s="2">
        <v>0</v>
      </c>
      <c r="O55" s="263"/>
    </row>
    <row r="56" spans="2:15" ht="15.75" x14ac:dyDescent="0.25">
      <c r="B56" s="74" t="s">
        <v>205</v>
      </c>
      <c r="C56" s="66">
        <f>IFERROR(VLOOKUP(B56,[1]!Tabla1[#All],132,FALSE),0)</f>
        <v>0</v>
      </c>
      <c r="H56" s="252" t="s">
        <v>205</v>
      </c>
      <c r="I56" s="262"/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63"/>
    </row>
    <row r="57" spans="2:15" ht="15.75" x14ac:dyDescent="0.25">
      <c r="B57" s="73" t="s">
        <v>206</v>
      </c>
      <c r="C57" s="66">
        <f>IFERROR(VLOOKUP(B57,[1]!Tabla1[#All],132,FALSE),0)</f>
        <v>0</v>
      </c>
      <c r="H57" s="250" t="s">
        <v>206</v>
      </c>
      <c r="I57" s="262"/>
      <c r="J57" s="2">
        <v>0</v>
      </c>
      <c r="K57" s="2">
        <v>0</v>
      </c>
      <c r="L57" s="2">
        <v>0</v>
      </c>
      <c r="M57" s="2">
        <v>2</v>
      </c>
      <c r="N57" s="2">
        <v>2</v>
      </c>
      <c r="O57" s="263"/>
    </row>
    <row r="58" spans="2:15" ht="15.75" x14ac:dyDescent="0.25">
      <c r="B58" s="157" t="s">
        <v>207</v>
      </c>
      <c r="C58" s="66">
        <f>IFERROR(VLOOKUP(B58,[1]!Tabla1[#All],132,FALSE),0)</f>
        <v>0</v>
      </c>
      <c r="H58" s="249" t="s">
        <v>207</v>
      </c>
      <c r="I58" s="262"/>
      <c r="J58" s="2">
        <v>2</v>
      </c>
      <c r="K58" s="2">
        <v>0</v>
      </c>
      <c r="L58" s="2">
        <v>6</v>
      </c>
      <c r="M58" s="2">
        <v>9</v>
      </c>
      <c r="N58" s="2">
        <v>1</v>
      </c>
      <c r="O58" s="263"/>
    </row>
    <row r="59" spans="2:15" ht="15.75" x14ac:dyDescent="0.25">
      <c r="B59" s="157" t="s">
        <v>208</v>
      </c>
      <c r="C59" s="66">
        <f>IFERROR(VLOOKUP(B59,[1]!Tabla1[#All],132,FALSE),0)</f>
        <v>0</v>
      </c>
      <c r="H59" s="249" t="s">
        <v>208</v>
      </c>
      <c r="I59" s="262"/>
      <c r="J59" s="2">
        <v>0</v>
      </c>
      <c r="K59" s="2">
        <v>1</v>
      </c>
      <c r="L59" s="2">
        <v>1</v>
      </c>
      <c r="M59" s="2">
        <v>7</v>
      </c>
      <c r="N59" s="2">
        <v>6</v>
      </c>
      <c r="O59" s="263"/>
    </row>
    <row r="60" spans="2:15" ht="15.75" x14ac:dyDescent="0.25">
      <c r="B60" s="74" t="s">
        <v>209</v>
      </c>
      <c r="C60" s="66">
        <f>IFERROR(VLOOKUP(B60,[1]!Tabla1[#All],132,FALSE),0)</f>
        <v>0</v>
      </c>
      <c r="H60" s="252" t="s">
        <v>209</v>
      </c>
      <c r="I60" s="262"/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63"/>
    </row>
    <row r="61" spans="2:15" ht="15.75" x14ac:dyDescent="0.25">
      <c r="B61" s="73" t="s">
        <v>210</v>
      </c>
      <c r="C61" s="66">
        <f>IFERROR(VLOOKUP(B61,[1]!Tabla1[#All],132,FALSE),0)</f>
        <v>0</v>
      </c>
      <c r="H61" s="250" t="s">
        <v>210</v>
      </c>
      <c r="I61" s="262"/>
      <c r="J61" s="2">
        <v>5</v>
      </c>
      <c r="K61" s="2">
        <v>4</v>
      </c>
      <c r="L61" s="2">
        <v>1</v>
      </c>
      <c r="M61" s="2">
        <v>10</v>
      </c>
      <c r="N61" s="2">
        <v>20</v>
      </c>
      <c r="O61" s="263"/>
    </row>
    <row r="62" spans="2:15" ht="15.75" x14ac:dyDescent="0.25">
      <c r="B62" s="157" t="s">
        <v>211</v>
      </c>
      <c r="C62" s="66">
        <f>IFERROR(VLOOKUP(B62,[1]!Tabla1[#All],132,FALSE),0)</f>
        <v>0</v>
      </c>
      <c r="H62" s="249" t="s">
        <v>211</v>
      </c>
      <c r="I62" s="262"/>
      <c r="J62" s="2">
        <v>6</v>
      </c>
      <c r="K62" s="2">
        <v>2</v>
      </c>
      <c r="L62" s="2">
        <v>13</v>
      </c>
      <c r="M62" s="2">
        <v>18</v>
      </c>
      <c r="N62" s="2">
        <v>2</v>
      </c>
      <c r="O62" s="263"/>
    </row>
    <row r="63" spans="2:15" ht="15.75" x14ac:dyDescent="0.25">
      <c r="B63" s="74" t="s">
        <v>212</v>
      </c>
      <c r="C63" s="66">
        <f>IFERROR(VLOOKUP(B63,[1]!Tabla1[#All],132,FALSE),0)</f>
        <v>0</v>
      </c>
      <c r="H63" s="254" t="s">
        <v>212</v>
      </c>
      <c r="I63" s="262"/>
      <c r="J63" s="2">
        <v>0</v>
      </c>
      <c r="K63" s="2">
        <v>0</v>
      </c>
      <c r="L63" s="2">
        <v>10</v>
      </c>
      <c r="M63" s="2">
        <v>30</v>
      </c>
      <c r="N63" s="2">
        <v>20</v>
      </c>
      <c r="O63" s="263"/>
    </row>
    <row r="64" spans="2:15" ht="15.75" x14ac:dyDescent="0.25">
      <c r="B64" s="157" t="s">
        <v>213</v>
      </c>
      <c r="C64" s="66">
        <f>IFERROR(VLOOKUP(B64,[1]!Tabla1[#All],132,FALSE),0)</f>
        <v>0</v>
      </c>
      <c r="H64" s="249" t="s">
        <v>213</v>
      </c>
      <c r="I64" s="262"/>
      <c r="J64" s="2">
        <v>4</v>
      </c>
      <c r="K64" s="2">
        <v>1</v>
      </c>
      <c r="L64" s="2">
        <v>6</v>
      </c>
      <c r="M64" s="2">
        <v>3</v>
      </c>
      <c r="N64" s="2">
        <v>1</v>
      </c>
      <c r="O64" s="263"/>
    </row>
    <row r="65" spans="2:15" ht="15.75" x14ac:dyDescent="0.25">
      <c r="B65" s="74" t="s">
        <v>214</v>
      </c>
      <c r="C65" s="66">
        <f>IFERROR(VLOOKUP(B65,[1]!Tabla1[#All],132,FALSE),0)</f>
        <v>0</v>
      </c>
      <c r="H65" s="254" t="s">
        <v>214</v>
      </c>
      <c r="I65" s="262"/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63"/>
    </row>
    <row r="66" spans="2:15" ht="15.75" x14ac:dyDescent="0.25">
      <c r="B66" s="74" t="s">
        <v>99</v>
      </c>
      <c r="C66" s="66">
        <f>IFERROR(VLOOKUP(B66,[1]!Tabla1[#All],132,FALSE),0)</f>
        <v>0</v>
      </c>
      <c r="H66" s="252" t="s">
        <v>99</v>
      </c>
      <c r="I66" s="262"/>
      <c r="J66" s="2">
        <v>1830</v>
      </c>
      <c r="K66" s="2">
        <v>1150</v>
      </c>
      <c r="L66" s="2">
        <v>4410</v>
      </c>
      <c r="M66" s="2">
        <v>5020</v>
      </c>
      <c r="N66" s="2">
        <v>4210</v>
      </c>
      <c r="O66" s="263"/>
    </row>
    <row r="67" spans="2:15" ht="15.75" x14ac:dyDescent="0.25">
      <c r="B67" s="74" t="s">
        <v>76</v>
      </c>
      <c r="C67" s="66">
        <f>IFERROR(VLOOKUP(B67,[1]!Tabla1[#All],132,FALSE),0)</f>
        <v>0</v>
      </c>
      <c r="H67" s="254" t="s">
        <v>76</v>
      </c>
      <c r="I67" s="262"/>
      <c r="J67" s="2">
        <v>4</v>
      </c>
      <c r="K67" s="2">
        <v>2</v>
      </c>
      <c r="L67" s="2">
        <v>1</v>
      </c>
      <c r="M67" s="2">
        <v>2</v>
      </c>
      <c r="N67" s="2">
        <v>2</v>
      </c>
      <c r="O67" s="263"/>
    </row>
    <row r="68" spans="2:15" ht="15.75" x14ac:dyDescent="0.25">
      <c r="B68" s="74" t="s">
        <v>215</v>
      </c>
      <c r="C68" s="66">
        <f>IFERROR(VLOOKUP(B68,[1]!Tabla1[#All],132,FALSE),0)</f>
        <v>0</v>
      </c>
      <c r="H68" s="252" t="s">
        <v>215</v>
      </c>
      <c r="I68" s="262"/>
      <c r="J68" s="2">
        <v>35</v>
      </c>
      <c r="K68" s="2">
        <v>0</v>
      </c>
      <c r="L68" s="2">
        <v>105</v>
      </c>
      <c r="M68" s="2">
        <v>135</v>
      </c>
      <c r="N68" s="2">
        <v>175</v>
      </c>
      <c r="O68" s="263"/>
    </row>
    <row r="69" spans="2:15" ht="15.75" x14ac:dyDescent="0.25">
      <c r="B69" s="158" t="s">
        <v>326</v>
      </c>
      <c r="C69" s="66">
        <f>IFERROR(VLOOKUP(B69,[1]!Tabla1[#All],132,FALSE),0)</f>
        <v>0</v>
      </c>
      <c r="H69" s="253" t="s">
        <v>326</v>
      </c>
      <c r="I69" s="262"/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63"/>
    </row>
    <row r="70" spans="2:15" ht="15.75" x14ac:dyDescent="0.25">
      <c r="B70" s="158" t="s">
        <v>327</v>
      </c>
      <c r="C70" s="66">
        <f>IFERROR(VLOOKUP(B70,[1]!Tabla1[#All],132,FALSE),0)</f>
        <v>0</v>
      </c>
      <c r="H70" s="253" t="s">
        <v>327</v>
      </c>
      <c r="I70" s="262"/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63"/>
    </row>
    <row r="71" spans="2:15" ht="15.75" x14ac:dyDescent="0.25">
      <c r="B71" s="158" t="s">
        <v>328</v>
      </c>
      <c r="C71" s="66">
        <f>IFERROR(VLOOKUP(B71,[1]!Tabla1[#All],132,FALSE),0)</f>
        <v>0</v>
      </c>
      <c r="H71" s="253" t="s">
        <v>328</v>
      </c>
      <c r="I71" s="262"/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63"/>
    </row>
    <row r="72" spans="2:15" ht="15.75" x14ac:dyDescent="0.25">
      <c r="B72" s="158" t="s">
        <v>216</v>
      </c>
      <c r="C72" s="66">
        <f>IFERROR(VLOOKUP(B72,[1]!Tabla1[#All],132,FALSE),0)</f>
        <v>0</v>
      </c>
      <c r="H72" s="253" t="s">
        <v>216</v>
      </c>
      <c r="I72" s="262"/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63"/>
    </row>
    <row r="73" spans="2:15" ht="15.75" x14ac:dyDescent="0.25">
      <c r="B73" s="74" t="s">
        <v>88</v>
      </c>
      <c r="C73" s="66">
        <f>IFERROR(VLOOKUP(B73,[1]!Tabla1[#All],132,FALSE),0)</f>
        <v>0</v>
      </c>
      <c r="H73" s="254" t="s">
        <v>88</v>
      </c>
      <c r="I73" s="262"/>
      <c r="J73" s="2">
        <v>3</v>
      </c>
      <c r="K73" s="2">
        <v>3</v>
      </c>
      <c r="L73" s="2">
        <v>11</v>
      </c>
      <c r="M73" s="2">
        <v>5</v>
      </c>
      <c r="N73" s="2">
        <v>1</v>
      </c>
      <c r="O73" s="263"/>
    </row>
    <row r="74" spans="2:15" ht="15.75" x14ac:dyDescent="0.25">
      <c r="B74" s="73" t="s">
        <v>217</v>
      </c>
      <c r="C74" s="66">
        <f>IFERROR(VLOOKUP(B74,[1]!Tabla1[#All],132,FALSE),0)</f>
        <v>0</v>
      </c>
      <c r="H74" s="251" t="s">
        <v>217</v>
      </c>
      <c r="I74" s="262"/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63"/>
    </row>
    <row r="75" spans="2:15" ht="15.75" x14ac:dyDescent="0.25">
      <c r="B75" s="159" t="s">
        <v>218</v>
      </c>
      <c r="C75" s="66">
        <f>IFERROR(VLOOKUP(B75,[1]!Tabla1[#All],132,FALSE),0)</f>
        <v>0</v>
      </c>
      <c r="H75" s="256" t="s">
        <v>218</v>
      </c>
      <c r="I75" s="262"/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63"/>
    </row>
    <row r="76" spans="2:15" ht="15.75" x14ac:dyDescent="0.25">
      <c r="B76" s="157" t="s">
        <v>219</v>
      </c>
      <c r="C76" s="66">
        <f>IFERROR(VLOOKUP(B76,[1]!Tabla1[#All],132,FALSE),0)</f>
        <v>0</v>
      </c>
      <c r="H76" s="249" t="s">
        <v>219</v>
      </c>
      <c r="I76" s="262"/>
      <c r="J76" s="2">
        <v>10</v>
      </c>
      <c r="K76" s="2">
        <v>10</v>
      </c>
      <c r="L76" s="2">
        <v>40</v>
      </c>
      <c r="M76" s="2">
        <v>20</v>
      </c>
      <c r="N76" s="2">
        <v>60</v>
      </c>
      <c r="O76" s="263"/>
    </row>
    <row r="77" spans="2:15" ht="15.75" x14ac:dyDescent="0.25">
      <c r="B77" s="157" t="s">
        <v>220</v>
      </c>
      <c r="C77" s="66">
        <f>IFERROR(VLOOKUP(B77,[1]!Tabla1[#All],132,FALSE),0)</f>
        <v>0</v>
      </c>
      <c r="H77" s="249" t="s">
        <v>220</v>
      </c>
      <c r="I77" s="262"/>
      <c r="J77" s="2">
        <v>0</v>
      </c>
      <c r="K77" s="2">
        <v>1</v>
      </c>
      <c r="L77" s="2">
        <v>0</v>
      </c>
      <c r="M77" s="2">
        <v>0</v>
      </c>
      <c r="N77" s="2">
        <v>0</v>
      </c>
      <c r="O77" s="263"/>
    </row>
    <row r="78" spans="2:15" ht="15.75" x14ac:dyDescent="0.25">
      <c r="B78" s="159" t="s">
        <v>221</v>
      </c>
      <c r="C78" s="66">
        <f>IFERROR(VLOOKUP(B78,[1]!Tabla1[#All],132,FALSE),0)</f>
        <v>0</v>
      </c>
      <c r="H78" s="256" t="s">
        <v>221</v>
      </c>
      <c r="I78" s="262"/>
      <c r="J78" s="2">
        <v>0</v>
      </c>
      <c r="K78" s="2">
        <v>0</v>
      </c>
      <c r="L78" s="2">
        <v>0</v>
      </c>
      <c r="M78" s="2">
        <v>75</v>
      </c>
      <c r="N78" s="2">
        <v>0</v>
      </c>
      <c r="O78" s="263"/>
    </row>
    <row r="79" spans="2:15" ht="15.75" x14ac:dyDescent="0.25">
      <c r="B79" s="73" t="s">
        <v>222</v>
      </c>
      <c r="C79" s="66">
        <f>IFERROR(VLOOKUP(B79,[1]!Tabla1[#All],132,FALSE),0)</f>
        <v>0</v>
      </c>
      <c r="H79" s="250" t="s">
        <v>222</v>
      </c>
      <c r="I79" s="262"/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63"/>
    </row>
    <row r="80" spans="2:15" ht="15.75" x14ac:dyDescent="0.25">
      <c r="B80" s="157" t="s">
        <v>90</v>
      </c>
      <c r="C80" s="66">
        <f>IFERROR(VLOOKUP(B80,[1]!Tabla1[#All],132,FALSE),0)</f>
        <v>0</v>
      </c>
      <c r="H80" s="249" t="s">
        <v>90</v>
      </c>
      <c r="I80" s="262"/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63"/>
    </row>
    <row r="81" spans="2:15" ht="15.75" x14ac:dyDescent="0.25">
      <c r="B81" s="74" t="s">
        <v>74</v>
      </c>
      <c r="C81" s="66">
        <f>IFERROR(VLOOKUP(B81,[1]!Tabla1[#All],132,FALSE),0)</f>
        <v>0</v>
      </c>
      <c r="H81" s="254" t="s">
        <v>74</v>
      </c>
      <c r="I81" s="262"/>
      <c r="J81" s="2">
        <v>1</v>
      </c>
      <c r="K81" s="2">
        <v>1</v>
      </c>
      <c r="L81" s="2">
        <v>1</v>
      </c>
      <c r="M81" s="2">
        <v>9</v>
      </c>
      <c r="N81" s="2">
        <v>2</v>
      </c>
      <c r="O81" s="263"/>
    </row>
    <row r="82" spans="2:15" ht="15.75" x14ac:dyDescent="0.25">
      <c r="B82" s="74" t="s">
        <v>73</v>
      </c>
      <c r="C82" s="66">
        <f>IFERROR(VLOOKUP(B82,[1]!Tabla1[#All],132,FALSE),0)</f>
        <v>0</v>
      </c>
      <c r="H82" s="252" t="s">
        <v>73</v>
      </c>
      <c r="I82" s="262"/>
      <c r="J82" s="2">
        <v>3</v>
      </c>
      <c r="K82" s="2">
        <v>4</v>
      </c>
      <c r="L82" s="2">
        <v>0</v>
      </c>
      <c r="M82" s="2">
        <v>4</v>
      </c>
      <c r="N82" s="2">
        <v>0</v>
      </c>
      <c r="O82" s="263"/>
    </row>
    <row r="83" spans="2:15" ht="15.75" x14ac:dyDescent="0.25">
      <c r="B83" s="73" t="s">
        <v>223</v>
      </c>
      <c r="C83" s="66">
        <f>IFERROR(VLOOKUP(B83,[1]!Tabla1[#All],132,FALSE),0)</f>
        <v>0</v>
      </c>
      <c r="H83" s="250" t="s">
        <v>223</v>
      </c>
      <c r="I83" s="262"/>
      <c r="J83" s="2">
        <v>0</v>
      </c>
      <c r="K83" s="2">
        <v>0</v>
      </c>
      <c r="L83" s="2">
        <v>0</v>
      </c>
      <c r="M83" s="2">
        <v>40</v>
      </c>
      <c r="N83" s="2">
        <v>0</v>
      </c>
      <c r="O83" s="263"/>
    </row>
    <row r="84" spans="2:15" ht="15.75" x14ac:dyDescent="0.25">
      <c r="B84" s="244" t="s">
        <v>342</v>
      </c>
      <c r="C84" s="66">
        <f>IFERROR(VLOOKUP(B84,[1]!Tabla1[#All],132,FALSE),0)</f>
        <v>0</v>
      </c>
      <c r="H84" s="255" t="s">
        <v>342</v>
      </c>
      <c r="I84" s="262"/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63"/>
    </row>
    <row r="85" spans="2:15" ht="15.75" x14ac:dyDescent="0.25">
      <c r="B85" s="73" t="s">
        <v>224</v>
      </c>
      <c r="C85" s="66">
        <f>IFERROR(VLOOKUP(B85,[1]!Tabla1[#All],132,FALSE),0)</f>
        <v>0</v>
      </c>
      <c r="H85" s="250" t="s">
        <v>224</v>
      </c>
      <c r="I85" s="262"/>
      <c r="J85" s="2">
        <v>0</v>
      </c>
      <c r="K85" s="2">
        <v>0</v>
      </c>
      <c r="L85" s="2">
        <v>0</v>
      </c>
      <c r="M85" s="2">
        <v>375</v>
      </c>
      <c r="N85" s="2">
        <v>75</v>
      </c>
      <c r="O85" s="263"/>
    </row>
    <row r="86" spans="2:15" ht="15.75" x14ac:dyDescent="0.25">
      <c r="B86" s="158" t="s">
        <v>225</v>
      </c>
      <c r="C86" s="66">
        <f>IFERROR(VLOOKUP(B86,[1]!Tabla1[#All],132,FALSE),0)</f>
        <v>0</v>
      </c>
      <c r="H86" s="253" t="s">
        <v>225</v>
      </c>
      <c r="I86" s="262"/>
      <c r="J86" s="2">
        <v>0</v>
      </c>
      <c r="K86" s="2">
        <v>2</v>
      </c>
      <c r="L86" s="2">
        <v>0</v>
      </c>
      <c r="M86" s="2">
        <v>3</v>
      </c>
      <c r="N86" s="2">
        <v>1</v>
      </c>
      <c r="O86" s="263"/>
    </row>
    <row r="87" spans="2:15" ht="15.75" x14ac:dyDescent="0.25">
      <c r="B87" s="73" t="s">
        <v>226</v>
      </c>
      <c r="C87" s="66">
        <f>IFERROR(VLOOKUP(B87,[1]!Tabla1[#All],132,FALSE),0)</f>
        <v>0</v>
      </c>
      <c r="H87" s="250" t="s">
        <v>226</v>
      </c>
      <c r="I87" s="262"/>
      <c r="J87" s="2">
        <v>0</v>
      </c>
      <c r="K87" s="2">
        <v>0</v>
      </c>
      <c r="L87" s="2">
        <v>6</v>
      </c>
      <c r="M87" s="2">
        <v>1</v>
      </c>
      <c r="N87" s="2">
        <v>2</v>
      </c>
      <c r="O87" s="263"/>
    </row>
    <row r="88" spans="2:15" ht="15.75" x14ac:dyDescent="0.25">
      <c r="B88" s="157" t="s">
        <v>227</v>
      </c>
      <c r="C88" s="66">
        <f>IFERROR(VLOOKUP(B88,[1]!Tabla1[#All],132,FALSE),0)</f>
        <v>0</v>
      </c>
      <c r="H88" s="249" t="s">
        <v>227</v>
      </c>
      <c r="I88" s="262"/>
      <c r="J88" s="2">
        <v>1</v>
      </c>
      <c r="K88" s="2">
        <v>0</v>
      </c>
      <c r="L88" s="2">
        <v>2</v>
      </c>
      <c r="M88" s="2">
        <v>2</v>
      </c>
      <c r="N88" s="2">
        <v>1</v>
      </c>
      <c r="O88" s="263"/>
    </row>
    <row r="89" spans="2:15" ht="15.75" x14ac:dyDescent="0.25">
      <c r="B89" s="157" t="s">
        <v>228</v>
      </c>
      <c r="C89" s="66">
        <f>IFERROR(VLOOKUP(B89,[1]!Tabla1[#All],132,FALSE),0)</f>
        <v>0</v>
      </c>
      <c r="H89" s="249" t="s">
        <v>228</v>
      </c>
      <c r="I89" s="262"/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63"/>
    </row>
    <row r="90" spans="2:15" ht="15.75" x14ac:dyDescent="0.25">
      <c r="B90" s="157" t="s">
        <v>229</v>
      </c>
      <c r="C90" s="66">
        <f>IFERROR(VLOOKUP(B90,[1]!Tabla1[#All],132,FALSE),0)</f>
        <v>0</v>
      </c>
      <c r="H90" s="249" t="s">
        <v>229</v>
      </c>
      <c r="I90" s="262"/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63"/>
    </row>
    <row r="91" spans="2:15" ht="15.75" x14ac:dyDescent="0.25">
      <c r="B91" s="157" t="s">
        <v>230</v>
      </c>
      <c r="C91" s="66">
        <f>IFERROR(VLOOKUP(B91,[1]!Tabla1[#All],132,FALSE),0)</f>
        <v>0</v>
      </c>
      <c r="H91" s="249" t="s">
        <v>230</v>
      </c>
      <c r="I91" s="262"/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63"/>
    </row>
    <row r="92" spans="2:15" ht="15.75" x14ac:dyDescent="0.25">
      <c r="B92" s="157" t="s">
        <v>231</v>
      </c>
      <c r="C92" s="66">
        <f>IFERROR(VLOOKUP(B92,[1]!Tabla1[#All],132,FALSE),0)</f>
        <v>0</v>
      </c>
      <c r="H92" s="249" t="s">
        <v>231</v>
      </c>
      <c r="I92" s="262"/>
      <c r="J92" s="2">
        <v>0</v>
      </c>
      <c r="K92" s="2">
        <v>120</v>
      </c>
      <c r="L92" s="2">
        <v>30</v>
      </c>
      <c r="M92" s="2">
        <v>150</v>
      </c>
      <c r="N92" s="2">
        <v>150</v>
      </c>
      <c r="O92" s="263"/>
    </row>
    <row r="93" spans="2:15" ht="15.75" x14ac:dyDescent="0.25">
      <c r="B93" s="74" t="s">
        <v>77</v>
      </c>
      <c r="C93" s="66">
        <f>IFERROR(VLOOKUP(B93,[1]!Tabla1[#All],132,FALSE),0)</f>
        <v>0</v>
      </c>
      <c r="H93" s="254" t="s">
        <v>77</v>
      </c>
      <c r="I93" s="262"/>
      <c r="J93" s="2">
        <v>0</v>
      </c>
      <c r="K93" s="2">
        <v>0</v>
      </c>
      <c r="L93" s="2">
        <v>2</v>
      </c>
      <c r="M93" s="2">
        <v>14</v>
      </c>
      <c r="N93" s="2">
        <v>0</v>
      </c>
      <c r="O93" s="263"/>
    </row>
    <row r="94" spans="2:15" ht="15.75" x14ac:dyDescent="0.25">
      <c r="B94" s="73" t="s">
        <v>232</v>
      </c>
      <c r="C94" s="66">
        <f>IFERROR(VLOOKUP(B94,[1]!Tabla1[#All],132,FALSE),0)</f>
        <v>0</v>
      </c>
      <c r="H94" s="251" t="s">
        <v>232</v>
      </c>
      <c r="I94" s="262"/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63"/>
    </row>
    <row r="95" spans="2:15" ht="15.75" x14ac:dyDescent="0.25">
      <c r="B95" s="73" t="s">
        <v>233</v>
      </c>
      <c r="C95" s="66">
        <f>IFERROR(VLOOKUP(B95,[1]!Tabla1[#All],132,FALSE),0)</f>
        <v>0</v>
      </c>
      <c r="H95" s="250" t="s">
        <v>233</v>
      </c>
      <c r="I95" s="262"/>
      <c r="J95" s="2">
        <v>8</v>
      </c>
      <c r="K95" s="2">
        <v>0</v>
      </c>
      <c r="L95" s="2">
        <v>0</v>
      </c>
      <c r="M95" s="2">
        <v>4</v>
      </c>
      <c r="N95" s="2">
        <v>4</v>
      </c>
      <c r="O95" s="263"/>
    </row>
    <row r="96" spans="2:15" ht="15.75" x14ac:dyDescent="0.25">
      <c r="B96" s="74" t="s">
        <v>234</v>
      </c>
      <c r="C96" s="66">
        <f>IFERROR(VLOOKUP(B96,[1]!Tabla1[#All],132,FALSE),0)</f>
        <v>0</v>
      </c>
      <c r="H96" s="252" t="s">
        <v>234</v>
      </c>
      <c r="I96" s="262"/>
      <c r="J96" s="2">
        <v>0</v>
      </c>
      <c r="K96" s="2">
        <v>0</v>
      </c>
      <c r="L96" s="2">
        <v>0</v>
      </c>
      <c r="M96" s="2">
        <v>75</v>
      </c>
      <c r="N96" s="2">
        <v>0</v>
      </c>
      <c r="O96" s="263"/>
    </row>
    <row r="97" spans="2:15" ht="15.75" x14ac:dyDescent="0.25">
      <c r="B97" s="74" t="s">
        <v>235</v>
      </c>
      <c r="C97" s="66">
        <f>IFERROR(VLOOKUP(B97,[1]!Tabla1[#All],132,FALSE),0)</f>
        <v>0</v>
      </c>
      <c r="H97" s="254" t="s">
        <v>235</v>
      </c>
      <c r="I97" s="262"/>
      <c r="J97" s="2">
        <v>0</v>
      </c>
      <c r="K97" s="2">
        <v>0</v>
      </c>
      <c r="L97" s="2">
        <v>0</v>
      </c>
      <c r="M97" s="2">
        <v>75</v>
      </c>
      <c r="N97" s="2">
        <v>0</v>
      </c>
      <c r="O97" s="263"/>
    </row>
    <row r="98" spans="2:15" ht="15.75" x14ac:dyDescent="0.25">
      <c r="B98" s="74" t="s">
        <v>236</v>
      </c>
      <c r="C98" s="66">
        <f>IFERROR(VLOOKUP(B98,[1]!Tabla1[#All],132,FALSE),0)</f>
        <v>0</v>
      </c>
      <c r="H98" s="252" t="s">
        <v>236</v>
      </c>
      <c r="I98" s="262"/>
      <c r="J98" s="2">
        <v>0</v>
      </c>
      <c r="K98" s="2">
        <v>0</v>
      </c>
      <c r="L98" s="2">
        <v>0</v>
      </c>
      <c r="M98" s="2">
        <v>300</v>
      </c>
      <c r="N98" s="2">
        <v>0</v>
      </c>
      <c r="O98" s="263"/>
    </row>
    <row r="99" spans="2:15" ht="15.75" x14ac:dyDescent="0.25">
      <c r="B99" s="74" t="s">
        <v>237</v>
      </c>
      <c r="C99" s="66">
        <f>IFERROR(VLOOKUP(B99,[1]!Tabla1[#All],132,FALSE),0)</f>
        <v>0</v>
      </c>
      <c r="H99" s="254" t="s">
        <v>237</v>
      </c>
      <c r="I99" s="262"/>
      <c r="J99" s="2">
        <v>75</v>
      </c>
      <c r="K99" s="2">
        <v>75</v>
      </c>
      <c r="L99" s="2">
        <v>0</v>
      </c>
      <c r="M99" s="2">
        <v>152</v>
      </c>
      <c r="N99" s="2">
        <v>75</v>
      </c>
      <c r="O99" s="263"/>
    </row>
    <row r="100" spans="2:15" ht="15.75" x14ac:dyDescent="0.25">
      <c r="B100" s="74" t="s">
        <v>238</v>
      </c>
      <c r="C100" s="66">
        <f>IFERROR(VLOOKUP(B100,[1]!Tabla1[#All],132,FALSE),0)</f>
        <v>0</v>
      </c>
      <c r="H100" s="252" t="s">
        <v>238</v>
      </c>
      <c r="I100" s="262"/>
      <c r="J100" s="2">
        <v>0</v>
      </c>
      <c r="K100" s="2">
        <v>0</v>
      </c>
      <c r="L100" s="2">
        <v>0</v>
      </c>
      <c r="M100" s="2">
        <v>0.8</v>
      </c>
      <c r="N100" s="2">
        <v>0</v>
      </c>
      <c r="O100" s="263"/>
    </row>
    <row r="101" spans="2:15" ht="15.75" x14ac:dyDescent="0.25">
      <c r="B101" s="245" t="s">
        <v>587</v>
      </c>
      <c r="C101" s="66">
        <f>IFERROR(VLOOKUP(B101,[1]!Tabla1[#All],132,FALSE),0)</f>
        <v>0</v>
      </c>
      <c r="H101" s="257" t="s">
        <v>587</v>
      </c>
      <c r="I101" s="262"/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63"/>
    </row>
    <row r="102" spans="2:15" ht="15.75" x14ac:dyDescent="0.25">
      <c r="B102" s="157" t="s">
        <v>239</v>
      </c>
      <c r="C102" s="66">
        <f>IFERROR(VLOOKUP(B102,[1]!Tabla1[#All],132,FALSE),0)</f>
        <v>0</v>
      </c>
      <c r="H102" s="249" t="s">
        <v>239</v>
      </c>
      <c r="I102" s="262"/>
      <c r="J102" s="2">
        <v>300</v>
      </c>
      <c r="K102" s="2">
        <v>0</v>
      </c>
      <c r="L102" s="2">
        <v>0</v>
      </c>
      <c r="M102" s="2">
        <v>150</v>
      </c>
      <c r="N102" s="2">
        <v>225</v>
      </c>
      <c r="O102" s="263"/>
    </row>
    <row r="103" spans="2:15" ht="15.75" x14ac:dyDescent="0.25">
      <c r="B103" s="157" t="s">
        <v>240</v>
      </c>
      <c r="C103" s="66">
        <f>IFERROR(VLOOKUP(B103,[1]!Tabla1[#All],132,FALSE),0)</f>
        <v>0</v>
      </c>
      <c r="H103" s="249" t="s">
        <v>240</v>
      </c>
      <c r="I103" s="262"/>
      <c r="J103" s="2">
        <v>0</v>
      </c>
      <c r="K103" s="2">
        <v>0</v>
      </c>
      <c r="L103" s="2">
        <v>450</v>
      </c>
      <c r="M103" s="2">
        <v>300</v>
      </c>
      <c r="N103" s="2">
        <v>75</v>
      </c>
      <c r="O103" s="263"/>
    </row>
    <row r="104" spans="2:15" ht="15.75" x14ac:dyDescent="0.25">
      <c r="B104" s="157" t="s">
        <v>241</v>
      </c>
      <c r="C104" s="66">
        <f>IFERROR(VLOOKUP(B104,[1]!Tabla1[#All],132,FALSE),0)</f>
        <v>0</v>
      </c>
      <c r="H104" s="249" t="s">
        <v>241</v>
      </c>
      <c r="I104" s="262"/>
      <c r="J104" s="2">
        <v>0</v>
      </c>
      <c r="K104" s="2">
        <v>300</v>
      </c>
      <c r="L104" s="2">
        <v>110</v>
      </c>
      <c r="M104" s="2">
        <v>245</v>
      </c>
      <c r="N104" s="2">
        <v>195</v>
      </c>
      <c r="O104" s="263"/>
    </row>
    <row r="105" spans="2:15" ht="15.75" x14ac:dyDescent="0.25">
      <c r="B105" s="157" t="s">
        <v>242</v>
      </c>
      <c r="C105" s="66">
        <f>IFERROR(VLOOKUP(B105,[1]!Tabla1[#All],132,FALSE),0)</f>
        <v>0</v>
      </c>
      <c r="H105" s="249" t="s">
        <v>242</v>
      </c>
      <c r="I105" s="262"/>
      <c r="J105" s="2">
        <v>125</v>
      </c>
      <c r="K105" s="2">
        <v>375</v>
      </c>
      <c r="L105" s="2">
        <v>650</v>
      </c>
      <c r="M105" s="2">
        <v>350</v>
      </c>
      <c r="N105" s="2">
        <v>1000</v>
      </c>
      <c r="O105" s="263"/>
    </row>
    <row r="106" spans="2:15" ht="15.75" x14ac:dyDescent="0.25">
      <c r="B106" s="157" t="s">
        <v>243</v>
      </c>
      <c r="C106" s="66">
        <f>IFERROR(VLOOKUP(B106,[1]!Tabla1[#All],132,FALSE),0)</f>
        <v>0</v>
      </c>
      <c r="H106" s="249" t="s">
        <v>243</v>
      </c>
      <c r="I106" s="262"/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63"/>
    </row>
    <row r="107" spans="2:15" ht="15.75" x14ac:dyDescent="0.25">
      <c r="B107" s="244" t="s">
        <v>344</v>
      </c>
      <c r="C107" s="66">
        <f>IFERROR(VLOOKUP(B107,[1]!Tabla1[#All],132,FALSE),0)</f>
        <v>0</v>
      </c>
      <c r="H107" s="255" t="s">
        <v>344</v>
      </c>
      <c r="I107" s="262"/>
      <c r="J107" s="2">
        <v>0</v>
      </c>
      <c r="K107" s="2">
        <v>0</v>
      </c>
      <c r="L107" s="2">
        <v>0</v>
      </c>
      <c r="M107" s="2">
        <v>750</v>
      </c>
      <c r="N107" s="2">
        <v>0</v>
      </c>
      <c r="O107" s="263"/>
    </row>
    <row r="108" spans="2:15" ht="15.75" x14ac:dyDescent="0.25">
      <c r="B108" s="74" t="s">
        <v>127</v>
      </c>
      <c r="C108" s="66">
        <f>IFERROR(VLOOKUP(B108,[1]!Tabla1[#All],132,FALSE),0)</f>
        <v>0</v>
      </c>
      <c r="H108" s="252" t="s">
        <v>127</v>
      </c>
      <c r="I108" s="262"/>
      <c r="J108" s="2">
        <v>0</v>
      </c>
      <c r="K108" s="2">
        <v>0</v>
      </c>
      <c r="L108" s="2">
        <v>0</v>
      </c>
      <c r="M108" s="2">
        <v>82</v>
      </c>
      <c r="N108" s="2">
        <v>0</v>
      </c>
      <c r="O108" s="263"/>
    </row>
    <row r="109" spans="2:15" ht="15.75" x14ac:dyDescent="0.25">
      <c r="B109" s="74" t="s">
        <v>128</v>
      </c>
      <c r="C109" s="66">
        <f>IFERROR(VLOOKUP(B109,[1]!Tabla1[#All],132,FALSE),0)</f>
        <v>0</v>
      </c>
      <c r="H109" s="254" t="s">
        <v>128</v>
      </c>
      <c r="I109" s="262"/>
      <c r="J109" s="2">
        <v>60</v>
      </c>
      <c r="K109" s="2">
        <v>0</v>
      </c>
      <c r="L109" s="2">
        <v>0</v>
      </c>
      <c r="M109" s="2">
        <v>30</v>
      </c>
      <c r="N109" s="2">
        <v>0</v>
      </c>
      <c r="O109" s="263"/>
    </row>
    <row r="110" spans="2:15" ht="15.75" x14ac:dyDescent="0.25">
      <c r="B110" s="157" t="s">
        <v>329</v>
      </c>
      <c r="C110" s="66">
        <f>IFERROR(VLOOKUP(B110,[1]!Tabla1[#All],132,FALSE),0)</f>
        <v>0</v>
      </c>
      <c r="H110" s="249" t="s">
        <v>329</v>
      </c>
      <c r="I110" s="262"/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63"/>
    </row>
    <row r="111" spans="2:15" ht="15.75" x14ac:dyDescent="0.25">
      <c r="B111" s="158" t="s">
        <v>562</v>
      </c>
      <c r="C111" s="66">
        <f>IFERROR(VLOOKUP(B111,[1]!Tabla1[#All],132,FALSE),0)</f>
        <v>0</v>
      </c>
      <c r="H111" s="253" t="s">
        <v>562</v>
      </c>
      <c r="I111" s="262"/>
      <c r="J111" s="2">
        <v>0</v>
      </c>
      <c r="K111" s="2">
        <v>0</v>
      </c>
      <c r="L111" s="2">
        <v>35</v>
      </c>
      <c r="M111" s="2">
        <v>0</v>
      </c>
      <c r="N111" s="2">
        <v>0</v>
      </c>
      <c r="O111" s="263"/>
    </row>
    <row r="112" spans="2:15" ht="15.75" x14ac:dyDescent="0.25">
      <c r="B112" s="73" t="s">
        <v>527</v>
      </c>
      <c r="C112" s="66">
        <f>IFERROR(VLOOKUP(B112,[1]!Tabla1[#All],132,FALSE),0)</f>
        <v>0</v>
      </c>
      <c r="H112" s="251" t="s">
        <v>527</v>
      </c>
      <c r="I112" s="262"/>
      <c r="J112" s="2">
        <v>0</v>
      </c>
      <c r="K112" s="2">
        <v>0</v>
      </c>
      <c r="L112" s="2">
        <v>30</v>
      </c>
      <c r="M112" s="2">
        <v>0</v>
      </c>
      <c r="N112" s="2">
        <v>0</v>
      </c>
      <c r="O112" s="263"/>
    </row>
    <row r="113" spans="2:15" ht="15.75" x14ac:dyDescent="0.25">
      <c r="B113" s="73" t="s">
        <v>399</v>
      </c>
      <c r="C113" s="66">
        <f>IFERROR(VLOOKUP(B113,[1]!Tabla1[#All],132,FALSE),0)</f>
        <v>0</v>
      </c>
      <c r="H113" s="250" t="s">
        <v>399</v>
      </c>
      <c r="I113" s="262"/>
      <c r="J113" s="2">
        <v>38</v>
      </c>
      <c r="K113" s="2">
        <v>7</v>
      </c>
      <c r="L113" s="2">
        <v>12</v>
      </c>
      <c r="M113" s="2">
        <v>22</v>
      </c>
      <c r="N113" s="2">
        <v>18</v>
      </c>
      <c r="O113" s="263"/>
    </row>
    <row r="114" spans="2:15" ht="15.75" x14ac:dyDescent="0.25">
      <c r="B114" s="74" t="s">
        <v>79</v>
      </c>
      <c r="C114" s="66">
        <f>IFERROR(VLOOKUP(B114,[1]!Tabla1[#All],132,FALSE),0)</f>
        <v>0</v>
      </c>
      <c r="H114" s="252" t="s">
        <v>79</v>
      </c>
      <c r="I114" s="262"/>
      <c r="J114" s="2">
        <v>1</v>
      </c>
      <c r="K114" s="2">
        <v>2</v>
      </c>
      <c r="L114" s="2">
        <v>0</v>
      </c>
      <c r="M114" s="2">
        <v>4</v>
      </c>
      <c r="N114" s="2">
        <v>2</v>
      </c>
      <c r="O114" s="263"/>
    </row>
    <row r="115" spans="2:15" ht="15.75" x14ac:dyDescent="0.25">
      <c r="B115" s="157" t="s">
        <v>244</v>
      </c>
      <c r="C115" s="66">
        <f>IFERROR(VLOOKUP(B115,[1]!Tabla1[#All],132,FALSE),0)</f>
        <v>0</v>
      </c>
      <c r="H115" s="249" t="s">
        <v>244</v>
      </c>
      <c r="I115" s="262"/>
      <c r="J115" s="2">
        <v>0</v>
      </c>
      <c r="K115" s="2">
        <v>0</v>
      </c>
      <c r="L115" s="2">
        <v>2</v>
      </c>
      <c r="M115" s="2">
        <v>0</v>
      </c>
      <c r="N115" s="2">
        <v>0</v>
      </c>
      <c r="O115" s="263"/>
    </row>
    <row r="116" spans="2:15" ht="15.75" x14ac:dyDescent="0.25">
      <c r="B116" s="73" t="s">
        <v>245</v>
      </c>
      <c r="C116" s="66">
        <f>IFERROR(VLOOKUP(B116,[1]!Tabla1[#All],132,FALSE),0)</f>
        <v>0</v>
      </c>
      <c r="H116" s="251" t="s">
        <v>245</v>
      </c>
      <c r="I116" s="262"/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63"/>
    </row>
    <row r="117" spans="2:15" ht="15.75" x14ac:dyDescent="0.25">
      <c r="B117" s="74" t="s">
        <v>246</v>
      </c>
      <c r="C117" s="66">
        <f>IFERROR(VLOOKUP(B117,[1]!Tabla1[#All],132,FALSE),0)</f>
        <v>0</v>
      </c>
      <c r="H117" s="254" t="s">
        <v>246</v>
      </c>
      <c r="I117" s="262"/>
      <c r="J117" s="2">
        <v>0</v>
      </c>
      <c r="K117" s="2">
        <v>0</v>
      </c>
      <c r="L117" s="2">
        <v>150</v>
      </c>
      <c r="M117" s="2">
        <v>0</v>
      </c>
      <c r="N117" s="2">
        <v>75</v>
      </c>
      <c r="O117" s="263"/>
    </row>
    <row r="118" spans="2:15" ht="15.75" x14ac:dyDescent="0.25">
      <c r="B118" s="74" t="s">
        <v>89</v>
      </c>
      <c r="C118" s="66">
        <f>IFERROR(VLOOKUP(B118,[1]!Tabla1[#All],132,FALSE),0)</f>
        <v>0</v>
      </c>
      <c r="H118" s="252" t="s">
        <v>89</v>
      </c>
      <c r="I118" s="262"/>
      <c r="J118" s="2">
        <v>2</v>
      </c>
      <c r="K118" s="2">
        <v>3</v>
      </c>
      <c r="L118" s="2">
        <v>4</v>
      </c>
      <c r="M118" s="2">
        <v>4</v>
      </c>
      <c r="N118" s="2">
        <v>1</v>
      </c>
      <c r="O118" s="263"/>
    </row>
    <row r="119" spans="2:15" ht="15.75" x14ac:dyDescent="0.25">
      <c r="B119" s="74" t="s">
        <v>80</v>
      </c>
      <c r="C119" s="66">
        <f>IFERROR(VLOOKUP(B119,[1]!Tabla1[#All],132,FALSE),0)</f>
        <v>0</v>
      </c>
      <c r="H119" s="254" t="s">
        <v>80</v>
      </c>
      <c r="I119" s="262"/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63"/>
    </row>
    <row r="120" spans="2:15" ht="15.75" x14ac:dyDescent="0.25">
      <c r="B120" s="74" t="s">
        <v>81</v>
      </c>
      <c r="C120" s="66">
        <f>IFERROR(VLOOKUP(B120,[1]!Tabla1[#All],132,FALSE),0)</f>
        <v>0</v>
      </c>
      <c r="H120" s="252" t="s">
        <v>81</v>
      </c>
      <c r="I120" s="262"/>
      <c r="J120" s="2">
        <v>2</v>
      </c>
      <c r="K120" s="2">
        <v>1</v>
      </c>
      <c r="L120" s="2">
        <v>1</v>
      </c>
      <c r="M120" s="2">
        <v>4</v>
      </c>
      <c r="N120" s="2">
        <v>0</v>
      </c>
      <c r="O120" s="263"/>
    </row>
    <row r="121" spans="2:15" ht="15.75" x14ac:dyDescent="0.25">
      <c r="B121" s="244" t="s">
        <v>336</v>
      </c>
      <c r="C121" s="66">
        <f>IFERROR(VLOOKUP(B121,[1]!Tabla1[#All],132,FALSE),0)</f>
        <v>0</v>
      </c>
      <c r="H121" s="255" t="s">
        <v>336</v>
      </c>
      <c r="I121" s="262"/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63"/>
    </row>
    <row r="122" spans="2:15" ht="15.75" x14ac:dyDescent="0.25">
      <c r="B122" s="244" t="s">
        <v>333</v>
      </c>
      <c r="C122" s="66">
        <f>IFERROR(VLOOKUP(B122,[1]!Tabla1[#All],132,FALSE),0)</f>
        <v>0</v>
      </c>
      <c r="H122" s="255" t="s">
        <v>333</v>
      </c>
      <c r="I122" s="262"/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63"/>
    </row>
    <row r="123" spans="2:15" ht="15.75" x14ac:dyDescent="0.25">
      <c r="B123" s="244" t="s">
        <v>335</v>
      </c>
      <c r="C123" s="66">
        <f>IFERROR(VLOOKUP(B123,[1]!Tabla1[#All],132,FALSE),0)</f>
        <v>0</v>
      </c>
      <c r="H123" s="255" t="s">
        <v>335</v>
      </c>
      <c r="I123" s="262"/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63"/>
    </row>
    <row r="124" spans="2:15" ht="15.75" x14ac:dyDescent="0.25">
      <c r="B124" s="244" t="s">
        <v>337</v>
      </c>
      <c r="C124" s="66">
        <f>IFERROR(VLOOKUP(B124,[1]!Tabla1[#All],132,FALSE),0)</f>
        <v>0</v>
      </c>
      <c r="H124" s="255" t="s">
        <v>337</v>
      </c>
      <c r="I124" s="262"/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63"/>
    </row>
    <row r="125" spans="2:15" ht="15.75" x14ac:dyDescent="0.25">
      <c r="B125" s="244" t="s">
        <v>338</v>
      </c>
      <c r="C125" s="66">
        <f>IFERROR(VLOOKUP(B125,[1]!Tabla1[#All],132,FALSE),0)</f>
        <v>0</v>
      </c>
      <c r="H125" s="255" t="s">
        <v>338</v>
      </c>
      <c r="I125" s="262"/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63"/>
    </row>
    <row r="126" spans="2:15" ht="15.75" x14ac:dyDescent="0.25">
      <c r="B126" s="244" t="s">
        <v>339</v>
      </c>
      <c r="C126" s="66">
        <f>IFERROR(VLOOKUP(B126,[1]!Tabla1[#All],132,FALSE),0)</f>
        <v>0</v>
      </c>
      <c r="H126" s="255" t="s">
        <v>339</v>
      </c>
      <c r="I126" s="262"/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63"/>
    </row>
    <row r="127" spans="2:15" ht="15.75" x14ac:dyDescent="0.25">
      <c r="B127" s="157" t="s">
        <v>402</v>
      </c>
      <c r="C127" s="66">
        <f>IFERROR(VLOOKUP(B127,[1]!Tabla1[#All],132,FALSE),0)</f>
        <v>0</v>
      </c>
      <c r="H127" s="249" t="s">
        <v>402</v>
      </c>
      <c r="I127" s="262"/>
      <c r="J127" s="2">
        <v>39</v>
      </c>
      <c r="K127" s="2">
        <v>7</v>
      </c>
      <c r="L127" s="2">
        <v>14</v>
      </c>
      <c r="M127" s="2">
        <v>24</v>
      </c>
      <c r="N127" s="2">
        <v>19</v>
      </c>
      <c r="O127" s="263"/>
    </row>
    <row r="128" spans="2:15" ht="15.75" x14ac:dyDescent="0.25">
      <c r="B128" s="157" t="s">
        <v>247</v>
      </c>
      <c r="C128" s="66">
        <f>IFERROR(VLOOKUP(B128,[1]!Tabla1[#All],132,FALSE),0)</f>
        <v>0</v>
      </c>
      <c r="H128" s="249" t="s">
        <v>247</v>
      </c>
      <c r="I128" s="262"/>
      <c r="J128" s="2">
        <v>0</v>
      </c>
      <c r="K128" s="2">
        <v>1</v>
      </c>
      <c r="L128" s="2">
        <v>0</v>
      </c>
      <c r="M128" s="2">
        <v>0</v>
      </c>
      <c r="N128" s="2">
        <v>1</v>
      </c>
      <c r="O128" s="263"/>
    </row>
    <row r="129" spans="2:15" ht="15.75" x14ac:dyDescent="0.25">
      <c r="B129" s="157" t="s">
        <v>248</v>
      </c>
      <c r="C129" s="66">
        <f>IFERROR(VLOOKUP(B129,[1]!Tabla1[#All],132,FALSE),0)</f>
        <v>0</v>
      </c>
      <c r="H129" s="249" t="s">
        <v>248</v>
      </c>
      <c r="I129" s="262"/>
      <c r="J129" s="2">
        <v>1</v>
      </c>
      <c r="K129" s="2">
        <v>1</v>
      </c>
      <c r="L129" s="2">
        <v>0</v>
      </c>
      <c r="M129" s="2">
        <v>1</v>
      </c>
      <c r="N129" s="2">
        <v>3</v>
      </c>
      <c r="O129" s="263"/>
    </row>
    <row r="130" spans="2:15" ht="15.75" x14ac:dyDescent="0.25">
      <c r="B130" s="157" t="s">
        <v>249</v>
      </c>
      <c r="C130" s="66">
        <f>IFERROR(VLOOKUP(B130,[1]!Tabla1[#All],132,FALSE),0)</f>
        <v>0</v>
      </c>
      <c r="H130" s="249" t="s">
        <v>249</v>
      </c>
      <c r="I130" s="262"/>
      <c r="J130" s="2">
        <v>1900</v>
      </c>
      <c r="K130" s="2">
        <v>300</v>
      </c>
      <c r="L130" s="2">
        <v>400</v>
      </c>
      <c r="M130" s="2">
        <v>900</v>
      </c>
      <c r="N130" s="2">
        <v>950</v>
      </c>
      <c r="O130" s="263"/>
    </row>
    <row r="131" spans="2:15" ht="15.75" x14ac:dyDescent="0.25">
      <c r="B131" s="74" t="s">
        <v>250</v>
      </c>
      <c r="C131" s="66">
        <f>IFERROR(VLOOKUP(B131,[1]!Tabla1[#All],132,FALSE),0)</f>
        <v>0</v>
      </c>
      <c r="H131" s="254" t="s">
        <v>250</v>
      </c>
      <c r="I131" s="262"/>
      <c r="J131" s="2">
        <v>0</v>
      </c>
      <c r="K131" s="2">
        <v>0</v>
      </c>
      <c r="L131" s="2">
        <v>1050</v>
      </c>
      <c r="M131" s="2">
        <v>300</v>
      </c>
      <c r="N131" s="2">
        <v>750</v>
      </c>
      <c r="O131" s="263"/>
    </row>
    <row r="132" spans="2:15" ht="15.75" x14ac:dyDescent="0.25">
      <c r="B132" s="74" t="s">
        <v>251</v>
      </c>
      <c r="C132" s="66">
        <f>IFERROR(VLOOKUP(B132,[1]!Tabla1[#All],132,FALSE),0)</f>
        <v>0</v>
      </c>
      <c r="H132" s="252" t="s">
        <v>251</v>
      </c>
      <c r="I132" s="262"/>
      <c r="J132" s="2">
        <v>0</v>
      </c>
      <c r="K132" s="2">
        <v>150</v>
      </c>
      <c r="L132" s="2">
        <v>0</v>
      </c>
      <c r="M132" s="2">
        <v>75</v>
      </c>
      <c r="N132" s="2">
        <v>0</v>
      </c>
      <c r="O132" s="263"/>
    </row>
    <row r="133" spans="2:15" ht="15.75" x14ac:dyDescent="0.25">
      <c r="B133" s="74" t="s">
        <v>252</v>
      </c>
      <c r="C133" s="66">
        <f>IFERROR(VLOOKUP(B133,[1]!Tabla1[#All],132,FALSE),0)</f>
        <v>0</v>
      </c>
      <c r="H133" s="254" t="s">
        <v>252</v>
      </c>
      <c r="I133" s="262"/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63"/>
    </row>
    <row r="134" spans="2:15" ht="15.75" x14ac:dyDescent="0.25">
      <c r="B134" s="74" t="s">
        <v>253</v>
      </c>
      <c r="C134" s="66">
        <f>IFERROR(VLOOKUP(B134,[1]!Tabla1[#All],132,FALSE),0)</f>
        <v>0</v>
      </c>
      <c r="H134" s="252" t="s">
        <v>253</v>
      </c>
      <c r="I134" s="262"/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63"/>
    </row>
    <row r="135" spans="2:15" ht="15.75" x14ac:dyDescent="0.25">
      <c r="B135" s="157" t="s">
        <v>254</v>
      </c>
      <c r="C135" s="66">
        <f>IFERROR(VLOOKUP(B135,[1]!Tabla1[#All],132,FALSE),0)</f>
        <v>0</v>
      </c>
      <c r="H135" s="249" t="s">
        <v>254</v>
      </c>
      <c r="I135" s="262"/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63"/>
    </row>
    <row r="136" spans="2:15" ht="15.75" x14ac:dyDescent="0.25">
      <c r="B136" s="74" t="s">
        <v>91</v>
      </c>
      <c r="C136" s="66">
        <f>IFERROR(VLOOKUP(B136,[1]!Tabla1[#All],132,FALSE),0)</f>
        <v>0</v>
      </c>
      <c r="H136" s="252" t="s">
        <v>91</v>
      </c>
      <c r="I136" s="262"/>
      <c r="J136" s="2">
        <v>4</v>
      </c>
      <c r="K136" s="2">
        <v>1</v>
      </c>
      <c r="L136" s="2">
        <v>4</v>
      </c>
      <c r="M136" s="2">
        <v>1</v>
      </c>
      <c r="N136" s="2">
        <v>2</v>
      </c>
      <c r="O136" s="263"/>
    </row>
    <row r="137" spans="2:15" ht="15.75" x14ac:dyDescent="0.25">
      <c r="B137" s="157" t="s">
        <v>255</v>
      </c>
      <c r="C137" s="66">
        <f>IFERROR(VLOOKUP(B137,[1]!Tabla1[#All],132,FALSE),0)</f>
        <v>0</v>
      </c>
      <c r="H137" s="249" t="s">
        <v>255</v>
      </c>
      <c r="I137" s="262"/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63"/>
    </row>
    <row r="138" spans="2:15" ht="15.75" x14ac:dyDescent="0.25">
      <c r="B138" s="74" t="s">
        <v>78</v>
      </c>
      <c r="C138" s="66">
        <f>IFERROR(VLOOKUP(B138,[1]!Tabla1[#All],132,FALSE),0)</f>
        <v>0</v>
      </c>
      <c r="H138" s="252" t="s">
        <v>78</v>
      </c>
      <c r="I138" s="262"/>
      <c r="J138" s="2">
        <v>2</v>
      </c>
      <c r="K138" s="2">
        <v>0</v>
      </c>
      <c r="L138" s="2">
        <v>0</v>
      </c>
      <c r="M138" s="2">
        <v>0</v>
      </c>
      <c r="N138" s="2">
        <v>2</v>
      </c>
      <c r="O138" s="263"/>
    </row>
    <row r="139" spans="2:15" ht="15.75" x14ac:dyDescent="0.25">
      <c r="B139" s="74" t="s">
        <v>374</v>
      </c>
      <c r="C139" s="66">
        <f>IFERROR(VLOOKUP(B139,[1]!Tabla1[#All],132,FALSE),0)</f>
        <v>0</v>
      </c>
      <c r="H139" s="254" t="s">
        <v>374</v>
      </c>
      <c r="I139" s="262"/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63"/>
    </row>
    <row r="140" spans="2:15" ht="15.75" x14ac:dyDescent="0.25">
      <c r="B140" s="157" t="s">
        <v>101</v>
      </c>
      <c r="C140" s="66">
        <f>IFERROR(VLOOKUP(B140,[1]!Tabla1[#All],132,FALSE),0)</f>
        <v>0</v>
      </c>
      <c r="H140" s="249" t="s">
        <v>101</v>
      </c>
      <c r="I140" s="262"/>
      <c r="J140" s="2">
        <v>3</v>
      </c>
      <c r="K140" s="2">
        <v>3</v>
      </c>
      <c r="L140" s="2">
        <v>4</v>
      </c>
      <c r="M140" s="2">
        <v>1</v>
      </c>
      <c r="N140" s="2">
        <v>3</v>
      </c>
      <c r="O140" s="263"/>
    </row>
    <row r="141" spans="2:15" ht="15.75" x14ac:dyDescent="0.25">
      <c r="B141" s="74" t="s">
        <v>136</v>
      </c>
      <c r="C141" s="66">
        <f>IFERROR(VLOOKUP(B141,[1]!Tabla1[#All],132,FALSE),0)</f>
        <v>0</v>
      </c>
      <c r="H141" s="254" t="s">
        <v>136</v>
      </c>
      <c r="I141" s="262"/>
      <c r="J141" s="2">
        <v>990</v>
      </c>
      <c r="K141" s="2">
        <v>600</v>
      </c>
      <c r="L141" s="2">
        <v>980</v>
      </c>
      <c r="M141" s="2">
        <v>1091</v>
      </c>
      <c r="N141" s="2">
        <v>800</v>
      </c>
      <c r="O141" s="263"/>
    </row>
    <row r="142" spans="2:15" ht="15.75" x14ac:dyDescent="0.25">
      <c r="B142" s="74" t="s">
        <v>130</v>
      </c>
      <c r="C142" s="66">
        <f>IFERROR(VLOOKUP(B142,[1]!Tabla1[#All],132,FALSE),0)</f>
        <v>0</v>
      </c>
      <c r="H142" s="252" t="s">
        <v>130</v>
      </c>
      <c r="I142" s="262"/>
      <c r="J142" s="2">
        <v>0</v>
      </c>
      <c r="K142" s="2">
        <v>0</v>
      </c>
      <c r="L142" s="2">
        <v>0.5</v>
      </c>
      <c r="M142" s="2">
        <v>0</v>
      </c>
      <c r="N142" s="2">
        <v>1</v>
      </c>
      <c r="O142" s="263"/>
    </row>
    <row r="143" spans="2:15" ht="15.75" x14ac:dyDescent="0.25">
      <c r="B143" s="73" t="s">
        <v>256</v>
      </c>
      <c r="C143" s="66">
        <f>IFERROR(VLOOKUP(B143,[1]!Tabla1[#All],132,FALSE),0)</f>
        <v>0</v>
      </c>
      <c r="H143" s="250" t="s">
        <v>256</v>
      </c>
      <c r="I143" s="262"/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63"/>
    </row>
    <row r="144" spans="2:15" ht="15.75" x14ac:dyDescent="0.25">
      <c r="B144" s="73" t="s">
        <v>257</v>
      </c>
      <c r="C144" s="66">
        <f>IFERROR(VLOOKUP(B144,[1]!Tabla1[#All],132,FALSE),0)</f>
        <v>0</v>
      </c>
      <c r="H144" s="251" t="s">
        <v>257</v>
      </c>
      <c r="I144" s="262"/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63"/>
    </row>
    <row r="145" spans="2:15" ht="15.75" x14ac:dyDescent="0.25">
      <c r="B145" s="74" t="s">
        <v>92</v>
      </c>
      <c r="C145" s="66">
        <f>IFERROR(VLOOKUP(B145,[1]!Tabla1[#All],132,FALSE),0)</f>
        <v>0</v>
      </c>
      <c r="H145" s="254" t="s">
        <v>92</v>
      </c>
      <c r="I145" s="262"/>
      <c r="J145" s="2">
        <v>3</v>
      </c>
      <c r="K145" s="2">
        <v>0</v>
      </c>
      <c r="L145" s="2">
        <v>1</v>
      </c>
      <c r="M145" s="2">
        <v>12</v>
      </c>
      <c r="N145" s="2">
        <v>1</v>
      </c>
      <c r="O145" s="263"/>
    </row>
    <row r="146" spans="2:15" ht="15.75" x14ac:dyDescent="0.25">
      <c r="B146" s="74" t="s">
        <v>258</v>
      </c>
      <c r="C146" s="66">
        <f>IFERROR(VLOOKUP(B146,[1]!Tabla1[#All],132,FALSE),0)</f>
        <v>0</v>
      </c>
      <c r="H146" s="252" t="s">
        <v>258</v>
      </c>
      <c r="I146" s="262"/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63"/>
    </row>
    <row r="147" spans="2:15" ht="15.75" x14ac:dyDescent="0.25">
      <c r="B147" s="73" t="s">
        <v>259</v>
      </c>
      <c r="C147" s="66">
        <f>IFERROR(VLOOKUP(B147,[1]!Tabla1[#All],132,FALSE),0)</f>
        <v>0</v>
      </c>
      <c r="H147" s="250" t="s">
        <v>259</v>
      </c>
      <c r="I147" s="262"/>
      <c r="J147" s="2">
        <v>8990</v>
      </c>
      <c r="K147" s="2">
        <v>3950</v>
      </c>
      <c r="L147" s="2">
        <v>21700</v>
      </c>
      <c r="M147" s="2">
        <v>27570</v>
      </c>
      <c r="N147" s="2">
        <v>17510</v>
      </c>
      <c r="O147" s="263"/>
    </row>
    <row r="148" spans="2:15" ht="15.75" x14ac:dyDescent="0.25">
      <c r="B148" s="73" t="s">
        <v>115</v>
      </c>
      <c r="C148" s="66">
        <f>IFERROR(VLOOKUP(B148,[1]!Tabla1[#All],132,FALSE),0)</f>
        <v>0</v>
      </c>
      <c r="H148" s="251" t="s">
        <v>115</v>
      </c>
      <c r="I148" s="262"/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63"/>
    </row>
    <row r="149" spans="2:15" ht="15.75" x14ac:dyDescent="0.25">
      <c r="B149" s="157" t="s">
        <v>260</v>
      </c>
      <c r="C149" s="66">
        <f>IFERROR(VLOOKUP(B149,[1]!Tabla1[#All],132,FALSE),0)</f>
        <v>0</v>
      </c>
      <c r="H149" s="249" t="s">
        <v>260</v>
      </c>
      <c r="I149" s="262"/>
      <c r="J149" s="2">
        <v>100</v>
      </c>
      <c r="K149" s="2">
        <v>60</v>
      </c>
      <c r="L149" s="2">
        <v>0</v>
      </c>
      <c r="M149" s="2">
        <v>50</v>
      </c>
      <c r="N149" s="2">
        <v>50</v>
      </c>
      <c r="O149" s="263"/>
    </row>
    <row r="150" spans="2:15" ht="15.75" x14ac:dyDescent="0.25">
      <c r="B150" s="157" t="s">
        <v>261</v>
      </c>
      <c r="C150" s="66">
        <f>IFERROR(VLOOKUP(B150,[1]!Tabla1[#All],132,FALSE),0)</f>
        <v>0</v>
      </c>
      <c r="H150" s="249" t="s">
        <v>261</v>
      </c>
      <c r="I150" s="262"/>
      <c r="J150" s="2">
        <v>0</v>
      </c>
      <c r="K150" s="2">
        <v>480</v>
      </c>
      <c r="L150" s="2">
        <v>1140</v>
      </c>
      <c r="M150" s="2">
        <v>300</v>
      </c>
      <c r="N150" s="2">
        <v>900</v>
      </c>
      <c r="O150" s="263"/>
    </row>
    <row r="151" spans="2:15" ht="15.75" x14ac:dyDescent="0.25">
      <c r="B151" s="157" t="s">
        <v>262</v>
      </c>
      <c r="C151" s="66">
        <f>IFERROR(VLOOKUP(B151,[1]!Tabla1[#All],132,FALSE),0)</f>
        <v>0</v>
      </c>
      <c r="H151" s="249" t="s">
        <v>262</v>
      </c>
      <c r="I151" s="262"/>
      <c r="J151" s="2">
        <v>120</v>
      </c>
      <c r="K151" s="2">
        <v>0</v>
      </c>
      <c r="L151" s="2">
        <v>0</v>
      </c>
      <c r="M151" s="2">
        <v>330</v>
      </c>
      <c r="N151" s="2">
        <v>0</v>
      </c>
      <c r="O151" s="263"/>
    </row>
    <row r="152" spans="2:15" ht="15.75" x14ac:dyDescent="0.25">
      <c r="B152" s="157" t="s">
        <v>135</v>
      </c>
      <c r="C152" s="66">
        <f>IFERROR(VLOOKUP(B152,[1]!Tabla1[#All],132,FALSE),0)</f>
        <v>0</v>
      </c>
      <c r="H152" s="249" t="s">
        <v>135</v>
      </c>
      <c r="I152" s="262"/>
      <c r="J152" s="2">
        <v>1855</v>
      </c>
      <c r="K152" s="2">
        <v>1290</v>
      </c>
      <c r="L152" s="2">
        <v>3765</v>
      </c>
      <c r="M152" s="2">
        <v>3150</v>
      </c>
      <c r="N152" s="2">
        <v>2870</v>
      </c>
      <c r="O152" s="263"/>
    </row>
    <row r="153" spans="2:15" ht="15.75" x14ac:dyDescent="0.25">
      <c r="B153" s="157" t="s">
        <v>263</v>
      </c>
      <c r="C153" s="66">
        <f>IFERROR(VLOOKUP(B153,[1]!Tabla1[#All],132,FALSE),0)</f>
        <v>0</v>
      </c>
      <c r="H153" s="249" t="s">
        <v>263</v>
      </c>
      <c r="I153" s="262"/>
      <c r="J153" s="2">
        <v>1880</v>
      </c>
      <c r="K153" s="2">
        <v>1440</v>
      </c>
      <c r="L153" s="2">
        <v>1420</v>
      </c>
      <c r="M153" s="2">
        <v>2030</v>
      </c>
      <c r="N153" s="2">
        <v>780</v>
      </c>
      <c r="O153" s="263"/>
    </row>
    <row r="154" spans="2:15" ht="15.75" x14ac:dyDescent="0.25">
      <c r="B154" s="73" t="s">
        <v>264</v>
      </c>
      <c r="C154" s="66">
        <f>IFERROR(VLOOKUP(B154,[1]!Tabla1[#All],132,FALSE),0)</f>
        <v>0</v>
      </c>
      <c r="H154" s="251" t="s">
        <v>264</v>
      </c>
      <c r="I154" s="262"/>
      <c r="J154" s="2">
        <v>675</v>
      </c>
      <c r="K154" s="2">
        <v>0</v>
      </c>
      <c r="L154" s="2">
        <v>150</v>
      </c>
      <c r="M154" s="2">
        <v>75</v>
      </c>
      <c r="N154" s="2">
        <v>375</v>
      </c>
      <c r="O154" s="263"/>
    </row>
    <row r="155" spans="2:15" ht="15.75" x14ac:dyDescent="0.25">
      <c r="B155" s="74" t="s">
        <v>265</v>
      </c>
      <c r="C155" s="66">
        <f>IFERROR(VLOOKUP(B155,[1]!Tabla1[#All],132,FALSE),0)</f>
        <v>0</v>
      </c>
      <c r="H155" s="254" t="s">
        <v>265</v>
      </c>
      <c r="I155" s="262"/>
      <c r="J155" s="2">
        <v>1</v>
      </c>
      <c r="K155" s="2">
        <v>0</v>
      </c>
      <c r="L155" s="2">
        <v>2</v>
      </c>
      <c r="M155" s="2">
        <v>10</v>
      </c>
      <c r="N155" s="2">
        <v>1</v>
      </c>
      <c r="O155" s="263"/>
    </row>
    <row r="156" spans="2:15" ht="15.75" x14ac:dyDescent="0.25">
      <c r="B156" s="74" t="s">
        <v>266</v>
      </c>
      <c r="C156" s="66">
        <f>IFERROR(VLOOKUP(B156,[1]!Tabla1[#All],132,FALSE),0)</f>
        <v>0</v>
      </c>
      <c r="H156" s="252" t="s">
        <v>266</v>
      </c>
      <c r="I156" s="262"/>
      <c r="J156" s="2">
        <v>1830</v>
      </c>
      <c r="K156" s="2">
        <v>840</v>
      </c>
      <c r="L156" s="2">
        <v>3635</v>
      </c>
      <c r="M156" s="2">
        <v>5260</v>
      </c>
      <c r="N156" s="2">
        <v>3600</v>
      </c>
      <c r="O156" s="263"/>
    </row>
    <row r="157" spans="2:15" ht="15.75" x14ac:dyDescent="0.25">
      <c r="B157" s="74" t="s">
        <v>267</v>
      </c>
      <c r="C157" s="66">
        <f>IFERROR(VLOOKUP(B157,[1]!Tabla1[#All],132,FALSE),0)</f>
        <v>0</v>
      </c>
      <c r="H157" s="254" t="s">
        <v>267</v>
      </c>
      <c r="I157" s="262"/>
      <c r="J157" s="2">
        <v>75</v>
      </c>
      <c r="K157" s="2">
        <v>225</v>
      </c>
      <c r="L157" s="2">
        <v>75</v>
      </c>
      <c r="M157" s="2">
        <v>825</v>
      </c>
      <c r="N157" s="2">
        <v>375</v>
      </c>
      <c r="O157" s="263"/>
    </row>
    <row r="158" spans="2:15" ht="15.75" x14ac:dyDescent="0.25">
      <c r="B158" s="74" t="s">
        <v>560</v>
      </c>
      <c r="C158" s="66">
        <f>IFERROR(VLOOKUP(B158,[1]!Tabla1[#All],132,FALSE),0)</f>
        <v>0</v>
      </c>
      <c r="H158" s="252" t="s">
        <v>560</v>
      </c>
      <c r="I158" s="262"/>
      <c r="J158" s="2">
        <v>0</v>
      </c>
      <c r="K158" s="2">
        <v>0</v>
      </c>
      <c r="L158" s="2">
        <v>75</v>
      </c>
      <c r="M158" s="2">
        <v>75</v>
      </c>
      <c r="N158" s="2">
        <v>150</v>
      </c>
      <c r="O158" s="263"/>
    </row>
    <row r="159" spans="2:15" ht="15.75" x14ac:dyDescent="0.25">
      <c r="B159" s="157" t="s">
        <v>268</v>
      </c>
      <c r="C159" s="66">
        <f>IFERROR(VLOOKUP(B159,[1]!Tabla1[#All],132,FALSE),0)</f>
        <v>0</v>
      </c>
      <c r="H159" s="249" t="s">
        <v>268</v>
      </c>
      <c r="I159" s="262"/>
      <c r="J159" s="2">
        <v>0</v>
      </c>
      <c r="K159" s="2">
        <v>1</v>
      </c>
      <c r="L159" s="2">
        <v>18</v>
      </c>
      <c r="M159" s="2">
        <v>6</v>
      </c>
      <c r="N159" s="2">
        <v>1</v>
      </c>
      <c r="O159" s="263"/>
    </row>
    <row r="160" spans="2:15" ht="15.75" x14ac:dyDescent="0.25">
      <c r="B160" s="73" t="s">
        <v>269</v>
      </c>
      <c r="C160" s="66">
        <f>IFERROR(VLOOKUP(B160,[1]!Tabla1[#All],132,FALSE),0)</f>
        <v>0</v>
      </c>
      <c r="H160" s="251" t="s">
        <v>269</v>
      </c>
      <c r="I160" s="262"/>
      <c r="J160" s="2">
        <v>0</v>
      </c>
      <c r="K160" s="2">
        <v>1</v>
      </c>
      <c r="L160" s="2">
        <v>0</v>
      </c>
      <c r="M160" s="2">
        <v>2</v>
      </c>
      <c r="N160" s="2">
        <v>0</v>
      </c>
      <c r="O160" s="263"/>
    </row>
    <row r="161" spans="2:15" ht="15.75" x14ac:dyDescent="0.25">
      <c r="B161" s="73" t="s">
        <v>270</v>
      </c>
      <c r="C161" s="66">
        <f>IFERROR(VLOOKUP(B161,[1]!Tabla1[#All],132,FALSE),0)</f>
        <v>0</v>
      </c>
      <c r="H161" s="250" t="s">
        <v>270</v>
      </c>
      <c r="I161" s="262"/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63"/>
    </row>
    <row r="162" spans="2:15" ht="15.75" x14ac:dyDescent="0.25">
      <c r="B162" s="158" t="s">
        <v>271</v>
      </c>
      <c r="C162" s="66">
        <f>IFERROR(VLOOKUP(B162,[1]!Tabla1[#All],132,FALSE),0)</f>
        <v>0</v>
      </c>
      <c r="H162" s="253" t="s">
        <v>271</v>
      </c>
      <c r="I162" s="262"/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63"/>
    </row>
    <row r="163" spans="2:15" ht="15.75" x14ac:dyDescent="0.25">
      <c r="B163" s="244" t="s">
        <v>340</v>
      </c>
      <c r="C163" s="66">
        <f>IFERROR(VLOOKUP(B163,[1]!Tabla1[#All],132,FALSE),0)</f>
        <v>0</v>
      </c>
      <c r="H163" s="255" t="s">
        <v>340</v>
      </c>
      <c r="I163" s="262"/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63"/>
    </row>
    <row r="164" spans="2:15" ht="15.75" x14ac:dyDescent="0.25">
      <c r="B164" s="244" t="s">
        <v>341</v>
      </c>
      <c r="C164" s="66">
        <f>IFERROR(VLOOKUP(B164,[1]!Tabla1[#All],132,FALSE),0)</f>
        <v>0</v>
      </c>
      <c r="H164" s="255" t="s">
        <v>341</v>
      </c>
      <c r="I164" s="262"/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63"/>
    </row>
    <row r="165" spans="2:15" ht="15.75" x14ac:dyDescent="0.25">
      <c r="B165" s="157" t="s">
        <v>272</v>
      </c>
      <c r="C165" s="66">
        <f>IFERROR(VLOOKUP(B165,[1]!Tabla1[#All],132,FALSE),0)</f>
        <v>0</v>
      </c>
      <c r="H165" s="249" t="s">
        <v>272</v>
      </c>
      <c r="I165" s="262"/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63"/>
    </row>
    <row r="166" spans="2:15" ht="15.75" x14ac:dyDescent="0.25">
      <c r="B166" s="157" t="s">
        <v>273</v>
      </c>
      <c r="C166" s="66">
        <f>IFERROR(VLOOKUP(B166,[1]!Tabla1[#All],132,FALSE),0)</f>
        <v>0</v>
      </c>
      <c r="H166" s="249" t="s">
        <v>273</v>
      </c>
      <c r="I166" s="262"/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63"/>
    </row>
    <row r="167" spans="2:15" ht="15.75" x14ac:dyDescent="0.25">
      <c r="B167" s="157" t="s">
        <v>274</v>
      </c>
      <c r="C167" s="66">
        <f>IFERROR(VLOOKUP(B167,[1]!Tabla1[#All],132,FALSE),0)</f>
        <v>0</v>
      </c>
      <c r="H167" s="249" t="s">
        <v>274</v>
      </c>
      <c r="I167" s="262"/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63"/>
    </row>
    <row r="168" spans="2:15" ht="15.75" x14ac:dyDescent="0.25">
      <c r="B168" s="74" t="s">
        <v>275</v>
      </c>
      <c r="C168" s="66">
        <f>IFERROR(VLOOKUP(B168,[1]!Tabla1[#All],132,FALSE),0)</f>
        <v>0</v>
      </c>
      <c r="H168" s="252" t="s">
        <v>275</v>
      </c>
      <c r="I168" s="262"/>
      <c r="J168" s="2">
        <v>3075</v>
      </c>
      <c r="K168" s="2">
        <v>750</v>
      </c>
      <c r="L168" s="2">
        <v>2850</v>
      </c>
      <c r="M168" s="2">
        <v>1840</v>
      </c>
      <c r="N168" s="2">
        <v>2100</v>
      </c>
      <c r="O168" s="263"/>
    </row>
    <row r="169" spans="2:15" ht="15.75" x14ac:dyDescent="0.25">
      <c r="B169" s="157" t="s">
        <v>276</v>
      </c>
      <c r="C169" s="66">
        <f>IFERROR(VLOOKUP(B169,[1]!Tabla1[#All],132,FALSE),0)</f>
        <v>0</v>
      </c>
      <c r="H169" s="249" t="s">
        <v>276</v>
      </c>
      <c r="I169" s="262"/>
      <c r="J169" s="2">
        <v>0</v>
      </c>
      <c r="K169" s="2">
        <v>0</v>
      </c>
      <c r="L169" s="2">
        <v>0</v>
      </c>
      <c r="M169" s="2">
        <v>0</v>
      </c>
      <c r="N169" s="2">
        <v>75</v>
      </c>
      <c r="O169" s="263"/>
    </row>
    <row r="170" spans="2:15" ht="15.75" x14ac:dyDescent="0.25">
      <c r="B170" s="157" t="s">
        <v>116</v>
      </c>
      <c r="C170" s="66">
        <f>IFERROR(VLOOKUP(B170,[1]!Tabla1[#All],132,FALSE),0)</f>
        <v>0</v>
      </c>
      <c r="H170" s="249" t="s">
        <v>116</v>
      </c>
      <c r="I170" s="262"/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63"/>
    </row>
    <row r="171" spans="2:15" ht="15.75" x14ac:dyDescent="0.25">
      <c r="B171" s="74" t="s">
        <v>86</v>
      </c>
      <c r="C171" s="66">
        <f>IFERROR(VLOOKUP(B171,[1]!Tabla1[#All],132,FALSE),0)</f>
        <v>0</v>
      </c>
      <c r="H171" s="254" t="s">
        <v>86</v>
      </c>
      <c r="I171" s="262"/>
      <c r="J171" s="2">
        <v>0</v>
      </c>
      <c r="K171" s="2">
        <v>2</v>
      </c>
      <c r="L171" s="2">
        <v>2</v>
      </c>
      <c r="M171" s="2">
        <v>2</v>
      </c>
      <c r="N171" s="2">
        <v>6</v>
      </c>
      <c r="O171" s="263"/>
    </row>
    <row r="172" spans="2:15" ht="15.75" x14ac:dyDescent="0.25">
      <c r="B172" s="74" t="s">
        <v>277</v>
      </c>
      <c r="C172" s="66">
        <f>IFERROR(VLOOKUP(B172,[1]!Tabla1[#All],132,FALSE),0)</f>
        <v>0</v>
      </c>
      <c r="H172" s="252" t="s">
        <v>277</v>
      </c>
      <c r="I172" s="262"/>
      <c r="J172" s="2">
        <v>740</v>
      </c>
      <c r="K172" s="2">
        <v>570</v>
      </c>
      <c r="L172" s="2">
        <v>880</v>
      </c>
      <c r="M172" s="2">
        <v>340</v>
      </c>
      <c r="N172" s="2">
        <v>580</v>
      </c>
      <c r="O172" s="263"/>
    </row>
    <row r="173" spans="2:15" ht="15.75" x14ac:dyDescent="0.25">
      <c r="B173" s="157" t="s">
        <v>278</v>
      </c>
      <c r="C173" s="66">
        <f>IFERROR(VLOOKUP(B173,[1]!Tabla1[#All],132,FALSE),0)</f>
        <v>0</v>
      </c>
      <c r="H173" s="249" t="s">
        <v>278</v>
      </c>
      <c r="I173" s="262"/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63"/>
    </row>
    <row r="174" spans="2:15" ht="15.75" x14ac:dyDescent="0.25">
      <c r="B174" s="73" t="s">
        <v>279</v>
      </c>
      <c r="C174" s="66">
        <f>IFERROR(VLOOKUP(B174,[1]!Tabla1[#All],132,FALSE),0)</f>
        <v>0</v>
      </c>
      <c r="H174" s="251" t="s">
        <v>279</v>
      </c>
      <c r="I174" s="262"/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63"/>
    </row>
    <row r="175" spans="2:15" ht="15.75" x14ac:dyDescent="0.25">
      <c r="B175" s="158" t="s">
        <v>280</v>
      </c>
      <c r="C175" s="66">
        <f>IFERROR(VLOOKUP(B175,[1]!Tabla1[#All],132,FALSE),0)</f>
        <v>0</v>
      </c>
      <c r="H175" s="253" t="s">
        <v>280</v>
      </c>
      <c r="I175" s="262"/>
      <c r="J175" s="2">
        <v>0</v>
      </c>
      <c r="K175" s="2">
        <v>1</v>
      </c>
      <c r="L175" s="2">
        <v>4</v>
      </c>
      <c r="M175" s="2">
        <v>4</v>
      </c>
      <c r="N175" s="2">
        <v>1</v>
      </c>
      <c r="O175" s="263"/>
    </row>
    <row r="176" spans="2:15" ht="15.75" x14ac:dyDescent="0.25">
      <c r="B176" s="157" t="s">
        <v>281</v>
      </c>
      <c r="C176" s="66">
        <f>IFERROR(VLOOKUP(B176,[1]!Tabla1[#All],132,FALSE),0)</f>
        <v>0</v>
      </c>
      <c r="H176" s="249" t="s">
        <v>281</v>
      </c>
      <c r="I176" s="262"/>
      <c r="J176" s="2">
        <v>0</v>
      </c>
      <c r="K176" s="2">
        <v>1</v>
      </c>
      <c r="L176" s="2">
        <v>1</v>
      </c>
      <c r="M176" s="2">
        <v>0</v>
      </c>
      <c r="N176" s="2">
        <v>0</v>
      </c>
      <c r="O176" s="263"/>
    </row>
    <row r="177" spans="2:15" ht="15.75" x14ac:dyDescent="0.25">
      <c r="B177" s="157" t="s">
        <v>282</v>
      </c>
      <c r="C177" s="66">
        <f>IFERROR(VLOOKUP(B177,[1]!Tabla1[#All],132,FALSE),0)</f>
        <v>0</v>
      </c>
      <c r="H177" s="249" t="s">
        <v>282</v>
      </c>
      <c r="I177" s="262"/>
      <c r="J177" s="2">
        <v>0</v>
      </c>
      <c r="K177" s="2">
        <v>0</v>
      </c>
      <c r="L177" s="2">
        <v>1</v>
      </c>
      <c r="M177" s="2">
        <v>5</v>
      </c>
      <c r="N177" s="2">
        <v>2</v>
      </c>
      <c r="O177" s="263"/>
    </row>
    <row r="178" spans="2:15" ht="15.75" x14ac:dyDescent="0.25">
      <c r="B178" s="160" t="s">
        <v>283</v>
      </c>
      <c r="C178" s="66">
        <f>IFERROR(VLOOKUP(B178,[1]!Tabla1[#All],132,FALSE),0)</f>
        <v>0</v>
      </c>
      <c r="H178" s="258" t="s">
        <v>283</v>
      </c>
      <c r="I178" s="262"/>
      <c r="J178" s="2">
        <v>0</v>
      </c>
      <c r="K178" s="2">
        <v>1</v>
      </c>
      <c r="L178" s="2">
        <v>0</v>
      </c>
      <c r="M178" s="2">
        <v>0</v>
      </c>
      <c r="N178" s="2">
        <v>0</v>
      </c>
      <c r="O178" s="263"/>
    </row>
    <row r="179" spans="2:15" ht="15.75" x14ac:dyDescent="0.25">
      <c r="B179" s="157" t="s">
        <v>284</v>
      </c>
      <c r="C179" s="66">
        <f>IFERROR(VLOOKUP(B179,[1]!Tabla1[#All],132,FALSE),0)</f>
        <v>0</v>
      </c>
      <c r="H179" s="249" t="s">
        <v>284</v>
      </c>
      <c r="I179" s="262"/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63"/>
    </row>
    <row r="180" spans="2:15" ht="15.75" x14ac:dyDescent="0.25">
      <c r="B180" s="74" t="s">
        <v>285</v>
      </c>
      <c r="C180" s="66">
        <f>IFERROR(VLOOKUP(B180,[1]!Tabla1[#All],132,FALSE),0)</f>
        <v>0</v>
      </c>
      <c r="H180" s="252" t="s">
        <v>285</v>
      </c>
      <c r="I180" s="262"/>
      <c r="J180" s="2">
        <v>75</v>
      </c>
      <c r="K180" s="2">
        <v>0</v>
      </c>
      <c r="L180" s="2">
        <v>75</v>
      </c>
      <c r="M180" s="2">
        <v>0</v>
      </c>
      <c r="N180" s="2">
        <v>0</v>
      </c>
      <c r="O180" s="263"/>
    </row>
    <row r="181" spans="2:15" ht="15.75" x14ac:dyDescent="0.25">
      <c r="B181" s="73" t="s">
        <v>286</v>
      </c>
      <c r="C181" s="66">
        <f>IFERROR(VLOOKUP(B181,[1]!Tabla1[#All],132,FALSE),0)</f>
        <v>0</v>
      </c>
      <c r="H181" s="250" t="s">
        <v>286</v>
      </c>
      <c r="I181" s="262"/>
      <c r="J181" s="2">
        <v>0</v>
      </c>
      <c r="K181" s="2">
        <v>0</v>
      </c>
      <c r="L181" s="2">
        <v>150</v>
      </c>
      <c r="M181" s="2">
        <v>0</v>
      </c>
      <c r="N181" s="2">
        <v>0</v>
      </c>
      <c r="O181" s="263"/>
    </row>
    <row r="182" spans="2:15" ht="15.75" x14ac:dyDescent="0.25">
      <c r="B182" s="73" t="s">
        <v>588</v>
      </c>
      <c r="C182" s="66">
        <f>IFERROR(VLOOKUP(B182,[1]!Tabla1[#All],132,FALSE),0)</f>
        <v>0</v>
      </c>
      <c r="H182" s="251" t="s">
        <v>588</v>
      </c>
      <c r="I182" s="262"/>
      <c r="J182" s="2">
        <v>0</v>
      </c>
      <c r="K182" s="2">
        <v>0</v>
      </c>
      <c r="L182" s="2">
        <v>1200</v>
      </c>
      <c r="M182" s="2">
        <v>75</v>
      </c>
      <c r="N182" s="2">
        <v>150</v>
      </c>
      <c r="O182" s="263"/>
    </row>
    <row r="183" spans="2:15" ht="15.75" x14ac:dyDescent="0.25">
      <c r="B183" s="73" t="s">
        <v>287</v>
      </c>
      <c r="C183" s="66">
        <f>IFERROR(VLOOKUP(B183,[1]!Tabla1[#All],132,FALSE),0)</f>
        <v>0</v>
      </c>
      <c r="H183" s="250" t="s">
        <v>287</v>
      </c>
      <c r="I183" s="262"/>
      <c r="J183" s="2">
        <v>0</v>
      </c>
      <c r="K183" s="2">
        <v>75</v>
      </c>
      <c r="L183" s="2">
        <v>0</v>
      </c>
      <c r="M183" s="2">
        <v>0</v>
      </c>
      <c r="N183" s="2">
        <v>0</v>
      </c>
      <c r="O183" s="263"/>
    </row>
    <row r="184" spans="2:15" ht="15.75" x14ac:dyDescent="0.25">
      <c r="B184" s="73" t="s">
        <v>288</v>
      </c>
      <c r="C184" s="66">
        <f>IFERROR(VLOOKUP(B184,[1]!Tabla1[#All],132,FALSE),0)</f>
        <v>0</v>
      </c>
      <c r="H184" s="251" t="s">
        <v>288</v>
      </c>
      <c r="I184" s="262"/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63"/>
    </row>
    <row r="185" spans="2:15" ht="15.75" x14ac:dyDescent="0.25">
      <c r="B185" s="74" t="s">
        <v>289</v>
      </c>
      <c r="C185" s="66">
        <f>IFERROR(VLOOKUP(B185,[1]!Tabla1[#All],132,FALSE),0)</f>
        <v>0</v>
      </c>
      <c r="H185" s="254" t="s">
        <v>289</v>
      </c>
      <c r="I185" s="262"/>
      <c r="J185" s="2">
        <v>0</v>
      </c>
      <c r="K185" s="2">
        <v>450</v>
      </c>
      <c r="L185" s="2">
        <v>75</v>
      </c>
      <c r="M185" s="2">
        <v>415</v>
      </c>
      <c r="N185" s="2">
        <v>450</v>
      </c>
      <c r="O185" s="263"/>
    </row>
    <row r="186" spans="2:15" ht="15.75" x14ac:dyDescent="0.25">
      <c r="B186" s="74" t="s">
        <v>290</v>
      </c>
      <c r="C186" s="66">
        <f>IFERROR(VLOOKUP(B186,[1]!Tabla1[#All],132,FALSE),0)</f>
        <v>0</v>
      </c>
      <c r="H186" s="252" t="s">
        <v>290</v>
      </c>
      <c r="I186" s="262"/>
      <c r="J186" s="2">
        <v>0</v>
      </c>
      <c r="K186" s="2">
        <v>0</v>
      </c>
      <c r="L186" s="2">
        <v>450</v>
      </c>
      <c r="M186" s="2">
        <v>0</v>
      </c>
      <c r="N186" s="2">
        <v>0</v>
      </c>
      <c r="O186" s="263"/>
    </row>
    <row r="187" spans="2:15" ht="15.75" x14ac:dyDescent="0.25">
      <c r="B187" s="73" t="s">
        <v>291</v>
      </c>
      <c r="C187" s="66">
        <f>IFERROR(VLOOKUP(B187,[1]!Tabla1[#All],132,FALSE),0)</f>
        <v>0</v>
      </c>
      <c r="H187" s="250" t="s">
        <v>291</v>
      </c>
      <c r="I187" s="262"/>
      <c r="J187" s="2">
        <v>0</v>
      </c>
      <c r="K187" s="2">
        <v>0</v>
      </c>
      <c r="L187" s="2">
        <v>0</v>
      </c>
      <c r="M187" s="2">
        <v>75</v>
      </c>
      <c r="N187" s="2">
        <v>0</v>
      </c>
      <c r="O187" s="263"/>
    </row>
    <row r="188" spans="2:15" ht="15.75" x14ac:dyDescent="0.25">
      <c r="B188" s="74" t="s">
        <v>292</v>
      </c>
      <c r="C188" s="66">
        <f>IFERROR(VLOOKUP(B188,[1]!Tabla1[#All],132,FALSE),0)</f>
        <v>0</v>
      </c>
      <c r="H188" s="252" t="s">
        <v>292</v>
      </c>
      <c r="I188" s="262"/>
      <c r="J188" s="2">
        <v>20</v>
      </c>
      <c r="K188" s="2">
        <v>60</v>
      </c>
      <c r="L188" s="2">
        <v>40</v>
      </c>
      <c r="M188" s="2">
        <v>20</v>
      </c>
      <c r="N188" s="2">
        <v>20</v>
      </c>
      <c r="O188" s="263"/>
    </row>
    <row r="189" spans="2:15" ht="15.75" x14ac:dyDescent="0.25">
      <c r="B189" s="74" t="s">
        <v>82</v>
      </c>
      <c r="C189" s="66">
        <f>IFERROR(VLOOKUP(B189,[1]!Tabla1[#All],132,FALSE),0)</f>
        <v>0</v>
      </c>
      <c r="H189" s="254" t="s">
        <v>82</v>
      </c>
      <c r="I189" s="262"/>
      <c r="J189" s="2">
        <v>1</v>
      </c>
      <c r="K189" s="2">
        <v>0</v>
      </c>
      <c r="L189" s="2">
        <v>1</v>
      </c>
      <c r="M189" s="2">
        <v>3</v>
      </c>
      <c r="N189" s="2">
        <v>1</v>
      </c>
      <c r="O189" s="263"/>
    </row>
    <row r="190" spans="2:15" ht="15.75" x14ac:dyDescent="0.25">
      <c r="B190" s="74" t="s">
        <v>138</v>
      </c>
      <c r="C190" s="66">
        <f>IFERROR(VLOOKUP(B190,[1]!Tabla1[#All],132,FALSE),0)</f>
        <v>0</v>
      </c>
      <c r="H190" s="252" t="s">
        <v>138</v>
      </c>
      <c r="I190" s="262"/>
      <c r="J190" s="2">
        <v>0</v>
      </c>
      <c r="K190" s="2">
        <v>0</v>
      </c>
      <c r="L190" s="2">
        <v>0</v>
      </c>
      <c r="M190" s="2">
        <v>1.6</v>
      </c>
      <c r="N190" s="2">
        <v>0</v>
      </c>
      <c r="O190" s="263"/>
    </row>
    <row r="191" spans="2:15" ht="15.75" x14ac:dyDescent="0.25">
      <c r="B191" s="73" t="s">
        <v>293</v>
      </c>
      <c r="C191" s="66">
        <f>IFERROR(VLOOKUP(B191,[1]!Tabla1[#All],132,FALSE),0)</f>
        <v>0</v>
      </c>
      <c r="H191" s="250" t="s">
        <v>293</v>
      </c>
      <c r="I191" s="262"/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63"/>
    </row>
    <row r="192" spans="2:15" ht="15.75" x14ac:dyDescent="0.25">
      <c r="B192" s="73" t="s">
        <v>294</v>
      </c>
      <c r="C192" s="66">
        <f>IFERROR(VLOOKUP(B192,[1]!Tabla1[#All],132,FALSE),0)</f>
        <v>0</v>
      </c>
      <c r="H192" s="251" t="s">
        <v>294</v>
      </c>
      <c r="I192" s="262"/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63"/>
    </row>
    <row r="193" spans="2:15" ht="15.75" x14ac:dyDescent="0.25">
      <c r="B193" s="157" t="s">
        <v>295</v>
      </c>
      <c r="C193" s="66">
        <f>IFERROR(VLOOKUP(B193,[1]!Tabla1[#All],132,FALSE),0)</f>
        <v>0</v>
      </c>
      <c r="H193" s="249" t="s">
        <v>295</v>
      </c>
      <c r="I193" s="262"/>
      <c r="J193" s="2">
        <v>0</v>
      </c>
      <c r="K193" s="2">
        <v>1</v>
      </c>
      <c r="L193" s="2">
        <v>2</v>
      </c>
      <c r="M193" s="2">
        <v>3</v>
      </c>
      <c r="N193" s="2">
        <v>3</v>
      </c>
      <c r="O193" s="263"/>
    </row>
    <row r="194" spans="2:15" ht="15.75" x14ac:dyDescent="0.25">
      <c r="B194" s="74" t="s">
        <v>94</v>
      </c>
      <c r="C194" s="66">
        <f>IFERROR(VLOOKUP(B194,[1]!Tabla1[#All],132,FALSE),0)</f>
        <v>0</v>
      </c>
      <c r="H194" s="252" t="s">
        <v>94</v>
      </c>
      <c r="I194" s="262"/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63"/>
    </row>
    <row r="195" spans="2:15" ht="15.75" x14ac:dyDescent="0.25">
      <c r="B195" s="74" t="s">
        <v>95</v>
      </c>
      <c r="C195" s="66">
        <f>IFERROR(VLOOKUP(B195,[1]!Tabla1[#All],132,FALSE),0)</f>
        <v>0</v>
      </c>
      <c r="H195" s="254" t="s">
        <v>95</v>
      </c>
      <c r="I195" s="262"/>
      <c r="J195" s="2">
        <v>6</v>
      </c>
      <c r="K195" s="2">
        <v>6</v>
      </c>
      <c r="L195" s="2">
        <v>4</v>
      </c>
      <c r="M195" s="2">
        <v>17</v>
      </c>
      <c r="N195" s="2">
        <v>9</v>
      </c>
      <c r="O195" s="263"/>
    </row>
    <row r="196" spans="2:15" ht="15.75" x14ac:dyDescent="0.25">
      <c r="B196" s="74" t="s">
        <v>296</v>
      </c>
      <c r="C196" s="66">
        <f>IFERROR(VLOOKUP(B196,[1]!Tabla1[#All],132,FALSE),0)</f>
        <v>0</v>
      </c>
      <c r="H196" s="252" t="s">
        <v>296</v>
      </c>
      <c r="I196" s="262"/>
      <c r="J196" s="2">
        <v>20</v>
      </c>
      <c r="K196" s="2">
        <v>130</v>
      </c>
      <c r="L196" s="2">
        <v>40</v>
      </c>
      <c r="M196" s="2">
        <v>110</v>
      </c>
      <c r="N196" s="2">
        <v>320</v>
      </c>
      <c r="O196" s="263"/>
    </row>
    <row r="197" spans="2:15" ht="15.75" x14ac:dyDescent="0.25">
      <c r="B197" s="73" t="s">
        <v>297</v>
      </c>
      <c r="C197" s="66">
        <f>IFERROR(VLOOKUP(B197,[1]!Tabla1[#All],132,FALSE),0)</f>
        <v>0</v>
      </c>
      <c r="H197" s="250" t="s">
        <v>297</v>
      </c>
      <c r="I197" s="262"/>
      <c r="J197" s="2">
        <v>0</v>
      </c>
      <c r="K197" s="2">
        <v>0</v>
      </c>
      <c r="L197" s="2">
        <v>0</v>
      </c>
      <c r="M197" s="2">
        <v>0</v>
      </c>
      <c r="N197" s="2">
        <v>75</v>
      </c>
      <c r="O197" s="263"/>
    </row>
    <row r="198" spans="2:15" ht="15.75" x14ac:dyDescent="0.25">
      <c r="B198" s="73" t="s">
        <v>298</v>
      </c>
      <c r="C198" s="66">
        <f>IFERROR(VLOOKUP(B198,[1]!Tabla1[#All],132,FALSE),0)</f>
        <v>0</v>
      </c>
      <c r="H198" s="251" t="s">
        <v>298</v>
      </c>
      <c r="I198" s="262"/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63"/>
    </row>
    <row r="199" spans="2:15" ht="15.75" x14ac:dyDescent="0.25">
      <c r="B199" s="74" t="s">
        <v>299</v>
      </c>
      <c r="C199" s="66">
        <f>IFERROR(VLOOKUP(B199,[1]!Tabla1[#All],132,FALSE),0)</f>
        <v>0</v>
      </c>
      <c r="H199" s="254" t="s">
        <v>299</v>
      </c>
      <c r="I199" s="262"/>
      <c r="J199" s="2">
        <v>0</v>
      </c>
      <c r="K199" s="2">
        <v>300</v>
      </c>
      <c r="L199" s="2">
        <v>300</v>
      </c>
      <c r="M199" s="2">
        <v>265</v>
      </c>
      <c r="N199" s="2">
        <v>600</v>
      </c>
      <c r="O199" s="263"/>
    </row>
    <row r="200" spans="2:15" ht="15.75" x14ac:dyDescent="0.25">
      <c r="B200" s="74" t="s">
        <v>300</v>
      </c>
      <c r="C200" s="346">
        <f>IFERROR(VLOOKUP(B200,[1]!Tabla1[#All],132,FALSE),0)</f>
        <v>0</v>
      </c>
      <c r="H200" s="252" t="s">
        <v>300</v>
      </c>
      <c r="I200" s="262"/>
      <c r="J200" s="2">
        <v>0</v>
      </c>
      <c r="K200" s="2">
        <v>0</v>
      </c>
      <c r="L200" s="2">
        <v>150</v>
      </c>
      <c r="M200" s="2">
        <v>75</v>
      </c>
      <c r="N200" s="2">
        <v>0</v>
      </c>
      <c r="O200" s="263"/>
    </row>
    <row r="201" spans="2:15" ht="16.5" thickBot="1" x14ac:dyDescent="0.3">
      <c r="B201" s="73" t="s">
        <v>301</v>
      </c>
      <c r="C201" s="66">
        <f>IFERROR(VLOOKUP(B201,[1]!Tabla1[#All],132,FALSE),0)</f>
        <v>0</v>
      </c>
      <c r="H201" s="250" t="s">
        <v>301</v>
      </c>
      <c r="I201" s="264"/>
      <c r="J201" s="265">
        <v>0</v>
      </c>
      <c r="K201" s="265">
        <v>0</v>
      </c>
      <c r="L201" s="265">
        <v>0</v>
      </c>
      <c r="M201" s="265">
        <v>0</v>
      </c>
      <c r="N201" s="265">
        <v>0</v>
      </c>
      <c r="O201" s="26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ONVENTAS">
                <anchor moveWithCells="1" sizeWithCells="1">
                  <from>
                    <xdr:col>4</xdr:col>
                    <xdr:colOff>628650</xdr:colOff>
                    <xdr:row>0</xdr:row>
                    <xdr:rowOff>171450</xdr:rowOff>
                  </from>
                  <to>
                    <xdr:col>6</xdr:col>
                    <xdr:colOff>447675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>
    <pageSetUpPr fitToPage="1"/>
  </sheetPr>
  <dimension ref="A3:M420"/>
  <sheetViews>
    <sheetView showGridLines="0" zoomScale="90" zoomScaleNormal="90" workbookViewId="0">
      <selection activeCell="D5" sqref="D4:K5"/>
    </sheetView>
  </sheetViews>
  <sheetFormatPr baseColWidth="10" defaultColWidth="11.42578125" defaultRowHeight="15" x14ac:dyDescent="0.25"/>
  <cols>
    <col min="1" max="1" width="26.42578125" customWidth="1"/>
    <col min="2" max="2" width="29.5703125" style="87" customWidth="1"/>
    <col min="3" max="3" width="13.28515625" style="4" bestFit="1" customWidth="1"/>
    <col min="4" max="4" width="23.140625" style="89" bestFit="1" customWidth="1"/>
    <col min="5" max="5" width="14.85546875" style="90" customWidth="1"/>
    <col min="6" max="6" width="12.85546875" style="91" bestFit="1" customWidth="1"/>
    <col min="7" max="7" width="17.7109375" style="90" customWidth="1"/>
    <col min="8" max="8" width="23.140625" style="89" customWidth="1"/>
    <col min="9" max="9" width="14.85546875" style="90" customWidth="1"/>
    <col min="10" max="10" width="12" style="91" bestFit="1" customWidth="1"/>
    <col min="11" max="11" width="17.7109375" style="90" customWidth="1"/>
    <col min="13" max="13" width="14.85546875" customWidth="1"/>
    <col min="15" max="15" width="32.85546875" customWidth="1"/>
    <col min="17" max="17" width="14.85546875" customWidth="1"/>
  </cols>
  <sheetData>
    <row r="3" spans="1:11" ht="15.75" thickBot="1" x14ac:dyDescent="0.3">
      <c r="C3" s="88"/>
      <c r="G3" s="92"/>
      <c r="K3" s="92"/>
    </row>
    <row r="4" spans="1:11" ht="16.5" thickBot="1" x14ac:dyDescent="0.3">
      <c r="A4" s="163"/>
      <c r="B4" s="164"/>
      <c r="C4" s="165"/>
      <c r="D4" s="392" t="s">
        <v>308</v>
      </c>
      <c r="E4" s="393"/>
      <c r="F4" s="393"/>
      <c r="G4" s="394"/>
      <c r="H4" s="395" t="s">
        <v>309</v>
      </c>
      <c r="I4" s="393"/>
      <c r="J4" s="393"/>
      <c r="K4" s="394"/>
    </row>
    <row r="5" spans="1:11" x14ac:dyDescent="0.25">
      <c r="A5" s="166" t="s">
        <v>310</v>
      </c>
      <c r="B5" s="167" t="s">
        <v>46</v>
      </c>
      <c r="C5" s="168" t="s">
        <v>311</v>
      </c>
      <c r="D5" s="169" t="s">
        <v>312</v>
      </c>
      <c r="E5" s="170" t="s">
        <v>313</v>
      </c>
      <c r="F5" s="171" t="s">
        <v>314</v>
      </c>
      <c r="G5" s="172" t="s">
        <v>302</v>
      </c>
      <c r="H5" s="173" t="s">
        <v>315</v>
      </c>
      <c r="I5" s="170" t="s">
        <v>313</v>
      </c>
      <c r="J5" s="171" t="s">
        <v>314</v>
      </c>
      <c r="K5" s="172" t="s">
        <v>302</v>
      </c>
    </row>
    <row r="6" spans="1:11" x14ac:dyDescent="0.25">
      <c r="A6" s="174" t="s">
        <v>316</v>
      </c>
      <c r="B6" s="175" t="s">
        <v>567</v>
      </c>
      <c r="C6" s="176" t="s">
        <v>317</v>
      </c>
      <c r="D6" s="177">
        <v>234.7</v>
      </c>
      <c r="E6" s="178">
        <f t="shared" ref="E6:E79" si="0">D6*0.19</f>
        <v>44.592999999999996</v>
      </c>
      <c r="F6" s="179">
        <f t="shared" ref="F6:F14" si="1">0.1*D6</f>
        <v>23.47</v>
      </c>
      <c r="G6" s="178">
        <f t="shared" ref="G6:G259" si="2">SUM(D6:F6)</f>
        <v>302.76300000000003</v>
      </c>
      <c r="H6" s="180">
        <f t="shared" ref="H6:H8" si="3">D6</f>
        <v>234.7</v>
      </c>
      <c r="I6" s="178">
        <f t="shared" ref="I6:I259" si="4">H6*0.19</f>
        <v>44.592999999999996</v>
      </c>
      <c r="J6" s="179">
        <f t="shared" ref="J6:J14" si="5">0.1*H6</f>
        <v>23.47</v>
      </c>
      <c r="K6" s="178">
        <f t="shared" ref="K6:K260" si="6">SUM(H6:J6)</f>
        <v>302.76300000000003</v>
      </c>
    </row>
    <row r="7" spans="1:11" x14ac:dyDescent="0.25">
      <c r="A7" s="174" t="s">
        <v>316</v>
      </c>
      <c r="B7" s="181" t="s">
        <v>205</v>
      </c>
      <c r="C7" s="176" t="s">
        <v>317</v>
      </c>
      <c r="D7" s="182">
        <v>1187</v>
      </c>
      <c r="E7" s="178">
        <f t="shared" si="0"/>
        <v>225.53</v>
      </c>
      <c r="F7" s="179">
        <f t="shared" si="1"/>
        <v>118.7</v>
      </c>
      <c r="G7" s="178">
        <f t="shared" si="2"/>
        <v>1531.23</v>
      </c>
      <c r="H7" s="180">
        <f t="shared" si="3"/>
        <v>1187</v>
      </c>
      <c r="I7" s="178">
        <f t="shared" si="4"/>
        <v>225.53</v>
      </c>
      <c r="J7" s="179">
        <f t="shared" si="5"/>
        <v>118.7</v>
      </c>
      <c r="K7" s="178">
        <f t="shared" si="6"/>
        <v>1531.23</v>
      </c>
    </row>
    <row r="8" spans="1:11" x14ac:dyDescent="0.25">
      <c r="A8" s="174" t="s">
        <v>316</v>
      </c>
      <c r="B8" s="181" t="s">
        <v>207</v>
      </c>
      <c r="C8" s="176" t="s">
        <v>317</v>
      </c>
      <c r="D8" s="177">
        <v>515</v>
      </c>
      <c r="E8" s="178">
        <f t="shared" si="0"/>
        <v>97.85</v>
      </c>
      <c r="F8" s="179">
        <f t="shared" si="1"/>
        <v>51.5</v>
      </c>
      <c r="G8" s="178">
        <f t="shared" si="2"/>
        <v>664.35</v>
      </c>
      <c r="H8" s="180">
        <f t="shared" si="3"/>
        <v>515</v>
      </c>
      <c r="I8" s="178">
        <f t="shared" si="4"/>
        <v>97.85</v>
      </c>
      <c r="J8" s="179">
        <f t="shared" si="5"/>
        <v>51.5</v>
      </c>
      <c r="K8" s="178">
        <f t="shared" si="6"/>
        <v>664.35</v>
      </c>
    </row>
    <row r="9" spans="1:11" ht="15" customHeight="1" x14ac:dyDescent="0.25">
      <c r="A9" s="183" t="s">
        <v>316</v>
      </c>
      <c r="B9" s="184" t="s">
        <v>318</v>
      </c>
      <c r="C9" s="185" t="s">
        <v>317</v>
      </c>
      <c r="D9" s="186"/>
      <c r="E9" s="187">
        <f t="shared" si="0"/>
        <v>0</v>
      </c>
      <c r="F9" s="188">
        <f t="shared" si="1"/>
        <v>0</v>
      </c>
      <c r="G9" s="187">
        <f t="shared" si="2"/>
        <v>0</v>
      </c>
      <c r="H9" s="189"/>
      <c r="I9" s="187">
        <f t="shared" si="4"/>
        <v>0</v>
      </c>
      <c r="J9" s="188">
        <f t="shared" si="5"/>
        <v>0</v>
      </c>
      <c r="K9" s="187">
        <f t="shared" si="6"/>
        <v>0</v>
      </c>
    </row>
    <row r="10" spans="1:11" x14ac:dyDescent="0.25">
      <c r="A10" s="183" t="s">
        <v>316</v>
      </c>
      <c r="B10" s="184" t="s">
        <v>319</v>
      </c>
      <c r="C10" s="185" t="s">
        <v>317</v>
      </c>
      <c r="D10" s="186">
        <v>300</v>
      </c>
      <c r="E10" s="187">
        <f t="shared" si="0"/>
        <v>57</v>
      </c>
      <c r="F10" s="188">
        <f t="shared" si="1"/>
        <v>30</v>
      </c>
      <c r="G10" s="187">
        <f t="shared" si="2"/>
        <v>387</v>
      </c>
      <c r="H10" s="189">
        <f t="shared" ref="H10:H17" si="7">D10</f>
        <v>300</v>
      </c>
      <c r="I10" s="187">
        <f t="shared" si="4"/>
        <v>57</v>
      </c>
      <c r="J10" s="188">
        <f t="shared" si="5"/>
        <v>30</v>
      </c>
      <c r="K10" s="187">
        <f t="shared" si="6"/>
        <v>387</v>
      </c>
    </row>
    <row r="11" spans="1:11" x14ac:dyDescent="0.25">
      <c r="A11" s="174" t="s">
        <v>316</v>
      </c>
      <c r="B11" s="174" t="s">
        <v>208</v>
      </c>
      <c r="C11" s="175" t="s">
        <v>317</v>
      </c>
      <c r="D11" s="182">
        <v>514.91999999999996</v>
      </c>
      <c r="E11" s="180">
        <f t="shared" si="0"/>
        <v>97.834799999999987</v>
      </c>
      <c r="F11" s="178">
        <f t="shared" si="1"/>
        <v>51.491999999999997</v>
      </c>
      <c r="G11" s="179">
        <f t="shared" si="2"/>
        <v>664.24679999999989</v>
      </c>
      <c r="H11" s="178">
        <f t="shared" si="7"/>
        <v>514.91999999999996</v>
      </c>
      <c r="I11" s="180">
        <f t="shared" si="4"/>
        <v>97.834799999999987</v>
      </c>
      <c r="J11" s="178">
        <f t="shared" si="5"/>
        <v>51.491999999999997</v>
      </c>
      <c r="K11" s="179">
        <f t="shared" si="6"/>
        <v>664.24679999999989</v>
      </c>
    </row>
    <row r="12" spans="1:11" x14ac:dyDescent="0.25">
      <c r="A12" s="174" t="s">
        <v>316</v>
      </c>
      <c r="B12" s="174" t="s">
        <v>209</v>
      </c>
      <c r="C12" s="175" t="s">
        <v>317</v>
      </c>
      <c r="D12" s="182">
        <v>1251</v>
      </c>
      <c r="E12" s="180">
        <f t="shared" si="0"/>
        <v>237.69</v>
      </c>
      <c r="F12" s="178">
        <f t="shared" si="1"/>
        <v>125.10000000000001</v>
      </c>
      <c r="G12" s="179">
        <f t="shared" si="2"/>
        <v>1613.79</v>
      </c>
      <c r="H12" s="178">
        <f t="shared" si="7"/>
        <v>1251</v>
      </c>
      <c r="I12" s="180">
        <f t="shared" si="4"/>
        <v>237.69</v>
      </c>
      <c r="J12" s="178">
        <f t="shared" si="5"/>
        <v>125.10000000000001</v>
      </c>
      <c r="K12" s="179">
        <f t="shared" si="6"/>
        <v>1613.79</v>
      </c>
    </row>
    <row r="13" spans="1:11" x14ac:dyDescent="0.25">
      <c r="A13" s="174" t="s">
        <v>316</v>
      </c>
      <c r="B13" s="175" t="s">
        <v>210</v>
      </c>
      <c r="C13" s="176" t="s">
        <v>317</v>
      </c>
      <c r="D13" s="177">
        <v>246.05</v>
      </c>
      <c r="E13" s="178">
        <f t="shared" si="0"/>
        <v>46.749500000000005</v>
      </c>
      <c r="F13" s="179">
        <f t="shared" si="1"/>
        <v>24.605000000000004</v>
      </c>
      <c r="G13" s="178">
        <f t="shared" si="2"/>
        <v>317.40450000000004</v>
      </c>
      <c r="H13" s="180">
        <f t="shared" si="7"/>
        <v>246.05</v>
      </c>
      <c r="I13" s="178">
        <f t="shared" si="4"/>
        <v>46.749500000000005</v>
      </c>
      <c r="J13" s="179">
        <f t="shared" si="5"/>
        <v>24.605000000000004</v>
      </c>
      <c r="K13" s="178">
        <f t="shared" si="6"/>
        <v>317.40450000000004</v>
      </c>
    </row>
    <row r="14" spans="1:11" x14ac:dyDescent="0.25">
      <c r="A14" s="174" t="s">
        <v>316</v>
      </c>
      <c r="B14" s="181" t="s">
        <v>211</v>
      </c>
      <c r="C14" s="176" t="s">
        <v>317</v>
      </c>
      <c r="D14" s="177">
        <v>514.91999999999996</v>
      </c>
      <c r="E14" s="178">
        <f t="shared" si="0"/>
        <v>97.834799999999987</v>
      </c>
      <c r="F14" s="179">
        <f t="shared" si="1"/>
        <v>51.491999999999997</v>
      </c>
      <c r="G14" s="178">
        <f t="shared" si="2"/>
        <v>664.24679999999989</v>
      </c>
      <c r="H14" s="180">
        <f t="shared" si="7"/>
        <v>514.91999999999996</v>
      </c>
      <c r="I14" s="178">
        <f t="shared" si="4"/>
        <v>97.834799999999987</v>
      </c>
      <c r="J14" s="179">
        <f t="shared" si="5"/>
        <v>51.491999999999997</v>
      </c>
      <c r="K14" s="178">
        <f t="shared" si="6"/>
        <v>664.24679999999989</v>
      </c>
    </row>
    <row r="15" spans="1:11" x14ac:dyDescent="0.25">
      <c r="A15" s="174" t="s">
        <v>316</v>
      </c>
      <c r="B15" s="181" t="s">
        <v>220</v>
      </c>
      <c r="C15" s="176" t="s">
        <v>317</v>
      </c>
      <c r="D15" s="177">
        <v>546.22</v>
      </c>
      <c r="E15" s="178">
        <f t="shared" si="0"/>
        <v>103.7818</v>
      </c>
      <c r="F15" s="179">
        <f>D15*0.1</f>
        <v>54.622000000000007</v>
      </c>
      <c r="G15" s="178">
        <f t="shared" si="2"/>
        <v>704.62379999999996</v>
      </c>
      <c r="H15" s="180">
        <f t="shared" si="7"/>
        <v>546.22</v>
      </c>
      <c r="I15" s="178">
        <f t="shared" si="4"/>
        <v>103.7818</v>
      </c>
      <c r="J15" s="179">
        <f>H15*0.1</f>
        <v>54.622000000000007</v>
      </c>
      <c r="K15" s="178">
        <f t="shared" si="6"/>
        <v>704.62379999999996</v>
      </c>
    </row>
    <row r="16" spans="1:11" x14ac:dyDescent="0.25">
      <c r="A16" s="174" t="s">
        <v>316</v>
      </c>
      <c r="B16" s="181" t="s">
        <v>225</v>
      </c>
      <c r="C16" s="176" t="s">
        <v>317</v>
      </c>
      <c r="D16" s="177">
        <v>546.22</v>
      </c>
      <c r="E16" s="178">
        <f t="shared" si="0"/>
        <v>103.7818</v>
      </c>
      <c r="F16" s="179">
        <f t="shared" ref="F16:F21" si="8">0.1*D16</f>
        <v>54.622000000000007</v>
      </c>
      <c r="G16" s="178">
        <f t="shared" si="2"/>
        <v>704.62379999999996</v>
      </c>
      <c r="H16" s="180">
        <f t="shared" si="7"/>
        <v>546.22</v>
      </c>
      <c r="I16" s="178">
        <f t="shared" si="4"/>
        <v>103.7818</v>
      </c>
      <c r="J16" s="179">
        <f t="shared" ref="J16:J21" si="9">0.1*H16</f>
        <v>54.622000000000007</v>
      </c>
      <c r="K16" s="178">
        <f t="shared" si="6"/>
        <v>704.62379999999996</v>
      </c>
    </row>
    <row r="17" spans="1:11" x14ac:dyDescent="0.25">
      <c r="A17" s="174" t="s">
        <v>316</v>
      </c>
      <c r="B17" s="181" t="s">
        <v>320</v>
      </c>
      <c r="C17" s="176" t="s">
        <v>317</v>
      </c>
      <c r="D17" s="177">
        <v>546.22</v>
      </c>
      <c r="E17" s="178">
        <f t="shared" si="0"/>
        <v>103.7818</v>
      </c>
      <c r="F17" s="179">
        <f t="shared" si="8"/>
        <v>54.622000000000007</v>
      </c>
      <c r="G17" s="178">
        <f t="shared" si="2"/>
        <v>704.62379999999996</v>
      </c>
      <c r="H17" s="180">
        <f t="shared" si="7"/>
        <v>546.22</v>
      </c>
      <c r="I17" s="178">
        <f t="shared" si="4"/>
        <v>103.7818</v>
      </c>
      <c r="J17" s="179">
        <f t="shared" si="9"/>
        <v>54.622000000000007</v>
      </c>
      <c r="K17" s="178">
        <f t="shared" si="6"/>
        <v>704.62379999999996</v>
      </c>
    </row>
    <row r="18" spans="1:11" ht="15" customHeight="1" x14ac:dyDescent="0.25">
      <c r="A18" s="183" t="s">
        <v>316</v>
      </c>
      <c r="B18" s="184" t="s">
        <v>321</v>
      </c>
      <c r="C18" s="185" t="s">
        <v>317</v>
      </c>
      <c r="D18" s="186">
        <v>1251</v>
      </c>
      <c r="E18" s="187">
        <f t="shared" si="0"/>
        <v>237.69</v>
      </c>
      <c r="F18" s="188">
        <f t="shared" si="8"/>
        <v>125.10000000000001</v>
      </c>
      <c r="G18" s="187">
        <f t="shared" si="2"/>
        <v>1613.79</v>
      </c>
      <c r="H18" s="189"/>
      <c r="I18" s="187">
        <f t="shared" si="4"/>
        <v>0</v>
      </c>
      <c r="J18" s="188">
        <f t="shared" si="9"/>
        <v>0</v>
      </c>
      <c r="K18" s="187">
        <f t="shared" si="6"/>
        <v>0</v>
      </c>
    </row>
    <row r="19" spans="1:11" x14ac:dyDescent="0.25">
      <c r="A19" s="183" t="s">
        <v>316</v>
      </c>
      <c r="B19" s="184" t="s">
        <v>226</v>
      </c>
      <c r="C19" s="185" t="s">
        <v>317</v>
      </c>
      <c r="D19" s="190">
        <v>1215</v>
      </c>
      <c r="E19" s="187">
        <f t="shared" si="0"/>
        <v>230.85</v>
      </c>
      <c r="F19" s="188">
        <f t="shared" si="8"/>
        <v>121.5</v>
      </c>
      <c r="G19" s="187">
        <f t="shared" si="2"/>
        <v>1567.35</v>
      </c>
      <c r="H19" s="189">
        <f>D19</f>
        <v>1215</v>
      </c>
      <c r="I19" s="187">
        <f t="shared" si="4"/>
        <v>230.85</v>
      </c>
      <c r="J19" s="188">
        <f t="shared" si="9"/>
        <v>121.5</v>
      </c>
      <c r="K19" s="187">
        <f t="shared" si="6"/>
        <v>1567.35</v>
      </c>
    </row>
    <row r="20" spans="1:11" x14ac:dyDescent="0.25">
      <c r="A20" s="174" t="s">
        <v>316</v>
      </c>
      <c r="B20" s="181" t="s">
        <v>241</v>
      </c>
      <c r="C20" s="176" t="s">
        <v>322</v>
      </c>
      <c r="D20" s="177">
        <v>767.96</v>
      </c>
      <c r="E20" s="178">
        <f t="shared" si="0"/>
        <v>145.91240000000002</v>
      </c>
      <c r="F20" s="179">
        <f t="shared" si="8"/>
        <v>76.796000000000006</v>
      </c>
      <c r="G20" s="178">
        <f t="shared" si="2"/>
        <v>990.66840000000013</v>
      </c>
      <c r="H20" s="180">
        <f t="shared" ref="H20:H21" si="10">D20/1000</f>
        <v>0.76796000000000009</v>
      </c>
      <c r="I20" s="178">
        <f t="shared" si="4"/>
        <v>0.14591240000000003</v>
      </c>
      <c r="J20" s="179">
        <f t="shared" si="9"/>
        <v>7.6796000000000017E-2</v>
      </c>
      <c r="K20" s="178">
        <f t="shared" si="6"/>
        <v>0.99066840000000012</v>
      </c>
    </row>
    <row r="21" spans="1:11" x14ac:dyDescent="0.25">
      <c r="A21" s="174" t="s">
        <v>316</v>
      </c>
      <c r="B21" s="181" t="s">
        <v>242</v>
      </c>
      <c r="C21" s="176" t="s">
        <v>322</v>
      </c>
      <c r="D21" s="177">
        <v>767.97</v>
      </c>
      <c r="E21" s="178">
        <f t="shared" si="0"/>
        <v>145.9143</v>
      </c>
      <c r="F21" s="179">
        <f t="shared" si="8"/>
        <v>76.797000000000011</v>
      </c>
      <c r="G21" s="178">
        <f t="shared" si="2"/>
        <v>990.68130000000008</v>
      </c>
      <c r="H21" s="180">
        <f t="shared" si="10"/>
        <v>0.76797000000000004</v>
      </c>
      <c r="I21" s="178">
        <f t="shared" si="4"/>
        <v>0.1459143</v>
      </c>
      <c r="J21" s="179">
        <f t="shared" si="9"/>
        <v>7.6797000000000004E-2</v>
      </c>
      <c r="K21" s="178">
        <f t="shared" si="6"/>
        <v>0.9906813000000001</v>
      </c>
    </row>
    <row r="22" spans="1:11" x14ac:dyDescent="0.25">
      <c r="A22" s="174" t="s">
        <v>316</v>
      </c>
      <c r="B22" s="174" t="s">
        <v>249</v>
      </c>
      <c r="C22" s="176" t="s">
        <v>322</v>
      </c>
      <c r="D22" s="177">
        <v>685</v>
      </c>
      <c r="E22" s="178">
        <f t="shared" si="0"/>
        <v>130.15</v>
      </c>
      <c r="F22" s="179"/>
      <c r="G22" s="178">
        <f t="shared" si="2"/>
        <v>815.15</v>
      </c>
      <c r="H22" s="180">
        <f>D22/1600</f>
        <v>0.42812499999999998</v>
      </c>
      <c r="I22" s="178">
        <f t="shared" si="4"/>
        <v>8.1343749999999992E-2</v>
      </c>
      <c r="J22" s="179"/>
      <c r="K22" s="178">
        <f t="shared" si="6"/>
        <v>0.50946874999999991</v>
      </c>
    </row>
    <row r="23" spans="1:11" x14ac:dyDescent="0.25">
      <c r="A23" s="183" t="s">
        <v>316</v>
      </c>
      <c r="B23" s="184" t="s">
        <v>247</v>
      </c>
      <c r="C23" s="185" t="s">
        <v>317</v>
      </c>
      <c r="D23" s="186">
        <v>294</v>
      </c>
      <c r="E23" s="187">
        <f t="shared" si="0"/>
        <v>55.86</v>
      </c>
      <c r="F23" s="188"/>
      <c r="G23" s="187">
        <f t="shared" si="2"/>
        <v>349.86</v>
      </c>
      <c r="H23" s="189">
        <f t="shared" ref="H23:H30" si="11">D23</f>
        <v>294</v>
      </c>
      <c r="I23" s="187">
        <f t="shared" si="4"/>
        <v>55.86</v>
      </c>
      <c r="J23" s="188"/>
      <c r="K23" s="187">
        <f t="shared" si="6"/>
        <v>349.86</v>
      </c>
    </row>
    <row r="24" spans="1:11" x14ac:dyDescent="0.25">
      <c r="A24" s="174" t="s">
        <v>316</v>
      </c>
      <c r="B24" s="181" t="s">
        <v>248</v>
      </c>
      <c r="C24" s="176" t="s">
        <v>317</v>
      </c>
      <c r="D24" s="177">
        <v>393</v>
      </c>
      <c r="E24" s="178">
        <f t="shared" si="0"/>
        <v>74.67</v>
      </c>
      <c r="F24" s="179"/>
      <c r="G24" s="178">
        <f t="shared" si="2"/>
        <v>467.67</v>
      </c>
      <c r="H24" s="180">
        <f t="shared" si="11"/>
        <v>393</v>
      </c>
      <c r="I24" s="178">
        <f t="shared" si="4"/>
        <v>74.67</v>
      </c>
      <c r="J24" s="179"/>
      <c r="K24" s="178">
        <f t="shared" si="6"/>
        <v>467.67</v>
      </c>
    </row>
    <row r="25" spans="1:11" x14ac:dyDescent="0.25">
      <c r="A25" s="183" t="s">
        <v>316</v>
      </c>
      <c r="B25" s="184" t="s">
        <v>252</v>
      </c>
      <c r="C25" s="185" t="s">
        <v>317</v>
      </c>
      <c r="D25" s="186">
        <v>895.25</v>
      </c>
      <c r="E25" s="187">
        <f t="shared" si="0"/>
        <v>170.0975</v>
      </c>
      <c r="F25" s="188">
        <f>D25*0.1</f>
        <v>89.525000000000006</v>
      </c>
      <c r="G25" s="187">
        <f t="shared" si="2"/>
        <v>1154.8725000000002</v>
      </c>
      <c r="H25" s="189">
        <f t="shared" si="11"/>
        <v>895.25</v>
      </c>
      <c r="I25" s="187">
        <f t="shared" si="4"/>
        <v>170.0975</v>
      </c>
      <c r="J25" s="188">
        <f>H25*0.1</f>
        <v>89.525000000000006</v>
      </c>
      <c r="K25" s="187">
        <f t="shared" si="6"/>
        <v>1154.8725000000002</v>
      </c>
    </row>
    <row r="26" spans="1:11" x14ac:dyDescent="0.25">
      <c r="A26" s="174" t="s">
        <v>316</v>
      </c>
      <c r="B26" s="175" t="s">
        <v>280</v>
      </c>
      <c r="C26" s="176" t="s">
        <v>317</v>
      </c>
      <c r="D26" s="177">
        <v>234</v>
      </c>
      <c r="E26" s="178">
        <f t="shared" si="0"/>
        <v>44.46</v>
      </c>
      <c r="F26" s="179">
        <f t="shared" ref="F26:F28" si="12">0.1*D26</f>
        <v>23.400000000000002</v>
      </c>
      <c r="G26" s="178">
        <f t="shared" si="2"/>
        <v>301.85999999999996</v>
      </c>
      <c r="H26" s="180">
        <f t="shared" si="11"/>
        <v>234</v>
      </c>
      <c r="I26" s="178">
        <f t="shared" si="4"/>
        <v>44.46</v>
      </c>
      <c r="J26" s="179">
        <f t="shared" ref="J26:J28" si="13">0.1*H26</f>
        <v>23.400000000000002</v>
      </c>
      <c r="K26" s="178">
        <f t="shared" si="6"/>
        <v>301.85999999999996</v>
      </c>
    </row>
    <row r="27" spans="1:11" x14ac:dyDescent="0.25">
      <c r="A27" s="174" t="s">
        <v>316</v>
      </c>
      <c r="B27" s="181" t="s">
        <v>281</v>
      </c>
      <c r="C27" s="176" t="s">
        <v>317</v>
      </c>
      <c r="D27" s="177">
        <v>546.24</v>
      </c>
      <c r="E27" s="178">
        <f t="shared" si="0"/>
        <v>103.7856</v>
      </c>
      <c r="F27" s="179">
        <f t="shared" si="12"/>
        <v>54.624000000000002</v>
      </c>
      <c r="G27" s="178">
        <f t="shared" si="2"/>
        <v>704.64960000000008</v>
      </c>
      <c r="H27" s="180">
        <f t="shared" si="11"/>
        <v>546.24</v>
      </c>
      <c r="I27" s="178">
        <f t="shared" si="4"/>
        <v>103.7856</v>
      </c>
      <c r="J27" s="179">
        <f t="shared" si="13"/>
        <v>54.624000000000002</v>
      </c>
      <c r="K27" s="178">
        <f t="shared" si="6"/>
        <v>704.64960000000008</v>
      </c>
    </row>
    <row r="28" spans="1:11" x14ac:dyDescent="0.25">
      <c r="A28" s="174" t="s">
        <v>316</v>
      </c>
      <c r="B28" s="181" t="s">
        <v>282</v>
      </c>
      <c r="C28" s="176" t="s">
        <v>317</v>
      </c>
      <c r="D28" s="177">
        <v>546.22</v>
      </c>
      <c r="E28" s="178">
        <f t="shared" si="0"/>
        <v>103.7818</v>
      </c>
      <c r="F28" s="179">
        <f t="shared" si="12"/>
        <v>54.622000000000007</v>
      </c>
      <c r="G28" s="178">
        <f t="shared" si="2"/>
        <v>704.62379999999996</v>
      </c>
      <c r="H28" s="180">
        <f t="shared" si="11"/>
        <v>546.22</v>
      </c>
      <c r="I28" s="178">
        <f t="shared" si="4"/>
        <v>103.7818</v>
      </c>
      <c r="J28" s="179">
        <f t="shared" si="13"/>
        <v>54.622000000000007</v>
      </c>
      <c r="K28" s="178">
        <f t="shared" si="6"/>
        <v>704.62379999999996</v>
      </c>
    </row>
    <row r="29" spans="1:11" x14ac:dyDescent="0.25">
      <c r="A29" s="183" t="s">
        <v>316</v>
      </c>
      <c r="B29" s="184" t="s">
        <v>294</v>
      </c>
      <c r="C29" s="185" t="s">
        <v>317</v>
      </c>
      <c r="D29" s="186">
        <v>1007</v>
      </c>
      <c r="E29" s="187">
        <f t="shared" si="0"/>
        <v>191.33</v>
      </c>
      <c r="F29" s="188">
        <f t="shared" ref="F29:F30" si="14">D29*0.1</f>
        <v>100.7</v>
      </c>
      <c r="G29" s="187">
        <f t="shared" si="2"/>
        <v>1299.03</v>
      </c>
      <c r="H29" s="189">
        <f t="shared" si="11"/>
        <v>1007</v>
      </c>
      <c r="I29" s="187">
        <f t="shared" si="4"/>
        <v>191.33</v>
      </c>
      <c r="J29" s="188">
        <f t="shared" ref="J29:J30" si="15">H29*0.1</f>
        <v>100.7</v>
      </c>
      <c r="K29" s="187">
        <f t="shared" si="6"/>
        <v>1299.03</v>
      </c>
    </row>
    <row r="30" spans="1:11" x14ac:dyDescent="0.25">
      <c r="A30" s="174" t="s">
        <v>316</v>
      </c>
      <c r="B30" s="181" t="s">
        <v>295</v>
      </c>
      <c r="C30" s="176" t="s">
        <v>323</v>
      </c>
      <c r="D30" s="177">
        <v>515.9</v>
      </c>
      <c r="E30" s="178">
        <f t="shared" si="0"/>
        <v>98.021000000000001</v>
      </c>
      <c r="F30" s="179">
        <f t="shared" si="14"/>
        <v>51.59</v>
      </c>
      <c r="G30" s="178">
        <f t="shared" si="2"/>
        <v>665.51099999999997</v>
      </c>
      <c r="H30" s="180">
        <f t="shared" si="11"/>
        <v>515.9</v>
      </c>
      <c r="I30" s="178">
        <f t="shared" si="4"/>
        <v>98.021000000000001</v>
      </c>
      <c r="J30" s="179">
        <f t="shared" si="15"/>
        <v>51.59</v>
      </c>
      <c r="K30" s="178">
        <f t="shared" si="6"/>
        <v>665.51099999999997</v>
      </c>
    </row>
    <row r="31" spans="1:11" x14ac:dyDescent="0.25">
      <c r="A31" s="174" t="s">
        <v>324</v>
      </c>
      <c r="B31" s="181" t="s">
        <v>183</v>
      </c>
      <c r="C31" s="176" t="s">
        <v>322</v>
      </c>
      <c r="D31" s="177">
        <v>13377.3</v>
      </c>
      <c r="E31" s="178">
        <f t="shared" si="0"/>
        <v>2541.6869999999999</v>
      </c>
      <c r="F31" s="179">
        <f t="shared" ref="F31:F36" si="16">D31*0.205</f>
        <v>2742.3464999999997</v>
      </c>
      <c r="G31" s="178">
        <f t="shared" si="2"/>
        <v>18661.333500000001</v>
      </c>
      <c r="H31" s="180">
        <f>D31/30000</f>
        <v>0.44590999999999997</v>
      </c>
      <c r="I31" s="178">
        <f t="shared" si="4"/>
        <v>8.472289999999999E-2</v>
      </c>
      <c r="J31" s="179">
        <f t="shared" ref="J31:J36" si="17">H31*0.205</f>
        <v>9.1411549999999994E-2</v>
      </c>
      <c r="K31" s="178">
        <f t="shared" si="6"/>
        <v>0.62204444999999997</v>
      </c>
    </row>
    <row r="32" spans="1:11" x14ac:dyDescent="0.25">
      <c r="A32" s="174" t="s">
        <v>324</v>
      </c>
      <c r="B32" s="181" t="s">
        <v>330</v>
      </c>
      <c r="C32" s="176" t="s">
        <v>322</v>
      </c>
      <c r="D32" s="177">
        <v>37871</v>
      </c>
      <c r="E32" s="178">
        <f t="shared" si="0"/>
        <v>7195.49</v>
      </c>
      <c r="F32" s="179">
        <f t="shared" si="16"/>
        <v>7763.5549999999994</v>
      </c>
      <c r="G32" s="178">
        <f t="shared" si="2"/>
        <v>52830.044999999998</v>
      </c>
      <c r="H32" s="180">
        <f>D32/19500</f>
        <v>1.9421025641025642</v>
      </c>
      <c r="I32" s="178">
        <f t="shared" si="4"/>
        <v>0.36899948717948722</v>
      </c>
      <c r="J32" s="179">
        <f t="shared" si="17"/>
        <v>0.39813102564102565</v>
      </c>
      <c r="K32" s="178">
        <f t="shared" si="6"/>
        <v>2.709233076923077</v>
      </c>
    </row>
    <row r="33" spans="1:11" x14ac:dyDescent="0.25">
      <c r="A33" s="183" t="s">
        <v>324</v>
      </c>
      <c r="B33" s="184" t="s">
        <v>186</v>
      </c>
      <c r="C33" s="185" t="s">
        <v>322</v>
      </c>
      <c r="D33" s="186">
        <v>49113</v>
      </c>
      <c r="E33" s="187">
        <f t="shared" si="0"/>
        <v>9331.4699999999993</v>
      </c>
      <c r="F33" s="188">
        <f t="shared" si="16"/>
        <v>10068.164999999999</v>
      </c>
      <c r="G33" s="187">
        <f t="shared" si="2"/>
        <v>68512.634999999995</v>
      </c>
      <c r="H33" s="189">
        <f t="shared" ref="H33:H36" si="18">D33/30000</f>
        <v>1.6371</v>
      </c>
      <c r="I33" s="187">
        <f t="shared" si="4"/>
        <v>0.31104900000000002</v>
      </c>
      <c r="J33" s="188">
        <f t="shared" si="17"/>
        <v>0.3356055</v>
      </c>
      <c r="K33" s="187">
        <f t="shared" si="6"/>
        <v>2.2837544999999997</v>
      </c>
    </row>
    <row r="34" spans="1:11" x14ac:dyDescent="0.25">
      <c r="A34" s="174" t="s">
        <v>324</v>
      </c>
      <c r="B34" s="181" t="s">
        <v>325</v>
      </c>
      <c r="C34" s="176" t="s">
        <v>322</v>
      </c>
      <c r="D34" s="177">
        <v>37871</v>
      </c>
      <c r="E34" s="178">
        <f t="shared" si="0"/>
        <v>7195.49</v>
      </c>
      <c r="F34" s="179">
        <f t="shared" si="16"/>
        <v>7763.5549999999994</v>
      </c>
      <c r="G34" s="178">
        <f t="shared" si="2"/>
        <v>52830.044999999998</v>
      </c>
      <c r="H34" s="180">
        <f t="shared" si="18"/>
        <v>1.2623666666666666</v>
      </c>
      <c r="I34" s="178">
        <f t="shared" si="4"/>
        <v>0.23984966666666666</v>
      </c>
      <c r="J34" s="179">
        <f t="shared" si="17"/>
        <v>0.25878516666666662</v>
      </c>
      <c r="K34" s="178">
        <f t="shared" si="6"/>
        <v>1.7610014999999999</v>
      </c>
    </row>
    <row r="35" spans="1:11" ht="15" customHeight="1" x14ac:dyDescent="0.25">
      <c r="A35" s="174" t="s">
        <v>324</v>
      </c>
      <c r="B35" s="191" t="s">
        <v>187</v>
      </c>
      <c r="C35" s="176" t="s">
        <v>322</v>
      </c>
      <c r="D35" s="177">
        <v>37834</v>
      </c>
      <c r="E35" s="178">
        <f t="shared" si="0"/>
        <v>7188.46</v>
      </c>
      <c r="F35" s="179">
        <f t="shared" si="16"/>
        <v>7755.9699999999993</v>
      </c>
      <c r="G35" s="178">
        <f t="shared" si="2"/>
        <v>52778.43</v>
      </c>
      <c r="H35" s="180">
        <f t="shared" si="18"/>
        <v>1.2611333333333334</v>
      </c>
      <c r="I35" s="178">
        <f t="shared" si="4"/>
        <v>0.23961533333333335</v>
      </c>
      <c r="J35" s="179">
        <f t="shared" si="17"/>
        <v>0.25853233333333336</v>
      </c>
      <c r="K35" s="178">
        <f t="shared" si="6"/>
        <v>1.7592810000000001</v>
      </c>
    </row>
    <row r="36" spans="1:11" x14ac:dyDescent="0.25">
      <c r="A36" s="183" t="s">
        <v>324</v>
      </c>
      <c r="B36" s="184" t="s">
        <v>184</v>
      </c>
      <c r="C36" s="185" t="s">
        <v>322</v>
      </c>
      <c r="D36" s="186">
        <v>25600</v>
      </c>
      <c r="E36" s="187">
        <f t="shared" si="0"/>
        <v>4864</v>
      </c>
      <c r="F36" s="188">
        <f t="shared" si="16"/>
        <v>5248</v>
      </c>
      <c r="G36" s="187">
        <f t="shared" si="2"/>
        <v>35712</v>
      </c>
      <c r="H36" s="189">
        <f t="shared" si="18"/>
        <v>0.85333333333333339</v>
      </c>
      <c r="I36" s="187">
        <f t="shared" si="4"/>
        <v>0.16213333333333335</v>
      </c>
      <c r="J36" s="188">
        <f t="shared" si="17"/>
        <v>0.17493333333333333</v>
      </c>
      <c r="K36" s="187">
        <f t="shared" si="6"/>
        <v>1.1904000000000001</v>
      </c>
    </row>
    <row r="37" spans="1:11" x14ac:dyDescent="0.25">
      <c r="A37" s="183" t="s">
        <v>324</v>
      </c>
      <c r="B37" s="184" t="s">
        <v>188</v>
      </c>
      <c r="C37" s="185" t="s">
        <v>317</v>
      </c>
      <c r="D37" s="186">
        <v>491</v>
      </c>
      <c r="E37" s="187">
        <f t="shared" si="0"/>
        <v>93.29</v>
      </c>
      <c r="F37" s="188"/>
      <c r="G37" s="187">
        <f t="shared" si="2"/>
        <v>584.29</v>
      </c>
      <c r="H37" s="189">
        <f t="shared" ref="H37:H49" si="19">D37</f>
        <v>491</v>
      </c>
      <c r="I37" s="187">
        <f t="shared" si="4"/>
        <v>93.29</v>
      </c>
      <c r="J37" s="188"/>
      <c r="K37" s="187">
        <f t="shared" si="6"/>
        <v>584.29</v>
      </c>
    </row>
    <row r="38" spans="1:11" x14ac:dyDescent="0.25">
      <c r="A38" s="174" t="s">
        <v>324</v>
      </c>
      <c r="B38" s="181" t="s">
        <v>189</v>
      </c>
      <c r="C38" s="176" t="s">
        <v>317</v>
      </c>
      <c r="D38" s="177">
        <v>621.79</v>
      </c>
      <c r="E38" s="178">
        <f t="shared" si="0"/>
        <v>118.14009999999999</v>
      </c>
      <c r="F38" s="179">
        <f>D38*0.1</f>
        <v>62.179000000000002</v>
      </c>
      <c r="G38" s="178">
        <f t="shared" si="2"/>
        <v>802.1090999999999</v>
      </c>
      <c r="H38" s="180">
        <f t="shared" si="19"/>
        <v>621.79</v>
      </c>
      <c r="I38" s="178">
        <f t="shared" si="4"/>
        <v>118.14009999999999</v>
      </c>
      <c r="J38" s="179">
        <f>H38*0.1</f>
        <v>62.179000000000002</v>
      </c>
      <c r="K38" s="178">
        <f t="shared" si="6"/>
        <v>802.1090999999999</v>
      </c>
    </row>
    <row r="39" spans="1:11" x14ac:dyDescent="0.25">
      <c r="A39" s="174" t="s">
        <v>324</v>
      </c>
      <c r="B39" s="181" t="s">
        <v>194</v>
      </c>
      <c r="C39" s="176" t="s">
        <v>317</v>
      </c>
      <c r="D39" s="177">
        <v>591</v>
      </c>
      <c r="E39" s="178">
        <f t="shared" si="0"/>
        <v>112.29</v>
      </c>
      <c r="F39" s="179">
        <f t="shared" ref="F39:F49" si="20">D39*0.205</f>
        <v>121.15499999999999</v>
      </c>
      <c r="G39" s="178">
        <f t="shared" si="2"/>
        <v>824.44499999999994</v>
      </c>
      <c r="H39" s="180">
        <f t="shared" si="19"/>
        <v>591</v>
      </c>
      <c r="I39" s="178">
        <f t="shared" si="4"/>
        <v>112.29</v>
      </c>
      <c r="J39" s="179">
        <f t="shared" ref="J39:J49" si="21">H39*0.205</f>
        <v>121.15499999999999</v>
      </c>
      <c r="K39" s="178">
        <f t="shared" si="6"/>
        <v>824.44499999999994</v>
      </c>
    </row>
    <row r="40" spans="1:11" x14ac:dyDescent="0.25">
      <c r="A40" s="174" t="s">
        <v>324</v>
      </c>
      <c r="B40" s="181" t="s">
        <v>213</v>
      </c>
      <c r="C40" s="176" t="s">
        <v>317</v>
      </c>
      <c r="D40" s="177">
        <v>613</v>
      </c>
      <c r="E40" s="178">
        <f t="shared" si="0"/>
        <v>116.47</v>
      </c>
      <c r="F40" s="179">
        <f t="shared" si="20"/>
        <v>125.66499999999999</v>
      </c>
      <c r="G40" s="178">
        <f t="shared" si="2"/>
        <v>855.13499999999999</v>
      </c>
      <c r="H40" s="180">
        <f t="shared" si="19"/>
        <v>613</v>
      </c>
      <c r="I40" s="178">
        <f t="shared" si="4"/>
        <v>116.47</v>
      </c>
      <c r="J40" s="179">
        <f t="shared" si="21"/>
        <v>125.66499999999999</v>
      </c>
      <c r="K40" s="178">
        <f t="shared" si="6"/>
        <v>855.13499999999999</v>
      </c>
    </row>
    <row r="41" spans="1:11" x14ac:dyDescent="0.25">
      <c r="A41" s="183" t="s">
        <v>324</v>
      </c>
      <c r="B41" s="184" t="s">
        <v>216</v>
      </c>
      <c r="C41" s="185" t="s">
        <v>317</v>
      </c>
      <c r="D41" s="186">
        <v>472</v>
      </c>
      <c r="E41" s="187">
        <f t="shared" si="0"/>
        <v>89.68</v>
      </c>
      <c r="F41" s="188">
        <f t="shared" si="20"/>
        <v>96.759999999999991</v>
      </c>
      <c r="G41" s="187">
        <f t="shared" si="2"/>
        <v>658.44</v>
      </c>
      <c r="H41" s="189">
        <f t="shared" si="19"/>
        <v>472</v>
      </c>
      <c r="I41" s="187">
        <f t="shared" si="4"/>
        <v>89.68</v>
      </c>
      <c r="J41" s="188">
        <f t="shared" si="21"/>
        <v>96.759999999999991</v>
      </c>
      <c r="K41" s="187">
        <f t="shared" si="6"/>
        <v>658.44</v>
      </c>
    </row>
    <row r="42" spans="1:11" x14ac:dyDescent="0.25">
      <c r="A42" s="183" t="s">
        <v>324</v>
      </c>
      <c r="B42" s="184" t="s">
        <v>326</v>
      </c>
      <c r="C42" s="185" t="s">
        <v>317</v>
      </c>
      <c r="D42" s="186">
        <v>462</v>
      </c>
      <c r="E42" s="187">
        <f t="shared" si="0"/>
        <v>87.78</v>
      </c>
      <c r="F42" s="188">
        <f t="shared" si="20"/>
        <v>94.71</v>
      </c>
      <c r="G42" s="187">
        <f t="shared" si="2"/>
        <v>644.49</v>
      </c>
      <c r="H42" s="189">
        <f t="shared" si="19"/>
        <v>462</v>
      </c>
      <c r="I42" s="187">
        <f t="shared" si="4"/>
        <v>87.78</v>
      </c>
      <c r="J42" s="188">
        <f t="shared" si="21"/>
        <v>94.71</v>
      </c>
      <c r="K42" s="187">
        <f t="shared" si="6"/>
        <v>644.49</v>
      </c>
    </row>
    <row r="43" spans="1:11" x14ac:dyDescent="0.25">
      <c r="A43" s="174" t="s">
        <v>324</v>
      </c>
      <c r="B43" s="181" t="s">
        <v>327</v>
      </c>
      <c r="C43" s="176" t="s">
        <v>317</v>
      </c>
      <c r="D43" s="177">
        <v>674.14</v>
      </c>
      <c r="E43" s="178">
        <f t="shared" si="0"/>
        <v>128.0866</v>
      </c>
      <c r="F43" s="179">
        <f t="shared" si="20"/>
        <v>138.1987</v>
      </c>
      <c r="G43" s="178">
        <f t="shared" si="2"/>
        <v>940.42529999999999</v>
      </c>
      <c r="H43" s="180">
        <f t="shared" si="19"/>
        <v>674.14</v>
      </c>
      <c r="I43" s="178">
        <f t="shared" si="4"/>
        <v>128.0866</v>
      </c>
      <c r="J43" s="179">
        <f t="shared" si="21"/>
        <v>138.1987</v>
      </c>
      <c r="K43" s="178">
        <f t="shared" si="6"/>
        <v>940.42529999999999</v>
      </c>
    </row>
    <row r="44" spans="1:11" x14ac:dyDescent="0.25">
      <c r="A44" s="183" t="s">
        <v>324</v>
      </c>
      <c r="B44" s="184" t="s">
        <v>328</v>
      </c>
      <c r="C44" s="185" t="s">
        <v>317</v>
      </c>
      <c r="D44" s="186">
        <v>462</v>
      </c>
      <c r="E44" s="187">
        <f t="shared" si="0"/>
        <v>87.78</v>
      </c>
      <c r="F44" s="188">
        <f t="shared" si="20"/>
        <v>94.71</v>
      </c>
      <c r="G44" s="187">
        <f t="shared" si="2"/>
        <v>644.49</v>
      </c>
      <c r="H44" s="189">
        <f t="shared" si="19"/>
        <v>462</v>
      </c>
      <c r="I44" s="187">
        <f t="shared" si="4"/>
        <v>87.78</v>
      </c>
      <c r="J44" s="188">
        <f t="shared" si="21"/>
        <v>94.71</v>
      </c>
      <c r="K44" s="187">
        <f t="shared" si="6"/>
        <v>644.49</v>
      </c>
    </row>
    <row r="45" spans="1:11" x14ac:dyDescent="0.25">
      <c r="A45" s="183" t="s">
        <v>324</v>
      </c>
      <c r="B45" s="184" t="s">
        <v>228</v>
      </c>
      <c r="C45" s="185" t="s">
        <v>317</v>
      </c>
      <c r="D45" s="186">
        <v>856</v>
      </c>
      <c r="E45" s="187">
        <f t="shared" si="0"/>
        <v>162.64000000000001</v>
      </c>
      <c r="F45" s="188">
        <f t="shared" si="20"/>
        <v>175.48</v>
      </c>
      <c r="G45" s="187">
        <f t="shared" si="2"/>
        <v>1194.1199999999999</v>
      </c>
      <c r="H45" s="189">
        <f t="shared" si="19"/>
        <v>856</v>
      </c>
      <c r="I45" s="187">
        <f t="shared" si="4"/>
        <v>162.64000000000001</v>
      </c>
      <c r="J45" s="188">
        <f t="shared" si="21"/>
        <v>175.48</v>
      </c>
      <c r="K45" s="187">
        <f t="shared" si="6"/>
        <v>1194.1199999999999</v>
      </c>
    </row>
    <row r="46" spans="1:11" x14ac:dyDescent="0.25">
      <c r="A46" s="183" t="s">
        <v>324</v>
      </c>
      <c r="B46" s="184" t="s">
        <v>229</v>
      </c>
      <c r="C46" s="185" t="s">
        <v>317</v>
      </c>
      <c r="D46" s="186">
        <v>887</v>
      </c>
      <c r="E46" s="187">
        <f t="shared" si="0"/>
        <v>168.53</v>
      </c>
      <c r="F46" s="188">
        <f t="shared" si="20"/>
        <v>181.83499999999998</v>
      </c>
      <c r="G46" s="187">
        <f t="shared" si="2"/>
        <v>1237.365</v>
      </c>
      <c r="H46" s="189">
        <f t="shared" si="19"/>
        <v>887</v>
      </c>
      <c r="I46" s="187">
        <f t="shared" si="4"/>
        <v>168.53</v>
      </c>
      <c r="J46" s="188">
        <f t="shared" si="21"/>
        <v>181.83499999999998</v>
      </c>
      <c r="K46" s="187">
        <f t="shared" si="6"/>
        <v>1237.365</v>
      </c>
    </row>
    <row r="47" spans="1:11" x14ac:dyDescent="0.25">
      <c r="A47" s="183" t="s">
        <v>324</v>
      </c>
      <c r="B47" s="184" t="s">
        <v>230</v>
      </c>
      <c r="C47" s="185" t="s">
        <v>317</v>
      </c>
      <c r="D47" s="186">
        <v>890</v>
      </c>
      <c r="E47" s="187">
        <f t="shared" si="0"/>
        <v>169.1</v>
      </c>
      <c r="F47" s="188">
        <f t="shared" si="20"/>
        <v>182.45</v>
      </c>
      <c r="G47" s="187">
        <f t="shared" si="2"/>
        <v>1241.55</v>
      </c>
      <c r="H47" s="189">
        <f t="shared" si="19"/>
        <v>890</v>
      </c>
      <c r="I47" s="187">
        <f t="shared" si="4"/>
        <v>169.1</v>
      </c>
      <c r="J47" s="188">
        <f t="shared" si="21"/>
        <v>182.45</v>
      </c>
      <c r="K47" s="187">
        <f t="shared" si="6"/>
        <v>1241.55</v>
      </c>
    </row>
    <row r="48" spans="1:11" x14ac:dyDescent="0.25">
      <c r="A48" s="183" t="s">
        <v>324</v>
      </c>
      <c r="B48" s="184" t="s">
        <v>255</v>
      </c>
      <c r="C48" s="185" t="s">
        <v>317</v>
      </c>
      <c r="D48" s="186">
        <v>622</v>
      </c>
      <c r="E48" s="187">
        <f t="shared" si="0"/>
        <v>118.18</v>
      </c>
      <c r="F48" s="188">
        <f t="shared" si="20"/>
        <v>127.50999999999999</v>
      </c>
      <c r="G48" s="187">
        <f t="shared" si="2"/>
        <v>867.69</v>
      </c>
      <c r="H48" s="189">
        <f t="shared" si="19"/>
        <v>622</v>
      </c>
      <c r="I48" s="187">
        <f t="shared" si="4"/>
        <v>118.18</v>
      </c>
      <c r="J48" s="188">
        <f t="shared" si="21"/>
        <v>127.50999999999999</v>
      </c>
      <c r="K48" s="187">
        <f t="shared" si="6"/>
        <v>867.69</v>
      </c>
    </row>
    <row r="49" spans="1:11" x14ac:dyDescent="0.25">
      <c r="A49" s="174" t="s">
        <v>324</v>
      </c>
      <c r="B49" s="181" t="s">
        <v>283</v>
      </c>
      <c r="C49" s="176" t="s">
        <v>317</v>
      </c>
      <c r="D49" s="177">
        <v>585</v>
      </c>
      <c r="E49" s="178">
        <f t="shared" si="0"/>
        <v>111.15</v>
      </c>
      <c r="F49" s="179">
        <f t="shared" si="20"/>
        <v>119.925</v>
      </c>
      <c r="G49" s="178">
        <f t="shared" si="2"/>
        <v>816.07499999999993</v>
      </c>
      <c r="H49" s="180">
        <f t="shared" si="19"/>
        <v>585</v>
      </c>
      <c r="I49" s="178">
        <f t="shared" si="4"/>
        <v>111.15</v>
      </c>
      <c r="J49" s="179">
        <f t="shared" si="21"/>
        <v>119.925</v>
      </c>
      <c r="K49" s="178">
        <f t="shared" si="6"/>
        <v>816.07499999999993</v>
      </c>
    </row>
    <row r="50" spans="1:11" x14ac:dyDescent="0.25">
      <c r="A50" s="183" t="s">
        <v>324</v>
      </c>
      <c r="B50" s="184" t="s">
        <v>329</v>
      </c>
      <c r="C50" s="73" t="s">
        <v>317</v>
      </c>
      <c r="D50" s="186">
        <v>54059</v>
      </c>
      <c r="E50" s="187">
        <f t="shared" si="0"/>
        <v>10271.210000000001</v>
      </c>
      <c r="F50" s="188"/>
      <c r="G50" s="187">
        <f t="shared" si="2"/>
        <v>64330.21</v>
      </c>
      <c r="H50" s="189">
        <f>D50/30000</f>
        <v>1.8019666666666667</v>
      </c>
      <c r="I50" s="187">
        <f t="shared" si="4"/>
        <v>0.34237366666666669</v>
      </c>
      <c r="J50" s="188"/>
      <c r="K50" s="187">
        <f t="shared" si="6"/>
        <v>2.1443403333333335</v>
      </c>
    </row>
    <row r="51" spans="1:11" x14ac:dyDescent="0.25">
      <c r="A51" s="174" t="s">
        <v>331</v>
      </c>
      <c r="B51" s="181" t="s">
        <v>176</v>
      </c>
      <c r="C51" s="176" t="s">
        <v>322</v>
      </c>
      <c r="D51" s="177">
        <v>3834</v>
      </c>
      <c r="E51" s="178">
        <f t="shared" si="0"/>
        <v>728.46</v>
      </c>
      <c r="F51" s="179">
        <f t="shared" ref="F51:F68" si="22">0.315*D51</f>
        <v>1207.71</v>
      </c>
      <c r="G51" s="178">
        <f t="shared" si="2"/>
        <v>5770.17</v>
      </c>
      <c r="H51" s="180">
        <f>D51/1000</f>
        <v>3.8340000000000001</v>
      </c>
      <c r="I51" s="178">
        <f t="shared" si="4"/>
        <v>0.72846</v>
      </c>
      <c r="J51" s="179">
        <f t="shared" ref="J51:J57" si="23">0.315*H51</f>
        <v>1.2077100000000001</v>
      </c>
      <c r="K51" s="178">
        <f t="shared" si="6"/>
        <v>5.7701700000000002</v>
      </c>
    </row>
    <row r="52" spans="1:11" x14ac:dyDescent="0.25">
      <c r="A52" s="174" t="s">
        <v>331</v>
      </c>
      <c r="B52" s="181" t="s">
        <v>177</v>
      </c>
      <c r="C52" s="176" t="s">
        <v>322</v>
      </c>
      <c r="D52" s="177">
        <v>4023</v>
      </c>
      <c r="E52" s="178">
        <f t="shared" si="0"/>
        <v>764.37</v>
      </c>
      <c r="F52" s="179">
        <f t="shared" si="22"/>
        <v>1267.2450000000001</v>
      </c>
      <c r="G52" s="178">
        <f t="shared" si="2"/>
        <v>6054.6149999999998</v>
      </c>
      <c r="H52" s="180">
        <f>D52/750</f>
        <v>5.3639999999999999</v>
      </c>
      <c r="I52" s="178">
        <f t="shared" si="4"/>
        <v>1.0191600000000001</v>
      </c>
      <c r="J52" s="179">
        <f t="shared" si="23"/>
        <v>1.6896599999999999</v>
      </c>
      <c r="K52" s="178">
        <f t="shared" si="6"/>
        <v>8.0728200000000001</v>
      </c>
    </row>
    <row r="53" spans="1:11" x14ac:dyDescent="0.25">
      <c r="A53" s="183" t="s">
        <v>331</v>
      </c>
      <c r="B53" s="184" t="s">
        <v>332</v>
      </c>
      <c r="C53" s="185" t="s">
        <v>322</v>
      </c>
      <c r="D53" s="186">
        <v>2288</v>
      </c>
      <c r="E53" s="187">
        <f t="shared" si="0"/>
        <v>434.72</v>
      </c>
      <c r="F53" s="188">
        <f t="shared" si="22"/>
        <v>720.72</v>
      </c>
      <c r="G53" s="187">
        <f t="shared" si="2"/>
        <v>3443.4400000000005</v>
      </c>
      <c r="H53" s="189">
        <f>D53/1000</f>
        <v>2.2879999999999998</v>
      </c>
      <c r="I53" s="187">
        <f t="shared" si="4"/>
        <v>0.43472</v>
      </c>
      <c r="J53" s="188">
        <f t="shared" si="23"/>
        <v>0.72071999999999992</v>
      </c>
      <c r="K53" s="187">
        <f t="shared" si="6"/>
        <v>3.4434399999999998</v>
      </c>
    </row>
    <row r="54" spans="1:11" x14ac:dyDescent="0.25">
      <c r="A54" s="174" t="s">
        <v>331</v>
      </c>
      <c r="B54" s="181" t="s">
        <v>239</v>
      </c>
      <c r="C54" s="176" t="s">
        <v>322</v>
      </c>
      <c r="D54" s="177">
        <v>17606</v>
      </c>
      <c r="E54" s="178">
        <f t="shared" si="0"/>
        <v>3345.14</v>
      </c>
      <c r="F54" s="179">
        <f t="shared" si="22"/>
        <v>5545.89</v>
      </c>
      <c r="G54" s="178">
        <f t="shared" si="2"/>
        <v>26497.03</v>
      </c>
      <c r="H54" s="180">
        <f t="shared" ref="H54:H57" si="24">D54/750</f>
        <v>23.474666666666668</v>
      </c>
      <c r="I54" s="178">
        <f t="shared" si="4"/>
        <v>4.460186666666667</v>
      </c>
      <c r="J54" s="179">
        <f t="shared" si="23"/>
        <v>7.39452</v>
      </c>
      <c r="K54" s="178">
        <f t="shared" si="6"/>
        <v>35.329373333333336</v>
      </c>
    </row>
    <row r="55" spans="1:11" x14ac:dyDescent="0.25">
      <c r="A55" s="174" t="s">
        <v>331</v>
      </c>
      <c r="B55" s="181" t="s">
        <v>240</v>
      </c>
      <c r="C55" s="176" t="s">
        <v>322</v>
      </c>
      <c r="D55" s="177">
        <v>6498.75</v>
      </c>
      <c r="E55" s="178">
        <f t="shared" si="0"/>
        <v>1234.7625</v>
      </c>
      <c r="F55" s="179">
        <f t="shared" si="22"/>
        <v>2047.10625</v>
      </c>
      <c r="G55" s="178">
        <f t="shared" si="2"/>
        <v>9780.6187499999996</v>
      </c>
      <c r="H55" s="180">
        <f t="shared" si="24"/>
        <v>8.6649999999999991</v>
      </c>
      <c r="I55" s="178">
        <f t="shared" si="4"/>
        <v>1.6463499999999998</v>
      </c>
      <c r="J55" s="179">
        <f t="shared" si="23"/>
        <v>2.7294749999999999</v>
      </c>
      <c r="K55" s="178">
        <f t="shared" si="6"/>
        <v>13.040824999999998</v>
      </c>
    </row>
    <row r="56" spans="1:11" x14ac:dyDescent="0.25">
      <c r="A56" s="174" t="s">
        <v>331</v>
      </c>
      <c r="B56" s="175" t="s">
        <v>301</v>
      </c>
      <c r="C56" s="176" t="s">
        <v>322</v>
      </c>
      <c r="D56" s="177">
        <v>15499</v>
      </c>
      <c r="E56" s="178">
        <f t="shared" si="0"/>
        <v>2944.81</v>
      </c>
      <c r="F56" s="179">
        <f t="shared" si="22"/>
        <v>4882.1850000000004</v>
      </c>
      <c r="G56" s="178">
        <f t="shared" si="2"/>
        <v>23325.995000000003</v>
      </c>
      <c r="H56" s="180">
        <f t="shared" si="24"/>
        <v>20.665333333333333</v>
      </c>
      <c r="I56" s="178">
        <f t="shared" si="4"/>
        <v>3.9264133333333331</v>
      </c>
      <c r="J56" s="179">
        <f t="shared" si="23"/>
        <v>6.5095799999999997</v>
      </c>
      <c r="K56" s="178">
        <f t="shared" si="6"/>
        <v>31.101326666666665</v>
      </c>
    </row>
    <row r="57" spans="1:11" x14ac:dyDescent="0.25">
      <c r="A57" s="174" t="s">
        <v>331</v>
      </c>
      <c r="B57" s="174" t="s">
        <v>182</v>
      </c>
      <c r="C57" s="176" t="s">
        <v>322</v>
      </c>
      <c r="D57" s="177">
        <v>6612.5</v>
      </c>
      <c r="E57" s="178">
        <f t="shared" si="0"/>
        <v>1256.375</v>
      </c>
      <c r="F57" s="179">
        <f t="shared" si="22"/>
        <v>2082.9375</v>
      </c>
      <c r="G57" s="178">
        <f t="shared" si="2"/>
        <v>9951.8125</v>
      </c>
      <c r="H57" s="180">
        <f t="shared" si="24"/>
        <v>8.8166666666666664</v>
      </c>
      <c r="I57" s="178">
        <f t="shared" si="4"/>
        <v>1.6751666666666667</v>
      </c>
      <c r="J57" s="179">
        <f t="shared" si="23"/>
        <v>2.77725</v>
      </c>
      <c r="K57" s="178">
        <f t="shared" si="6"/>
        <v>13.269083333333333</v>
      </c>
    </row>
    <row r="58" spans="1:11" x14ac:dyDescent="0.25">
      <c r="A58" s="174" t="s">
        <v>331</v>
      </c>
      <c r="B58" s="175" t="s">
        <v>192</v>
      </c>
      <c r="C58" s="176" t="s">
        <v>322</v>
      </c>
      <c r="D58" s="177">
        <v>2973</v>
      </c>
      <c r="E58" s="178">
        <f t="shared" si="0"/>
        <v>564.87</v>
      </c>
      <c r="F58" s="179">
        <f t="shared" si="22"/>
        <v>936.495</v>
      </c>
      <c r="G58" s="178">
        <f t="shared" si="2"/>
        <v>4474.3649999999998</v>
      </c>
      <c r="H58" s="180">
        <f t="shared" ref="H58:H60" si="25">G58/750</f>
        <v>5.9658199999999999</v>
      </c>
      <c r="I58" s="178">
        <f t="shared" si="4"/>
        <v>1.1335058</v>
      </c>
      <c r="J58" s="179"/>
      <c r="K58" s="178">
        <f t="shared" si="6"/>
        <v>7.0993257999999999</v>
      </c>
    </row>
    <row r="59" spans="1:11" x14ac:dyDescent="0.25">
      <c r="A59" s="183" t="s">
        <v>331</v>
      </c>
      <c r="B59" s="192" t="s">
        <v>193</v>
      </c>
      <c r="C59" s="185" t="s">
        <v>322</v>
      </c>
      <c r="D59" s="186">
        <v>3506</v>
      </c>
      <c r="E59" s="187">
        <f t="shared" si="0"/>
        <v>666.14</v>
      </c>
      <c r="F59" s="188">
        <f t="shared" si="22"/>
        <v>1104.3900000000001</v>
      </c>
      <c r="G59" s="187">
        <f t="shared" si="2"/>
        <v>5276.5300000000007</v>
      </c>
      <c r="H59" s="189">
        <f t="shared" si="25"/>
        <v>7.0353733333333341</v>
      </c>
      <c r="I59" s="187">
        <f t="shared" si="4"/>
        <v>1.3367209333333334</v>
      </c>
      <c r="J59" s="188"/>
      <c r="K59" s="187">
        <f t="shared" si="6"/>
        <v>8.372094266666668</v>
      </c>
    </row>
    <row r="60" spans="1:11" x14ac:dyDescent="0.25">
      <c r="A60" s="174" t="s">
        <v>331</v>
      </c>
      <c r="B60" s="175" t="s">
        <v>178</v>
      </c>
      <c r="C60" s="176" t="s">
        <v>322</v>
      </c>
      <c r="D60" s="177">
        <v>4023.5</v>
      </c>
      <c r="E60" s="178">
        <f t="shared" si="0"/>
        <v>764.46500000000003</v>
      </c>
      <c r="F60" s="179">
        <f t="shared" si="22"/>
        <v>1267.4024999999999</v>
      </c>
      <c r="G60" s="178">
        <f t="shared" si="2"/>
        <v>6055.3675000000003</v>
      </c>
      <c r="H60" s="180">
        <f t="shared" si="25"/>
        <v>8.0738233333333334</v>
      </c>
      <c r="I60" s="178">
        <f t="shared" si="4"/>
        <v>1.5340264333333333</v>
      </c>
      <c r="J60" s="179"/>
      <c r="K60" s="178">
        <f t="shared" si="6"/>
        <v>9.607849766666666</v>
      </c>
    </row>
    <row r="61" spans="1:11" x14ac:dyDescent="0.25">
      <c r="A61" s="183" t="s">
        <v>331</v>
      </c>
      <c r="B61" s="192" t="s">
        <v>291</v>
      </c>
      <c r="C61" s="185" t="s">
        <v>322</v>
      </c>
      <c r="D61" s="186">
        <v>18124</v>
      </c>
      <c r="E61" s="187">
        <f t="shared" si="0"/>
        <v>3443.56</v>
      </c>
      <c r="F61" s="188">
        <f t="shared" si="22"/>
        <v>5709.06</v>
      </c>
      <c r="G61" s="187">
        <f t="shared" si="2"/>
        <v>27276.620000000003</v>
      </c>
      <c r="H61" s="189">
        <f t="shared" ref="H61:H70" si="26">D61/750</f>
        <v>24.165333333333333</v>
      </c>
      <c r="I61" s="187">
        <f t="shared" si="4"/>
        <v>4.5914133333333336</v>
      </c>
      <c r="J61" s="188">
        <f t="shared" ref="J61:J68" si="27">0.315*H61</f>
        <v>7.6120799999999997</v>
      </c>
      <c r="K61" s="187">
        <f t="shared" si="6"/>
        <v>36.368826666666664</v>
      </c>
    </row>
    <row r="62" spans="1:11" x14ac:dyDescent="0.25">
      <c r="A62" s="174" t="s">
        <v>331</v>
      </c>
      <c r="B62" s="174" t="s">
        <v>297</v>
      </c>
      <c r="C62" s="176" t="s">
        <v>322</v>
      </c>
      <c r="D62" s="177">
        <v>3890</v>
      </c>
      <c r="E62" s="178">
        <f t="shared" si="0"/>
        <v>739.1</v>
      </c>
      <c r="F62" s="179">
        <f t="shared" si="22"/>
        <v>1225.3499999999999</v>
      </c>
      <c r="G62" s="178">
        <f t="shared" si="2"/>
        <v>5854.4500000000007</v>
      </c>
      <c r="H62" s="180">
        <f t="shared" si="26"/>
        <v>5.1866666666666665</v>
      </c>
      <c r="I62" s="178">
        <f t="shared" si="4"/>
        <v>0.9854666666666666</v>
      </c>
      <c r="J62" s="179">
        <f t="shared" si="27"/>
        <v>1.6337999999999999</v>
      </c>
      <c r="K62" s="178">
        <f t="shared" si="6"/>
        <v>7.8059333333333329</v>
      </c>
    </row>
    <row r="63" spans="1:11" x14ac:dyDescent="0.25">
      <c r="A63" s="174" t="s">
        <v>331</v>
      </c>
      <c r="B63" s="175" t="s">
        <v>288</v>
      </c>
      <c r="C63" s="176" t="s">
        <v>322</v>
      </c>
      <c r="D63" s="177">
        <v>18125</v>
      </c>
      <c r="E63" s="178">
        <f t="shared" si="0"/>
        <v>3443.75</v>
      </c>
      <c r="F63" s="179">
        <f t="shared" si="22"/>
        <v>5709.375</v>
      </c>
      <c r="G63" s="178">
        <f t="shared" si="2"/>
        <v>27278.125</v>
      </c>
      <c r="H63" s="180">
        <f t="shared" si="26"/>
        <v>24.166666666666668</v>
      </c>
      <c r="I63" s="178">
        <f t="shared" si="4"/>
        <v>4.5916666666666668</v>
      </c>
      <c r="J63" s="179">
        <f t="shared" si="27"/>
        <v>7.6125000000000007</v>
      </c>
      <c r="K63" s="178">
        <f t="shared" si="6"/>
        <v>36.370833333333337</v>
      </c>
    </row>
    <row r="64" spans="1:11" x14ac:dyDescent="0.25">
      <c r="A64" s="174" t="s">
        <v>331</v>
      </c>
      <c r="B64" s="175" t="s">
        <v>286</v>
      </c>
      <c r="C64" s="176" t="s">
        <v>322</v>
      </c>
      <c r="D64" s="177">
        <v>8817</v>
      </c>
      <c r="E64" s="178">
        <f t="shared" si="0"/>
        <v>1675.23</v>
      </c>
      <c r="F64" s="179">
        <f t="shared" si="22"/>
        <v>2777.355</v>
      </c>
      <c r="G64" s="178">
        <f t="shared" si="2"/>
        <v>13269.584999999999</v>
      </c>
      <c r="H64" s="180">
        <f t="shared" si="26"/>
        <v>11.756</v>
      </c>
      <c r="I64" s="178">
        <f t="shared" si="4"/>
        <v>2.2336399999999998</v>
      </c>
      <c r="J64" s="179">
        <f t="shared" si="27"/>
        <v>3.7031399999999999</v>
      </c>
      <c r="K64" s="178">
        <f t="shared" si="6"/>
        <v>17.692779999999999</v>
      </c>
    </row>
    <row r="65" spans="1:11" x14ac:dyDescent="0.25">
      <c r="A65" s="174" t="s">
        <v>331</v>
      </c>
      <c r="B65" s="175" t="s">
        <v>287</v>
      </c>
      <c r="C65" s="176" t="s">
        <v>322</v>
      </c>
      <c r="D65" s="177">
        <v>10360</v>
      </c>
      <c r="E65" s="178">
        <f t="shared" si="0"/>
        <v>1968.4</v>
      </c>
      <c r="F65" s="179">
        <f t="shared" si="22"/>
        <v>3263.4</v>
      </c>
      <c r="G65" s="178">
        <f t="shared" si="2"/>
        <v>15591.8</v>
      </c>
      <c r="H65" s="180">
        <f t="shared" si="26"/>
        <v>13.813333333333333</v>
      </c>
      <c r="I65" s="178">
        <f t="shared" si="4"/>
        <v>2.6245333333333334</v>
      </c>
      <c r="J65" s="179">
        <f t="shared" si="27"/>
        <v>4.3511999999999995</v>
      </c>
      <c r="K65" s="178">
        <f t="shared" si="6"/>
        <v>20.789066666666663</v>
      </c>
    </row>
    <row r="66" spans="1:11" x14ac:dyDescent="0.25">
      <c r="A66" s="174" t="s">
        <v>331</v>
      </c>
      <c r="B66" s="175" t="s">
        <v>279</v>
      </c>
      <c r="C66" s="176" t="s">
        <v>322</v>
      </c>
      <c r="D66" s="177">
        <v>5045</v>
      </c>
      <c r="E66" s="178">
        <f t="shared" si="0"/>
        <v>958.55</v>
      </c>
      <c r="F66" s="179">
        <f t="shared" si="22"/>
        <v>1589.175</v>
      </c>
      <c r="G66" s="178">
        <f t="shared" si="2"/>
        <v>7592.7250000000004</v>
      </c>
      <c r="H66" s="180">
        <f t="shared" si="26"/>
        <v>6.7266666666666666</v>
      </c>
      <c r="I66" s="178">
        <f t="shared" si="4"/>
        <v>1.2780666666666667</v>
      </c>
      <c r="J66" s="179">
        <f t="shared" si="27"/>
        <v>2.1189</v>
      </c>
      <c r="K66" s="178">
        <f t="shared" si="6"/>
        <v>10.123633333333334</v>
      </c>
    </row>
    <row r="67" spans="1:11" x14ac:dyDescent="0.25">
      <c r="A67" s="174" t="s">
        <v>331</v>
      </c>
      <c r="B67" s="175" t="s">
        <v>257</v>
      </c>
      <c r="C67" s="176" t="s">
        <v>322</v>
      </c>
      <c r="D67" s="177">
        <v>9102</v>
      </c>
      <c r="E67" s="178">
        <f t="shared" si="0"/>
        <v>1729.38</v>
      </c>
      <c r="F67" s="179">
        <f t="shared" si="22"/>
        <v>2867.13</v>
      </c>
      <c r="G67" s="178">
        <f t="shared" si="2"/>
        <v>13698.510000000002</v>
      </c>
      <c r="H67" s="180">
        <f t="shared" si="26"/>
        <v>12.135999999999999</v>
      </c>
      <c r="I67" s="178">
        <f t="shared" si="4"/>
        <v>2.3058399999999999</v>
      </c>
      <c r="J67" s="179">
        <f t="shared" si="27"/>
        <v>3.8228399999999998</v>
      </c>
      <c r="K67" s="178">
        <f t="shared" si="6"/>
        <v>18.264679999999998</v>
      </c>
    </row>
    <row r="68" spans="1:11" x14ac:dyDescent="0.25">
      <c r="A68" s="174" t="s">
        <v>331</v>
      </c>
      <c r="B68" s="175" t="s">
        <v>256</v>
      </c>
      <c r="C68" s="176" t="s">
        <v>322</v>
      </c>
      <c r="D68" s="177">
        <v>17043</v>
      </c>
      <c r="E68" s="178">
        <f t="shared" si="0"/>
        <v>3238.17</v>
      </c>
      <c r="F68" s="179">
        <f t="shared" si="22"/>
        <v>5368.5450000000001</v>
      </c>
      <c r="G68" s="178">
        <f t="shared" si="2"/>
        <v>25649.714999999997</v>
      </c>
      <c r="H68" s="180">
        <f t="shared" si="26"/>
        <v>22.724</v>
      </c>
      <c r="I68" s="178">
        <f t="shared" si="4"/>
        <v>4.3175600000000003</v>
      </c>
      <c r="J68" s="179">
        <f t="shared" si="27"/>
        <v>7.1580599999999999</v>
      </c>
      <c r="K68" s="178">
        <f t="shared" si="6"/>
        <v>34.199620000000003</v>
      </c>
    </row>
    <row r="69" spans="1:11" x14ac:dyDescent="0.25">
      <c r="A69" s="174" t="s">
        <v>331</v>
      </c>
      <c r="B69" s="181" t="s">
        <v>275</v>
      </c>
      <c r="C69" s="176" t="s">
        <v>322</v>
      </c>
      <c r="D69" s="177">
        <v>1912</v>
      </c>
      <c r="E69" s="178">
        <f t="shared" si="0"/>
        <v>363.28000000000003</v>
      </c>
      <c r="F69" s="179">
        <f>D69*0.315</f>
        <v>602.28</v>
      </c>
      <c r="G69" s="178">
        <f t="shared" si="2"/>
        <v>2877.5600000000004</v>
      </c>
      <c r="H69" s="180">
        <f t="shared" si="26"/>
        <v>2.5493333333333332</v>
      </c>
      <c r="I69" s="178">
        <f t="shared" si="4"/>
        <v>0.48437333333333332</v>
      </c>
      <c r="J69" s="179">
        <f>H69*0.315</f>
        <v>0.80303999999999998</v>
      </c>
      <c r="K69" s="178">
        <f t="shared" si="6"/>
        <v>3.8367466666666665</v>
      </c>
    </row>
    <row r="70" spans="1:11" ht="15" customHeight="1" x14ac:dyDescent="0.25">
      <c r="A70" s="174" t="s">
        <v>331</v>
      </c>
      <c r="B70" s="181" t="s">
        <v>202</v>
      </c>
      <c r="C70" s="176" t="s">
        <v>322</v>
      </c>
      <c r="D70" s="177">
        <v>2635</v>
      </c>
      <c r="E70" s="178">
        <f t="shared" si="0"/>
        <v>500.65000000000003</v>
      </c>
      <c r="F70" s="179">
        <f t="shared" ref="F70:F78" si="28">0.205*D70</f>
        <v>540.17499999999995</v>
      </c>
      <c r="G70" s="178">
        <f t="shared" si="2"/>
        <v>3675.8249999999998</v>
      </c>
      <c r="H70" s="180">
        <f t="shared" si="26"/>
        <v>3.5133333333333332</v>
      </c>
      <c r="I70" s="178">
        <f t="shared" si="4"/>
        <v>0.66753333333333331</v>
      </c>
      <c r="J70" s="179">
        <f t="shared" ref="J70:J78" si="29">0.205*H70</f>
        <v>0.72023333333333328</v>
      </c>
      <c r="K70" s="178">
        <f t="shared" si="6"/>
        <v>4.9010999999999996</v>
      </c>
    </row>
    <row r="71" spans="1:11" x14ac:dyDescent="0.25">
      <c r="A71" s="183" t="s">
        <v>331</v>
      </c>
      <c r="B71" s="184" t="s">
        <v>333</v>
      </c>
      <c r="C71" s="185" t="s">
        <v>334</v>
      </c>
      <c r="D71" s="186">
        <v>3581</v>
      </c>
      <c r="E71" s="187">
        <f t="shared" si="0"/>
        <v>680.39</v>
      </c>
      <c r="F71" s="188">
        <f t="shared" si="28"/>
        <v>734.1049999999999</v>
      </c>
      <c r="G71" s="187">
        <f t="shared" si="2"/>
        <v>4995.4949999999999</v>
      </c>
      <c r="H71" s="189">
        <f t="shared" ref="H71:H74" si="30">D71</f>
        <v>3581</v>
      </c>
      <c r="I71" s="187">
        <f t="shared" si="4"/>
        <v>680.39</v>
      </c>
      <c r="J71" s="188">
        <f t="shared" si="29"/>
        <v>734.1049999999999</v>
      </c>
      <c r="K71" s="187">
        <f t="shared" si="6"/>
        <v>4995.4949999999999</v>
      </c>
    </row>
    <row r="72" spans="1:11" ht="15" customHeight="1" x14ac:dyDescent="0.25">
      <c r="A72" s="183" t="s">
        <v>331</v>
      </c>
      <c r="B72" s="184" t="s">
        <v>335</v>
      </c>
      <c r="C72" s="185" t="s">
        <v>334</v>
      </c>
      <c r="D72" s="186">
        <v>2441</v>
      </c>
      <c r="E72" s="187">
        <f t="shared" si="0"/>
        <v>463.79</v>
      </c>
      <c r="F72" s="188">
        <f t="shared" si="28"/>
        <v>500.40499999999997</v>
      </c>
      <c r="G72" s="187">
        <f t="shared" si="2"/>
        <v>3405.1949999999997</v>
      </c>
      <c r="H72" s="189">
        <f t="shared" si="30"/>
        <v>2441</v>
      </c>
      <c r="I72" s="187">
        <f t="shared" si="4"/>
        <v>463.79</v>
      </c>
      <c r="J72" s="188">
        <f t="shared" si="29"/>
        <v>500.40499999999997</v>
      </c>
      <c r="K72" s="187">
        <f t="shared" si="6"/>
        <v>3405.1949999999997</v>
      </c>
    </row>
    <row r="73" spans="1:11" x14ac:dyDescent="0.25">
      <c r="A73" s="183" t="s">
        <v>331</v>
      </c>
      <c r="B73" s="184" t="s">
        <v>336</v>
      </c>
      <c r="C73" s="185" t="s">
        <v>334</v>
      </c>
      <c r="D73" s="186">
        <v>2441</v>
      </c>
      <c r="E73" s="187">
        <f t="shared" si="0"/>
        <v>463.79</v>
      </c>
      <c r="F73" s="188">
        <f t="shared" si="28"/>
        <v>500.40499999999997</v>
      </c>
      <c r="G73" s="187">
        <f t="shared" si="2"/>
        <v>3405.1949999999997</v>
      </c>
      <c r="H73" s="189">
        <f t="shared" si="30"/>
        <v>2441</v>
      </c>
      <c r="I73" s="187">
        <f t="shared" si="4"/>
        <v>463.79</v>
      </c>
      <c r="J73" s="188">
        <f t="shared" si="29"/>
        <v>500.40499999999997</v>
      </c>
      <c r="K73" s="187">
        <f t="shared" si="6"/>
        <v>3405.1949999999997</v>
      </c>
    </row>
    <row r="74" spans="1:11" x14ac:dyDescent="0.25">
      <c r="A74" s="174" t="s">
        <v>331</v>
      </c>
      <c r="B74" s="181" t="s">
        <v>337</v>
      </c>
      <c r="C74" s="176" t="s">
        <v>334</v>
      </c>
      <c r="D74" s="177">
        <v>7470</v>
      </c>
      <c r="E74" s="178">
        <f t="shared" si="0"/>
        <v>1419.3</v>
      </c>
      <c r="F74" s="179">
        <f t="shared" si="28"/>
        <v>1531.35</v>
      </c>
      <c r="G74" s="178">
        <f t="shared" si="2"/>
        <v>10420.65</v>
      </c>
      <c r="H74" s="180">
        <f t="shared" si="30"/>
        <v>7470</v>
      </c>
      <c r="I74" s="178">
        <f t="shared" si="4"/>
        <v>1419.3</v>
      </c>
      <c r="J74" s="179">
        <f t="shared" si="29"/>
        <v>1531.35</v>
      </c>
      <c r="K74" s="178">
        <f t="shared" si="6"/>
        <v>10420.65</v>
      </c>
    </row>
    <row r="75" spans="1:11" x14ac:dyDescent="0.25">
      <c r="A75" s="183" t="s">
        <v>331</v>
      </c>
      <c r="B75" s="184" t="s">
        <v>338</v>
      </c>
      <c r="C75" s="185" t="s">
        <v>322</v>
      </c>
      <c r="D75" s="186">
        <v>3581</v>
      </c>
      <c r="E75" s="187">
        <f t="shared" si="0"/>
        <v>680.39</v>
      </c>
      <c r="F75" s="188">
        <f t="shared" si="28"/>
        <v>734.1049999999999</v>
      </c>
      <c r="G75" s="187">
        <f t="shared" si="2"/>
        <v>4995.4949999999999</v>
      </c>
      <c r="H75" s="189">
        <f t="shared" ref="H75:H76" si="31">D75/750</f>
        <v>4.7746666666666666</v>
      </c>
      <c r="I75" s="187">
        <f t="shared" si="4"/>
        <v>0.9071866666666667</v>
      </c>
      <c r="J75" s="188">
        <f t="shared" si="29"/>
        <v>0.9788066666666666</v>
      </c>
      <c r="K75" s="187">
        <f t="shared" si="6"/>
        <v>6.66066</v>
      </c>
    </row>
    <row r="76" spans="1:11" x14ac:dyDescent="0.25">
      <c r="A76" s="174" t="s">
        <v>331</v>
      </c>
      <c r="B76" s="181" t="s">
        <v>339</v>
      </c>
      <c r="C76" s="176" t="s">
        <v>322</v>
      </c>
      <c r="D76" s="177">
        <v>2896.66</v>
      </c>
      <c r="E76" s="178">
        <f t="shared" si="0"/>
        <v>550.36540000000002</v>
      </c>
      <c r="F76" s="179">
        <f t="shared" si="28"/>
        <v>593.81529999999998</v>
      </c>
      <c r="G76" s="178">
        <f t="shared" si="2"/>
        <v>4040.8406999999997</v>
      </c>
      <c r="H76" s="180">
        <f t="shared" si="31"/>
        <v>3.8622133333333331</v>
      </c>
      <c r="I76" s="178">
        <f t="shared" si="4"/>
        <v>0.7338205333333333</v>
      </c>
      <c r="J76" s="179">
        <f t="shared" si="29"/>
        <v>0.79175373333333321</v>
      </c>
      <c r="K76" s="178">
        <f t="shared" si="6"/>
        <v>5.3877876000000002</v>
      </c>
    </row>
    <row r="77" spans="1:11" x14ac:dyDescent="0.25">
      <c r="A77" s="174" t="s">
        <v>331</v>
      </c>
      <c r="B77" s="181" t="s">
        <v>340</v>
      </c>
      <c r="C77" s="176" t="s">
        <v>334</v>
      </c>
      <c r="D77" s="177">
        <v>4029</v>
      </c>
      <c r="E77" s="178">
        <f t="shared" si="0"/>
        <v>765.51</v>
      </c>
      <c r="F77" s="179">
        <f t="shared" si="28"/>
        <v>825.94499999999994</v>
      </c>
      <c r="G77" s="178">
        <f t="shared" si="2"/>
        <v>5620.4549999999999</v>
      </c>
      <c r="H77" s="180">
        <f t="shared" ref="H77:H78" si="32">D77</f>
        <v>4029</v>
      </c>
      <c r="I77" s="178">
        <f t="shared" si="4"/>
        <v>765.51</v>
      </c>
      <c r="J77" s="179">
        <f t="shared" si="29"/>
        <v>825.94499999999994</v>
      </c>
      <c r="K77" s="178">
        <f t="shared" si="6"/>
        <v>5620.4549999999999</v>
      </c>
    </row>
    <row r="78" spans="1:11" x14ac:dyDescent="0.25">
      <c r="A78" s="174" t="s">
        <v>331</v>
      </c>
      <c r="B78" s="181" t="s">
        <v>341</v>
      </c>
      <c r="C78" s="176" t="s">
        <v>334</v>
      </c>
      <c r="D78" s="177">
        <v>4029</v>
      </c>
      <c r="E78" s="178">
        <f t="shared" si="0"/>
        <v>765.51</v>
      </c>
      <c r="F78" s="179">
        <f t="shared" si="28"/>
        <v>825.94499999999994</v>
      </c>
      <c r="G78" s="178">
        <f t="shared" si="2"/>
        <v>5620.4549999999999</v>
      </c>
      <c r="H78" s="180">
        <f t="shared" si="32"/>
        <v>4029</v>
      </c>
      <c r="I78" s="178">
        <f t="shared" si="4"/>
        <v>765.51</v>
      </c>
      <c r="J78" s="179">
        <f t="shared" si="29"/>
        <v>825.94499999999994</v>
      </c>
      <c r="K78" s="178">
        <f t="shared" si="6"/>
        <v>5620.4549999999999</v>
      </c>
    </row>
    <row r="79" spans="1:11" x14ac:dyDescent="0.25">
      <c r="A79" s="183" t="s">
        <v>331</v>
      </c>
      <c r="B79" s="184" t="s">
        <v>342</v>
      </c>
      <c r="C79" s="73" t="s">
        <v>322</v>
      </c>
      <c r="D79" s="186">
        <v>9030</v>
      </c>
      <c r="E79" s="187">
        <f t="shared" si="0"/>
        <v>1715.7</v>
      </c>
      <c r="F79" s="188">
        <f t="shared" ref="F79:F81" si="33">D79*0.315</f>
        <v>2844.45</v>
      </c>
      <c r="G79" s="187">
        <f t="shared" si="2"/>
        <v>13590.150000000001</v>
      </c>
      <c r="H79" s="189">
        <f t="shared" ref="H79:H81" si="34">D79/750</f>
        <v>12.04</v>
      </c>
      <c r="I79" s="187">
        <f t="shared" si="4"/>
        <v>2.2875999999999999</v>
      </c>
      <c r="J79" s="188"/>
      <c r="K79" s="187">
        <f t="shared" si="6"/>
        <v>14.327599999999999</v>
      </c>
    </row>
    <row r="80" spans="1:11" x14ac:dyDescent="0.25">
      <c r="A80" s="183" t="s">
        <v>331</v>
      </c>
      <c r="B80" s="184" t="s">
        <v>343</v>
      </c>
      <c r="C80" s="73" t="s">
        <v>322</v>
      </c>
      <c r="D80" s="186">
        <v>14515</v>
      </c>
      <c r="E80" s="187">
        <f t="shared" ref="E80:E81" si="35">D80*0.315</f>
        <v>4572.2250000000004</v>
      </c>
      <c r="F80" s="188">
        <f t="shared" si="33"/>
        <v>4572.2250000000004</v>
      </c>
      <c r="G80" s="187">
        <f t="shared" si="2"/>
        <v>23659.449999999997</v>
      </c>
      <c r="H80" s="189">
        <f t="shared" si="34"/>
        <v>19.353333333333332</v>
      </c>
      <c r="I80" s="187">
        <f t="shared" si="4"/>
        <v>3.6771333333333329</v>
      </c>
      <c r="J80" s="188"/>
      <c r="K80" s="187">
        <f t="shared" si="6"/>
        <v>23.030466666666666</v>
      </c>
    </row>
    <row r="81" spans="1:11" x14ac:dyDescent="0.25">
      <c r="A81" s="183" t="s">
        <v>331</v>
      </c>
      <c r="B81" s="184" t="s">
        <v>344</v>
      </c>
      <c r="C81" s="73" t="s">
        <v>322</v>
      </c>
      <c r="D81" s="186">
        <v>9811</v>
      </c>
      <c r="E81" s="187">
        <f t="shared" si="35"/>
        <v>3090.4650000000001</v>
      </c>
      <c r="F81" s="188">
        <f t="shared" si="33"/>
        <v>3090.4650000000001</v>
      </c>
      <c r="G81" s="187">
        <f t="shared" si="2"/>
        <v>15991.93</v>
      </c>
      <c r="H81" s="189">
        <f t="shared" si="34"/>
        <v>13.081333333333333</v>
      </c>
      <c r="I81" s="187">
        <f t="shared" si="4"/>
        <v>2.4854533333333335</v>
      </c>
      <c r="J81" s="188"/>
      <c r="K81" s="187">
        <f t="shared" si="6"/>
        <v>15.566786666666667</v>
      </c>
    </row>
    <row r="82" spans="1:11" x14ac:dyDescent="0.25">
      <c r="A82" s="174" t="s">
        <v>345</v>
      </c>
      <c r="B82" s="181" t="s">
        <v>88</v>
      </c>
      <c r="C82" s="176" t="s">
        <v>346</v>
      </c>
      <c r="D82" s="177">
        <v>1860</v>
      </c>
      <c r="E82" s="178">
        <f t="shared" ref="E82:E336" si="36">D82*0.19</f>
        <v>353.4</v>
      </c>
      <c r="F82" s="179"/>
      <c r="G82" s="178">
        <f t="shared" si="2"/>
        <v>2213.4</v>
      </c>
      <c r="H82" s="180">
        <f t="shared" ref="H82:H85" si="37">D82</f>
        <v>1860</v>
      </c>
      <c r="I82" s="178">
        <f t="shared" si="4"/>
        <v>353.4</v>
      </c>
      <c r="J82" s="179"/>
      <c r="K82" s="178">
        <f t="shared" si="6"/>
        <v>2213.4</v>
      </c>
    </row>
    <row r="83" spans="1:11" ht="15" customHeight="1" x14ac:dyDescent="0.25">
      <c r="A83" s="174" t="s">
        <v>345</v>
      </c>
      <c r="B83" s="181" t="s">
        <v>347</v>
      </c>
      <c r="C83" s="176" t="s">
        <v>348</v>
      </c>
      <c r="D83" s="177">
        <v>1860</v>
      </c>
      <c r="E83" s="178">
        <f t="shared" si="36"/>
        <v>353.4</v>
      </c>
      <c r="F83" s="179"/>
      <c r="G83" s="178">
        <f t="shared" si="2"/>
        <v>2213.4</v>
      </c>
      <c r="H83" s="180">
        <f t="shared" si="37"/>
        <v>1860</v>
      </c>
      <c r="I83" s="178">
        <f t="shared" si="4"/>
        <v>353.4</v>
      </c>
      <c r="J83" s="179"/>
      <c r="K83" s="178">
        <f t="shared" si="6"/>
        <v>2213.4</v>
      </c>
    </row>
    <row r="84" spans="1:11" x14ac:dyDescent="0.25">
      <c r="A84" s="174" t="s">
        <v>345</v>
      </c>
      <c r="B84" s="191" t="s">
        <v>90</v>
      </c>
      <c r="C84" s="176" t="s">
        <v>346</v>
      </c>
      <c r="D84" s="177">
        <f>D85/3</f>
        <v>397.66666666666669</v>
      </c>
      <c r="E84" s="178">
        <f t="shared" si="36"/>
        <v>75.556666666666672</v>
      </c>
      <c r="F84" s="179"/>
      <c r="G84" s="178">
        <f t="shared" si="2"/>
        <v>473.22333333333336</v>
      </c>
      <c r="H84" s="180">
        <f t="shared" si="37"/>
        <v>397.66666666666669</v>
      </c>
      <c r="I84" s="178">
        <f t="shared" si="4"/>
        <v>75.556666666666672</v>
      </c>
      <c r="J84" s="179"/>
      <c r="K84" s="178">
        <f t="shared" si="6"/>
        <v>473.22333333333336</v>
      </c>
    </row>
    <row r="85" spans="1:11" x14ac:dyDescent="0.25">
      <c r="A85" s="174" t="s">
        <v>345</v>
      </c>
      <c r="B85" s="181" t="s">
        <v>349</v>
      </c>
      <c r="C85" s="176" t="s">
        <v>350</v>
      </c>
      <c r="D85" s="177">
        <v>1193</v>
      </c>
      <c r="E85" s="178">
        <f t="shared" si="36"/>
        <v>226.67000000000002</v>
      </c>
      <c r="F85" s="179"/>
      <c r="G85" s="178">
        <f t="shared" si="2"/>
        <v>1419.67</v>
      </c>
      <c r="H85" s="180">
        <f t="shared" si="37"/>
        <v>1193</v>
      </c>
      <c r="I85" s="178">
        <f t="shared" si="4"/>
        <v>226.67000000000002</v>
      </c>
      <c r="J85" s="179"/>
      <c r="K85" s="178">
        <f t="shared" si="6"/>
        <v>1419.67</v>
      </c>
    </row>
    <row r="86" spans="1:11" x14ac:dyDescent="0.25">
      <c r="A86" s="174" t="s">
        <v>345</v>
      </c>
      <c r="B86" s="181" t="s">
        <v>129</v>
      </c>
      <c r="C86" s="176" t="s">
        <v>322</v>
      </c>
      <c r="D86" s="177">
        <v>3095</v>
      </c>
      <c r="E86" s="178">
        <f t="shared" si="36"/>
        <v>588.04999999999995</v>
      </c>
      <c r="F86" s="179"/>
      <c r="G86" s="178">
        <f t="shared" si="2"/>
        <v>3683.05</v>
      </c>
      <c r="H86" s="180">
        <f>D86/5000</f>
        <v>0.61899999999999999</v>
      </c>
      <c r="I86" s="178">
        <f t="shared" si="4"/>
        <v>0.11761000000000001</v>
      </c>
      <c r="J86" s="179"/>
      <c r="K86" s="178">
        <f t="shared" si="6"/>
        <v>0.73660999999999999</v>
      </c>
    </row>
    <row r="87" spans="1:11" ht="15" customHeight="1" x14ac:dyDescent="0.25">
      <c r="A87" s="174" t="s">
        <v>345</v>
      </c>
      <c r="B87" s="181" t="s">
        <v>100</v>
      </c>
      <c r="C87" s="176" t="s">
        <v>351</v>
      </c>
      <c r="D87" s="177">
        <v>1028</v>
      </c>
      <c r="E87" s="178">
        <f t="shared" si="36"/>
        <v>195.32</v>
      </c>
      <c r="F87" s="179"/>
      <c r="G87" s="178">
        <f t="shared" si="2"/>
        <v>1223.32</v>
      </c>
      <c r="H87" s="180">
        <f t="shared" ref="H87:H89" si="38">D87</f>
        <v>1028</v>
      </c>
      <c r="I87" s="178">
        <f t="shared" si="4"/>
        <v>195.32</v>
      </c>
      <c r="J87" s="179"/>
      <c r="K87" s="178">
        <f t="shared" si="6"/>
        <v>1223.32</v>
      </c>
    </row>
    <row r="88" spans="1:11" ht="15" customHeight="1" x14ac:dyDescent="0.25">
      <c r="A88" s="183" t="s">
        <v>345</v>
      </c>
      <c r="B88" s="184" t="s">
        <v>89</v>
      </c>
      <c r="C88" s="185" t="s">
        <v>346</v>
      </c>
      <c r="D88" s="186">
        <v>250</v>
      </c>
      <c r="E88" s="187">
        <f t="shared" si="36"/>
        <v>47.5</v>
      </c>
      <c r="F88" s="188"/>
      <c r="G88" s="187">
        <f t="shared" si="2"/>
        <v>297.5</v>
      </c>
      <c r="H88" s="189">
        <f t="shared" si="38"/>
        <v>250</v>
      </c>
      <c r="I88" s="187">
        <f t="shared" si="4"/>
        <v>47.5</v>
      </c>
      <c r="J88" s="188"/>
      <c r="K88" s="187">
        <f t="shared" si="6"/>
        <v>297.5</v>
      </c>
    </row>
    <row r="89" spans="1:11" ht="15" customHeight="1" x14ac:dyDescent="0.25">
      <c r="A89" s="183" t="s">
        <v>568</v>
      </c>
      <c r="B89" s="184" t="s">
        <v>113</v>
      </c>
      <c r="C89" s="185" t="s">
        <v>352</v>
      </c>
      <c r="D89" s="186">
        <v>926</v>
      </c>
      <c r="E89" s="187">
        <f t="shared" si="36"/>
        <v>175.94</v>
      </c>
      <c r="F89" s="188"/>
      <c r="G89" s="187">
        <f t="shared" si="2"/>
        <v>1101.94</v>
      </c>
      <c r="H89" s="189">
        <f t="shared" si="38"/>
        <v>926</v>
      </c>
      <c r="I89" s="187">
        <f t="shared" si="4"/>
        <v>175.94</v>
      </c>
      <c r="J89" s="188"/>
      <c r="K89" s="187">
        <f t="shared" si="6"/>
        <v>1101.94</v>
      </c>
    </row>
    <row r="90" spans="1:11" x14ac:dyDescent="0.25">
      <c r="A90" s="174" t="s">
        <v>345</v>
      </c>
      <c r="B90" s="181" t="s">
        <v>136</v>
      </c>
      <c r="C90" s="176" t="s">
        <v>353</v>
      </c>
      <c r="D90" s="177">
        <v>5313</v>
      </c>
      <c r="E90" s="178">
        <f t="shared" si="36"/>
        <v>1009.47</v>
      </c>
      <c r="F90" s="179"/>
      <c r="G90" s="178">
        <f t="shared" si="2"/>
        <v>6322.47</v>
      </c>
      <c r="H90" s="180">
        <f>D90/1000</f>
        <v>5.3129999999999997</v>
      </c>
      <c r="I90" s="178">
        <f t="shared" si="4"/>
        <v>1.0094699999999999</v>
      </c>
      <c r="J90" s="179"/>
      <c r="K90" s="178">
        <f t="shared" si="6"/>
        <v>6.3224699999999991</v>
      </c>
    </row>
    <row r="91" spans="1:11" x14ac:dyDescent="0.25">
      <c r="A91" s="183" t="s">
        <v>345</v>
      </c>
      <c r="B91" s="184" t="s">
        <v>164</v>
      </c>
      <c r="C91" s="185" t="s">
        <v>350</v>
      </c>
      <c r="D91" s="186">
        <v>1341</v>
      </c>
      <c r="E91" s="187">
        <f t="shared" si="36"/>
        <v>254.79</v>
      </c>
      <c r="F91" s="188"/>
      <c r="G91" s="187">
        <f t="shared" si="2"/>
        <v>1595.79</v>
      </c>
      <c r="H91" s="189">
        <f t="shared" ref="H91:H94" si="39">D91</f>
        <v>1341</v>
      </c>
      <c r="I91" s="187">
        <f t="shared" si="4"/>
        <v>254.79</v>
      </c>
      <c r="J91" s="188"/>
      <c r="K91" s="187">
        <f t="shared" si="6"/>
        <v>1595.79</v>
      </c>
    </row>
    <row r="92" spans="1:11" ht="15" customHeight="1" x14ac:dyDescent="0.25">
      <c r="A92" s="174" t="s">
        <v>345</v>
      </c>
      <c r="B92" s="181" t="s">
        <v>354</v>
      </c>
      <c r="C92" s="176" t="s">
        <v>355</v>
      </c>
      <c r="D92" s="177">
        <v>311</v>
      </c>
      <c r="E92" s="178">
        <f t="shared" si="36"/>
        <v>59.09</v>
      </c>
      <c r="F92" s="179"/>
      <c r="G92" s="178">
        <f t="shared" si="2"/>
        <v>370.09000000000003</v>
      </c>
      <c r="H92" s="180">
        <f t="shared" si="39"/>
        <v>311</v>
      </c>
      <c r="I92" s="178">
        <f t="shared" si="4"/>
        <v>59.09</v>
      </c>
      <c r="J92" s="179"/>
      <c r="K92" s="178">
        <f t="shared" si="6"/>
        <v>370.09000000000003</v>
      </c>
    </row>
    <row r="93" spans="1:11" x14ac:dyDescent="0.25">
      <c r="A93" s="174" t="s">
        <v>345</v>
      </c>
      <c r="B93" s="181" t="s">
        <v>356</v>
      </c>
      <c r="C93" s="176" t="s">
        <v>334</v>
      </c>
      <c r="D93" s="177">
        <v>1939</v>
      </c>
      <c r="E93" s="178">
        <f t="shared" si="36"/>
        <v>368.41</v>
      </c>
      <c r="F93" s="179"/>
      <c r="G93" s="178">
        <f t="shared" si="2"/>
        <v>2307.41</v>
      </c>
      <c r="H93" s="180">
        <f t="shared" si="39"/>
        <v>1939</v>
      </c>
      <c r="I93" s="178">
        <f t="shared" si="4"/>
        <v>368.41</v>
      </c>
      <c r="J93" s="179"/>
      <c r="K93" s="178">
        <f t="shared" si="6"/>
        <v>2307.41</v>
      </c>
    </row>
    <row r="94" spans="1:11" ht="15" customHeight="1" x14ac:dyDescent="0.25">
      <c r="A94" s="183" t="s">
        <v>345</v>
      </c>
      <c r="B94" s="184" t="s">
        <v>357</v>
      </c>
      <c r="C94" s="185" t="s">
        <v>348</v>
      </c>
      <c r="D94" s="186">
        <v>3501</v>
      </c>
      <c r="E94" s="187">
        <f t="shared" si="36"/>
        <v>665.19</v>
      </c>
      <c r="F94" s="188"/>
      <c r="G94" s="187">
        <f t="shared" si="2"/>
        <v>4166.1900000000005</v>
      </c>
      <c r="H94" s="189">
        <f t="shared" si="39"/>
        <v>3501</v>
      </c>
      <c r="I94" s="187">
        <f t="shared" si="4"/>
        <v>665.19</v>
      </c>
      <c r="J94" s="188"/>
      <c r="K94" s="187">
        <f t="shared" si="6"/>
        <v>4166.1900000000005</v>
      </c>
    </row>
    <row r="95" spans="1:11" x14ac:dyDescent="0.25">
      <c r="A95" s="174" t="s">
        <v>345</v>
      </c>
      <c r="B95" s="181" t="s">
        <v>94</v>
      </c>
      <c r="C95" s="176" t="s">
        <v>358</v>
      </c>
      <c r="D95" s="177">
        <v>1040</v>
      </c>
      <c r="E95" s="178">
        <f t="shared" si="36"/>
        <v>197.6</v>
      </c>
      <c r="F95" s="179"/>
      <c r="G95" s="178">
        <f t="shared" si="2"/>
        <v>1237.5999999999999</v>
      </c>
      <c r="H95" s="180">
        <f>D95/240</f>
        <v>4.333333333333333</v>
      </c>
      <c r="I95" s="178">
        <f t="shared" si="4"/>
        <v>0.82333333333333325</v>
      </c>
      <c r="J95" s="179"/>
      <c r="K95" s="178">
        <f t="shared" si="6"/>
        <v>5.1566666666666663</v>
      </c>
    </row>
    <row r="96" spans="1:11" ht="15" customHeight="1" x14ac:dyDescent="0.25">
      <c r="A96" s="174" t="s">
        <v>345</v>
      </c>
      <c r="B96" s="181" t="s">
        <v>95</v>
      </c>
      <c r="C96" s="176" t="s">
        <v>358</v>
      </c>
      <c r="D96" s="177">
        <v>2451</v>
      </c>
      <c r="E96" s="178">
        <f t="shared" si="36"/>
        <v>465.69</v>
      </c>
      <c r="F96" s="179"/>
      <c r="G96" s="178">
        <f t="shared" si="2"/>
        <v>2916.69</v>
      </c>
      <c r="H96" s="180">
        <f>D96/120</f>
        <v>20.425000000000001</v>
      </c>
      <c r="I96" s="178">
        <f t="shared" si="4"/>
        <v>3.8807500000000004</v>
      </c>
      <c r="J96" s="179"/>
      <c r="K96" s="178">
        <f t="shared" si="6"/>
        <v>24.30575</v>
      </c>
    </row>
    <row r="97" spans="1:11" ht="15" customHeight="1" x14ac:dyDescent="0.25">
      <c r="A97" s="174" t="s">
        <v>345</v>
      </c>
      <c r="B97" s="181" t="s">
        <v>103</v>
      </c>
      <c r="C97" s="176" t="s">
        <v>317</v>
      </c>
      <c r="D97" s="177">
        <v>304</v>
      </c>
      <c r="E97" s="178">
        <f t="shared" si="36"/>
        <v>57.76</v>
      </c>
      <c r="F97" s="179"/>
      <c r="G97" s="178">
        <f t="shared" si="2"/>
        <v>361.76</v>
      </c>
      <c r="H97" s="180">
        <f t="shared" ref="H97:H120" si="40">D97</f>
        <v>304</v>
      </c>
      <c r="I97" s="178">
        <f t="shared" si="4"/>
        <v>57.76</v>
      </c>
      <c r="J97" s="179"/>
      <c r="K97" s="178">
        <f t="shared" si="6"/>
        <v>361.76</v>
      </c>
    </row>
    <row r="98" spans="1:11" ht="15" customHeight="1" x14ac:dyDescent="0.25">
      <c r="A98" s="174" t="s">
        <v>345</v>
      </c>
      <c r="B98" s="181" t="s">
        <v>96</v>
      </c>
      <c r="C98" s="176" t="s">
        <v>359</v>
      </c>
      <c r="D98" s="177">
        <v>1446</v>
      </c>
      <c r="E98" s="178">
        <f t="shared" si="36"/>
        <v>274.74</v>
      </c>
      <c r="F98" s="179"/>
      <c r="G98" s="178">
        <f t="shared" si="2"/>
        <v>1720.74</v>
      </c>
      <c r="H98" s="180">
        <f t="shared" si="40"/>
        <v>1446</v>
      </c>
      <c r="I98" s="178">
        <f t="shared" si="4"/>
        <v>274.74</v>
      </c>
      <c r="J98" s="179"/>
      <c r="K98" s="178">
        <f t="shared" si="6"/>
        <v>1720.74</v>
      </c>
    </row>
    <row r="99" spans="1:11" x14ac:dyDescent="0.25">
      <c r="A99" s="174" t="s">
        <v>345</v>
      </c>
      <c r="B99" s="181" t="s">
        <v>98</v>
      </c>
      <c r="C99" s="176" t="s">
        <v>360</v>
      </c>
      <c r="D99" s="177">
        <v>22729</v>
      </c>
      <c r="E99" s="178">
        <f t="shared" si="36"/>
        <v>4318.51</v>
      </c>
      <c r="F99" s="179"/>
      <c r="G99" s="178">
        <f t="shared" si="2"/>
        <v>27047.510000000002</v>
      </c>
      <c r="H99" s="180">
        <f t="shared" si="40"/>
        <v>22729</v>
      </c>
      <c r="I99" s="178">
        <f t="shared" si="4"/>
        <v>4318.51</v>
      </c>
      <c r="J99" s="179"/>
      <c r="K99" s="178">
        <f t="shared" si="6"/>
        <v>27047.510000000002</v>
      </c>
    </row>
    <row r="100" spans="1:11" ht="15" customHeight="1" x14ac:dyDescent="0.25">
      <c r="A100" s="174" t="s">
        <v>345</v>
      </c>
      <c r="B100" s="181" t="s">
        <v>361</v>
      </c>
      <c r="C100" s="176" t="s">
        <v>352</v>
      </c>
      <c r="D100" s="177">
        <v>775</v>
      </c>
      <c r="E100" s="178">
        <f t="shared" si="36"/>
        <v>147.25</v>
      </c>
      <c r="F100" s="179"/>
      <c r="G100" s="178">
        <f t="shared" si="2"/>
        <v>922.25</v>
      </c>
      <c r="H100" s="180">
        <f t="shared" si="40"/>
        <v>775</v>
      </c>
      <c r="I100" s="178">
        <f t="shared" si="4"/>
        <v>147.25</v>
      </c>
      <c r="J100" s="179"/>
      <c r="K100" s="178">
        <f t="shared" si="6"/>
        <v>922.25</v>
      </c>
    </row>
    <row r="101" spans="1:11" x14ac:dyDescent="0.25">
      <c r="A101" s="174" t="s">
        <v>345</v>
      </c>
      <c r="B101" s="181" t="s">
        <v>87</v>
      </c>
      <c r="C101" s="176" t="s">
        <v>346</v>
      </c>
      <c r="D101" s="177">
        <f>D100/13</f>
        <v>59.615384615384613</v>
      </c>
      <c r="E101" s="178">
        <f t="shared" si="36"/>
        <v>11.326923076923077</v>
      </c>
      <c r="F101" s="179"/>
      <c r="G101" s="178">
        <f t="shared" si="2"/>
        <v>70.942307692307693</v>
      </c>
      <c r="H101" s="180">
        <f t="shared" si="40"/>
        <v>59.615384615384613</v>
      </c>
      <c r="I101" s="178">
        <f t="shared" si="4"/>
        <v>11.326923076923077</v>
      </c>
      <c r="J101" s="179"/>
      <c r="K101" s="178">
        <f t="shared" si="6"/>
        <v>70.942307692307693</v>
      </c>
    </row>
    <row r="102" spans="1:11" x14ac:dyDescent="0.25">
      <c r="A102" s="183" t="s">
        <v>345</v>
      </c>
      <c r="B102" s="184" t="s">
        <v>362</v>
      </c>
      <c r="C102" s="185" t="s">
        <v>363</v>
      </c>
      <c r="D102" s="186">
        <v>6587</v>
      </c>
      <c r="E102" s="187">
        <f t="shared" si="36"/>
        <v>1251.53</v>
      </c>
      <c r="F102" s="188"/>
      <c r="G102" s="187">
        <f t="shared" si="2"/>
        <v>7838.53</v>
      </c>
      <c r="H102" s="189">
        <f t="shared" si="40"/>
        <v>6587</v>
      </c>
      <c r="I102" s="187">
        <f t="shared" si="4"/>
        <v>1251.53</v>
      </c>
      <c r="J102" s="188"/>
      <c r="K102" s="187">
        <f t="shared" si="6"/>
        <v>7838.53</v>
      </c>
    </row>
    <row r="103" spans="1:11" ht="15" customHeight="1" x14ac:dyDescent="0.25">
      <c r="A103" s="174" t="s">
        <v>345</v>
      </c>
      <c r="B103" s="181" t="s">
        <v>124</v>
      </c>
      <c r="C103" s="176" t="s">
        <v>346</v>
      </c>
      <c r="D103" s="177">
        <v>215</v>
      </c>
      <c r="E103" s="178">
        <f t="shared" si="36"/>
        <v>40.85</v>
      </c>
      <c r="F103" s="179"/>
      <c r="G103" s="178">
        <f t="shared" si="2"/>
        <v>255.85</v>
      </c>
      <c r="H103" s="180">
        <f t="shared" si="40"/>
        <v>215</v>
      </c>
      <c r="I103" s="178">
        <f t="shared" si="4"/>
        <v>40.85</v>
      </c>
      <c r="J103" s="179"/>
      <c r="K103" s="178">
        <f t="shared" si="6"/>
        <v>255.85</v>
      </c>
    </row>
    <row r="104" spans="1:11" x14ac:dyDescent="0.25">
      <c r="A104" s="183" t="s">
        <v>345</v>
      </c>
      <c r="B104" s="184" t="s">
        <v>364</v>
      </c>
      <c r="C104" s="185" t="s">
        <v>334</v>
      </c>
      <c r="D104" s="186">
        <v>3495</v>
      </c>
      <c r="E104" s="187">
        <f t="shared" si="36"/>
        <v>664.05</v>
      </c>
      <c r="F104" s="188"/>
      <c r="G104" s="187">
        <f t="shared" si="2"/>
        <v>4159.05</v>
      </c>
      <c r="H104" s="189">
        <f t="shared" si="40"/>
        <v>3495</v>
      </c>
      <c r="I104" s="187">
        <f t="shared" si="4"/>
        <v>664.05</v>
      </c>
      <c r="J104" s="188"/>
      <c r="K104" s="187">
        <f t="shared" si="6"/>
        <v>4159.05</v>
      </c>
    </row>
    <row r="105" spans="1:11" x14ac:dyDescent="0.25">
      <c r="A105" s="174" t="s">
        <v>345</v>
      </c>
      <c r="B105" s="181" t="s">
        <v>365</v>
      </c>
      <c r="C105" s="176" t="s">
        <v>352</v>
      </c>
      <c r="D105" s="177">
        <v>813</v>
      </c>
      <c r="E105" s="178">
        <f t="shared" si="36"/>
        <v>154.47</v>
      </c>
      <c r="F105" s="179"/>
      <c r="G105" s="178">
        <f t="shared" si="2"/>
        <v>967.47</v>
      </c>
      <c r="H105" s="180">
        <f t="shared" si="40"/>
        <v>813</v>
      </c>
      <c r="I105" s="178">
        <f t="shared" si="4"/>
        <v>154.47</v>
      </c>
      <c r="J105" s="179"/>
      <c r="K105" s="178">
        <f t="shared" si="6"/>
        <v>967.47</v>
      </c>
    </row>
    <row r="106" spans="1:11" x14ac:dyDescent="0.25">
      <c r="A106" s="174" t="s">
        <v>568</v>
      </c>
      <c r="B106" s="181" t="s">
        <v>110</v>
      </c>
      <c r="C106" s="176" t="s">
        <v>352</v>
      </c>
      <c r="D106" s="177">
        <v>1722</v>
      </c>
      <c r="E106" s="178">
        <f t="shared" si="36"/>
        <v>327.18</v>
      </c>
      <c r="F106" s="179"/>
      <c r="G106" s="178">
        <f t="shared" si="2"/>
        <v>2049.1799999999998</v>
      </c>
      <c r="H106" s="180">
        <f t="shared" si="40"/>
        <v>1722</v>
      </c>
      <c r="I106" s="178">
        <f t="shared" si="4"/>
        <v>327.18</v>
      </c>
      <c r="J106" s="179"/>
      <c r="K106" s="178">
        <f t="shared" si="6"/>
        <v>2049.1799999999998</v>
      </c>
    </row>
    <row r="107" spans="1:11" ht="15" customHeight="1" x14ac:dyDescent="0.25">
      <c r="A107" s="183" t="s">
        <v>345</v>
      </c>
      <c r="B107" s="184" t="s">
        <v>111</v>
      </c>
      <c r="C107" s="185" t="s">
        <v>352</v>
      </c>
      <c r="D107" s="186">
        <v>2632</v>
      </c>
      <c r="E107" s="187">
        <f t="shared" si="36"/>
        <v>500.08</v>
      </c>
      <c r="F107" s="188"/>
      <c r="G107" s="187">
        <f t="shared" si="2"/>
        <v>3132.08</v>
      </c>
      <c r="H107" s="189">
        <f t="shared" si="40"/>
        <v>2632</v>
      </c>
      <c r="I107" s="187">
        <f t="shared" si="4"/>
        <v>500.08</v>
      </c>
      <c r="J107" s="188"/>
      <c r="K107" s="187">
        <f t="shared" si="6"/>
        <v>3132.08</v>
      </c>
    </row>
    <row r="108" spans="1:11" x14ac:dyDescent="0.25">
      <c r="A108" s="183" t="s">
        <v>345</v>
      </c>
      <c r="B108" s="184" t="s">
        <v>366</v>
      </c>
      <c r="C108" s="185" t="s">
        <v>352</v>
      </c>
      <c r="D108" s="186">
        <v>1589</v>
      </c>
      <c r="E108" s="187">
        <f t="shared" si="36"/>
        <v>301.91000000000003</v>
      </c>
      <c r="F108" s="188"/>
      <c r="G108" s="187">
        <f t="shared" si="2"/>
        <v>1890.91</v>
      </c>
      <c r="H108" s="189">
        <f t="shared" si="40"/>
        <v>1589</v>
      </c>
      <c r="I108" s="187">
        <f t="shared" si="4"/>
        <v>301.91000000000003</v>
      </c>
      <c r="J108" s="188"/>
      <c r="K108" s="187">
        <f t="shared" si="6"/>
        <v>1890.91</v>
      </c>
    </row>
    <row r="109" spans="1:11" x14ac:dyDescent="0.25">
      <c r="A109" s="183" t="s">
        <v>345</v>
      </c>
      <c r="B109" s="184" t="s">
        <v>367</v>
      </c>
      <c r="C109" s="185" t="s">
        <v>346</v>
      </c>
      <c r="D109" s="186">
        <v>75.66</v>
      </c>
      <c r="E109" s="187">
        <f t="shared" si="36"/>
        <v>14.375399999999999</v>
      </c>
      <c r="F109" s="188"/>
      <c r="G109" s="187">
        <f t="shared" si="2"/>
        <v>90.035399999999996</v>
      </c>
      <c r="H109" s="189">
        <f t="shared" si="40"/>
        <v>75.66</v>
      </c>
      <c r="I109" s="187">
        <f t="shared" si="4"/>
        <v>14.375399999999999</v>
      </c>
      <c r="J109" s="188"/>
      <c r="K109" s="187">
        <f t="shared" si="6"/>
        <v>90.035399999999996</v>
      </c>
    </row>
    <row r="110" spans="1:11" x14ac:dyDescent="0.25">
      <c r="A110" s="183" t="s">
        <v>345</v>
      </c>
      <c r="B110" s="184" t="s">
        <v>117</v>
      </c>
      <c r="C110" s="185" t="s">
        <v>317</v>
      </c>
      <c r="D110" s="186">
        <v>1560</v>
      </c>
      <c r="E110" s="187">
        <f t="shared" si="36"/>
        <v>296.39999999999998</v>
      </c>
      <c r="F110" s="188"/>
      <c r="G110" s="187">
        <f t="shared" si="2"/>
        <v>1856.4</v>
      </c>
      <c r="H110" s="189">
        <f t="shared" si="40"/>
        <v>1560</v>
      </c>
      <c r="I110" s="187">
        <f t="shared" si="4"/>
        <v>296.39999999999998</v>
      </c>
      <c r="J110" s="188"/>
      <c r="K110" s="187">
        <f t="shared" si="6"/>
        <v>1856.4</v>
      </c>
    </row>
    <row r="111" spans="1:11" x14ac:dyDescent="0.25">
      <c r="A111" s="174" t="s">
        <v>345</v>
      </c>
      <c r="B111" s="181" t="s">
        <v>118</v>
      </c>
      <c r="C111" s="176" t="s">
        <v>360</v>
      </c>
      <c r="D111" s="177">
        <v>5168</v>
      </c>
      <c r="E111" s="178">
        <f t="shared" si="36"/>
        <v>981.92</v>
      </c>
      <c r="F111" s="179"/>
      <c r="G111" s="178">
        <f t="shared" si="2"/>
        <v>6149.92</v>
      </c>
      <c r="H111" s="180">
        <f t="shared" si="40"/>
        <v>5168</v>
      </c>
      <c r="I111" s="178">
        <f t="shared" si="4"/>
        <v>981.92</v>
      </c>
      <c r="J111" s="179"/>
      <c r="K111" s="178">
        <f t="shared" si="6"/>
        <v>6149.92</v>
      </c>
    </row>
    <row r="112" spans="1:11" x14ac:dyDescent="0.25">
      <c r="A112" s="174" t="s">
        <v>345</v>
      </c>
      <c r="B112" s="181" t="s">
        <v>368</v>
      </c>
      <c r="C112" s="176" t="s">
        <v>350</v>
      </c>
      <c r="D112" s="177">
        <v>698</v>
      </c>
      <c r="E112" s="178">
        <f t="shared" si="36"/>
        <v>132.62</v>
      </c>
      <c r="F112" s="179"/>
      <c r="G112" s="178">
        <f t="shared" si="2"/>
        <v>830.62</v>
      </c>
      <c r="H112" s="180">
        <f t="shared" si="40"/>
        <v>698</v>
      </c>
      <c r="I112" s="178">
        <f t="shared" si="4"/>
        <v>132.62</v>
      </c>
      <c r="J112" s="179"/>
      <c r="K112" s="178">
        <f t="shared" si="6"/>
        <v>830.62</v>
      </c>
    </row>
    <row r="113" spans="1:11" x14ac:dyDescent="0.25">
      <c r="A113" s="174" t="s">
        <v>345</v>
      </c>
      <c r="B113" s="181" t="s">
        <v>369</v>
      </c>
      <c r="C113" s="176" t="s">
        <v>352</v>
      </c>
      <c r="D113" s="177">
        <v>968</v>
      </c>
      <c r="E113" s="178">
        <f t="shared" si="36"/>
        <v>183.92000000000002</v>
      </c>
      <c r="F113" s="179"/>
      <c r="G113" s="178">
        <f t="shared" si="2"/>
        <v>1151.92</v>
      </c>
      <c r="H113" s="180">
        <f t="shared" si="40"/>
        <v>968</v>
      </c>
      <c r="I113" s="178">
        <f t="shared" si="4"/>
        <v>183.92000000000002</v>
      </c>
      <c r="J113" s="179"/>
      <c r="K113" s="178">
        <f t="shared" si="6"/>
        <v>1151.92</v>
      </c>
    </row>
    <row r="114" spans="1:11" ht="15" customHeight="1" x14ac:dyDescent="0.25">
      <c r="A114" s="183" t="s">
        <v>345</v>
      </c>
      <c r="B114" s="184" t="s">
        <v>370</v>
      </c>
      <c r="C114" s="185" t="s">
        <v>350</v>
      </c>
      <c r="D114" s="186">
        <v>1319</v>
      </c>
      <c r="E114" s="187">
        <f t="shared" si="36"/>
        <v>250.61</v>
      </c>
      <c r="F114" s="188"/>
      <c r="G114" s="187">
        <f t="shared" si="2"/>
        <v>1569.6100000000001</v>
      </c>
      <c r="H114" s="189">
        <f t="shared" si="40"/>
        <v>1319</v>
      </c>
      <c r="I114" s="187">
        <f t="shared" si="4"/>
        <v>250.61</v>
      </c>
      <c r="J114" s="188"/>
      <c r="K114" s="187">
        <f t="shared" si="6"/>
        <v>1569.6100000000001</v>
      </c>
    </row>
    <row r="115" spans="1:11" x14ac:dyDescent="0.25">
      <c r="A115" s="183" t="s">
        <v>345</v>
      </c>
      <c r="B115" s="184" t="s">
        <v>112</v>
      </c>
      <c r="C115" s="185" t="s">
        <v>352</v>
      </c>
      <c r="D115" s="186">
        <v>1706</v>
      </c>
      <c r="E115" s="187">
        <f t="shared" si="36"/>
        <v>324.14</v>
      </c>
      <c r="F115" s="188"/>
      <c r="G115" s="187">
        <f t="shared" si="2"/>
        <v>2030.1399999999999</v>
      </c>
      <c r="H115" s="189">
        <f t="shared" si="40"/>
        <v>1706</v>
      </c>
      <c r="I115" s="187">
        <f t="shared" si="4"/>
        <v>324.14</v>
      </c>
      <c r="J115" s="188"/>
      <c r="K115" s="187">
        <f t="shared" si="6"/>
        <v>2030.1399999999999</v>
      </c>
    </row>
    <row r="116" spans="1:11" x14ac:dyDescent="0.25">
      <c r="A116" s="174" t="s">
        <v>345</v>
      </c>
      <c r="B116" s="181" t="s">
        <v>116</v>
      </c>
      <c r="C116" s="176" t="s">
        <v>352</v>
      </c>
      <c r="D116" s="177">
        <v>206</v>
      </c>
      <c r="E116" s="178">
        <f t="shared" si="36"/>
        <v>39.14</v>
      </c>
      <c r="F116" s="179"/>
      <c r="G116" s="178">
        <f t="shared" si="2"/>
        <v>245.14</v>
      </c>
      <c r="H116" s="180">
        <f t="shared" si="40"/>
        <v>206</v>
      </c>
      <c r="I116" s="178">
        <f t="shared" si="4"/>
        <v>39.14</v>
      </c>
      <c r="J116" s="179"/>
      <c r="K116" s="178">
        <f t="shared" si="6"/>
        <v>245.14</v>
      </c>
    </row>
    <row r="117" spans="1:11" ht="15" customHeight="1" x14ac:dyDescent="0.25">
      <c r="A117" s="174" t="s">
        <v>345</v>
      </c>
      <c r="B117" s="181" t="s">
        <v>278</v>
      </c>
      <c r="C117" s="176" t="s">
        <v>334</v>
      </c>
      <c r="D117" s="177">
        <v>3650</v>
      </c>
      <c r="E117" s="178">
        <f t="shared" si="36"/>
        <v>693.5</v>
      </c>
      <c r="F117" s="179"/>
      <c r="G117" s="178">
        <f t="shared" si="2"/>
        <v>4343.5</v>
      </c>
      <c r="H117" s="180">
        <f t="shared" si="40"/>
        <v>3650</v>
      </c>
      <c r="I117" s="178">
        <f t="shared" si="4"/>
        <v>693.5</v>
      </c>
      <c r="J117" s="179"/>
      <c r="K117" s="178">
        <f t="shared" si="6"/>
        <v>4343.5</v>
      </c>
    </row>
    <row r="118" spans="1:11" ht="15" customHeight="1" x14ac:dyDescent="0.25">
      <c r="A118" s="183" t="s">
        <v>345</v>
      </c>
      <c r="B118" s="184" t="s">
        <v>371</v>
      </c>
      <c r="C118" s="185" t="s">
        <v>352</v>
      </c>
      <c r="D118" s="186">
        <v>4828</v>
      </c>
      <c r="E118" s="187">
        <f t="shared" si="36"/>
        <v>917.32</v>
      </c>
      <c r="F118" s="188"/>
      <c r="G118" s="187">
        <f t="shared" si="2"/>
        <v>5745.32</v>
      </c>
      <c r="H118" s="189">
        <f t="shared" si="40"/>
        <v>4828</v>
      </c>
      <c r="I118" s="187">
        <f t="shared" si="4"/>
        <v>917.32</v>
      </c>
      <c r="J118" s="188"/>
      <c r="K118" s="187">
        <f t="shared" si="6"/>
        <v>5745.32</v>
      </c>
    </row>
    <row r="119" spans="1:11" x14ac:dyDescent="0.25">
      <c r="A119" s="183" t="s">
        <v>345</v>
      </c>
      <c r="B119" s="184" t="s">
        <v>372</v>
      </c>
      <c r="C119" s="185" t="s">
        <v>346</v>
      </c>
      <c r="D119" s="186">
        <v>0</v>
      </c>
      <c r="E119" s="187">
        <f t="shared" si="36"/>
        <v>0</v>
      </c>
      <c r="F119" s="188"/>
      <c r="G119" s="187">
        <f t="shared" si="2"/>
        <v>0</v>
      </c>
      <c r="H119" s="189">
        <f t="shared" si="40"/>
        <v>0</v>
      </c>
      <c r="I119" s="187">
        <f t="shared" si="4"/>
        <v>0</v>
      </c>
      <c r="J119" s="188"/>
      <c r="K119" s="187">
        <f t="shared" si="6"/>
        <v>0</v>
      </c>
    </row>
    <row r="120" spans="1:11" ht="15" customHeight="1" x14ac:dyDescent="0.25">
      <c r="A120" s="183" t="s">
        <v>345</v>
      </c>
      <c r="B120" s="184" t="s">
        <v>373</v>
      </c>
      <c r="C120" s="185" t="s">
        <v>363</v>
      </c>
      <c r="D120" s="186">
        <v>3100</v>
      </c>
      <c r="E120" s="187">
        <f t="shared" si="36"/>
        <v>589</v>
      </c>
      <c r="F120" s="188"/>
      <c r="G120" s="187">
        <f t="shared" si="2"/>
        <v>3689</v>
      </c>
      <c r="H120" s="189">
        <f t="shared" si="40"/>
        <v>3100</v>
      </c>
      <c r="I120" s="187">
        <f t="shared" si="4"/>
        <v>589</v>
      </c>
      <c r="J120" s="188"/>
      <c r="K120" s="187">
        <f t="shared" si="6"/>
        <v>3689</v>
      </c>
    </row>
    <row r="121" spans="1:11" x14ac:dyDescent="0.25">
      <c r="A121" s="174" t="s">
        <v>345</v>
      </c>
      <c r="B121" s="181" t="s">
        <v>374</v>
      </c>
      <c r="C121" s="193" t="s">
        <v>317</v>
      </c>
      <c r="D121" s="177">
        <v>3270</v>
      </c>
      <c r="E121" s="178">
        <f t="shared" si="36"/>
        <v>621.29999999999995</v>
      </c>
      <c r="F121" s="179"/>
      <c r="G121" s="178">
        <f t="shared" si="2"/>
        <v>3891.3</v>
      </c>
      <c r="H121" s="180">
        <f>D121/800</f>
        <v>4.0875000000000004</v>
      </c>
      <c r="I121" s="178">
        <f t="shared" si="4"/>
        <v>0.77662500000000012</v>
      </c>
      <c r="J121" s="179"/>
      <c r="K121" s="178">
        <f t="shared" si="6"/>
        <v>4.8641250000000005</v>
      </c>
    </row>
    <row r="122" spans="1:11" x14ac:dyDescent="0.25">
      <c r="A122" s="183" t="s">
        <v>375</v>
      </c>
      <c r="B122" s="184" t="s">
        <v>104</v>
      </c>
      <c r="C122" s="73" t="s">
        <v>376</v>
      </c>
      <c r="D122" s="186">
        <v>1550</v>
      </c>
      <c r="E122" s="187">
        <f t="shared" si="36"/>
        <v>294.5</v>
      </c>
      <c r="F122" s="188"/>
      <c r="G122" s="187">
        <f t="shared" si="2"/>
        <v>1844.5</v>
      </c>
      <c r="H122" s="189">
        <f t="shared" ref="H122:H135" si="41">D122</f>
        <v>1550</v>
      </c>
      <c r="I122" s="187">
        <f t="shared" si="4"/>
        <v>294.5</v>
      </c>
      <c r="J122" s="188"/>
      <c r="K122" s="187">
        <f t="shared" si="6"/>
        <v>1844.5</v>
      </c>
    </row>
    <row r="123" spans="1:11" x14ac:dyDescent="0.25">
      <c r="A123" s="183" t="s">
        <v>375</v>
      </c>
      <c r="B123" s="184" t="s">
        <v>120</v>
      </c>
      <c r="C123" s="73"/>
      <c r="D123" s="186">
        <v>1700</v>
      </c>
      <c r="E123" s="187">
        <f t="shared" si="36"/>
        <v>323</v>
      </c>
      <c r="F123" s="188"/>
      <c r="G123" s="187">
        <f t="shared" si="2"/>
        <v>2023</v>
      </c>
      <c r="H123" s="189">
        <f t="shared" si="41"/>
        <v>1700</v>
      </c>
      <c r="I123" s="187">
        <f t="shared" si="4"/>
        <v>323</v>
      </c>
      <c r="J123" s="188"/>
      <c r="K123" s="187">
        <f t="shared" si="6"/>
        <v>2023</v>
      </c>
    </row>
    <row r="124" spans="1:11" x14ac:dyDescent="0.25">
      <c r="A124" s="183" t="s">
        <v>375</v>
      </c>
      <c r="B124" s="184" t="s">
        <v>105</v>
      </c>
      <c r="C124" s="73" t="s">
        <v>377</v>
      </c>
      <c r="D124" s="186">
        <v>3600</v>
      </c>
      <c r="E124" s="187">
        <f t="shared" si="36"/>
        <v>684</v>
      </c>
      <c r="F124" s="188"/>
      <c r="G124" s="187">
        <f t="shared" si="2"/>
        <v>4284</v>
      </c>
      <c r="H124" s="189">
        <f t="shared" si="41"/>
        <v>3600</v>
      </c>
      <c r="I124" s="187">
        <f t="shared" si="4"/>
        <v>684</v>
      </c>
      <c r="J124" s="188"/>
      <c r="K124" s="187">
        <f t="shared" si="6"/>
        <v>4284</v>
      </c>
    </row>
    <row r="125" spans="1:11" x14ac:dyDescent="0.25">
      <c r="A125" s="183" t="s">
        <v>375</v>
      </c>
      <c r="B125" s="184" t="s">
        <v>106</v>
      </c>
      <c r="C125" s="73" t="s">
        <v>377</v>
      </c>
      <c r="D125" s="186">
        <v>3900</v>
      </c>
      <c r="E125" s="187">
        <f t="shared" si="36"/>
        <v>741</v>
      </c>
      <c r="F125" s="188"/>
      <c r="G125" s="187">
        <f t="shared" si="2"/>
        <v>4641</v>
      </c>
      <c r="H125" s="189">
        <f t="shared" si="41"/>
        <v>3900</v>
      </c>
      <c r="I125" s="187">
        <f t="shared" si="4"/>
        <v>741</v>
      </c>
      <c r="J125" s="188"/>
      <c r="K125" s="187">
        <f t="shared" si="6"/>
        <v>4641</v>
      </c>
    </row>
    <row r="126" spans="1:11" x14ac:dyDescent="0.25">
      <c r="A126" s="183" t="s">
        <v>375</v>
      </c>
      <c r="B126" s="184" t="s">
        <v>378</v>
      </c>
      <c r="C126" s="73"/>
      <c r="D126" s="186">
        <v>750</v>
      </c>
      <c r="E126" s="187">
        <f t="shared" si="36"/>
        <v>142.5</v>
      </c>
      <c r="F126" s="188"/>
      <c r="G126" s="187">
        <f t="shared" si="2"/>
        <v>892.5</v>
      </c>
      <c r="H126" s="189">
        <f t="shared" si="41"/>
        <v>750</v>
      </c>
      <c r="I126" s="187">
        <f t="shared" si="4"/>
        <v>142.5</v>
      </c>
      <c r="J126" s="188"/>
      <c r="K126" s="187">
        <f t="shared" si="6"/>
        <v>892.5</v>
      </c>
    </row>
    <row r="127" spans="1:11" ht="15" customHeight="1" x14ac:dyDescent="0.25">
      <c r="A127" s="183" t="s">
        <v>375</v>
      </c>
      <c r="B127" s="184" t="s">
        <v>379</v>
      </c>
      <c r="C127" s="73"/>
      <c r="D127" s="186">
        <v>54</v>
      </c>
      <c r="E127" s="187">
        <f t="shared" si="36"/>
        <v>10.26</v>
      </c>
      <c r="F127" s="188"/>
      <c r="G127" s="187">
        <f t="shared" si="2"/>
        <v>64.260000000000005</v>
      </c>
      <c r="H127" s="189">
        <f t="shared" si="41"/>
        <v>54</v>
      </c>
      <c r="I127" s="187">
        <f t="shared" si="4"/>
        <v>10.26</v>
      </c>
      <c r="J127" s="188"/>
      <c r="K127" s="187">
        <f t="shared" si="6"/>
        <v>64.260000000000005</v>
      </c>
    </row>
    <row r="128" spans="1:11" x14ac:dyDescent="0.25">
      <c r="A128" s="183" t="s">
        <v>375</v>
      </c>
      <c r="B128" s="184" t="s">
        <v>380</v>
      </c>
      <c r="C128" s="73"/>
      <c r="D128" s="186">
        <v>5400</v>
      </c>
      <c r="E128" s="187">
        <f t="shared" si="36"/>
        <v>1026</v>
      </c>
      <c r="F128" s="188"/>
      <c r="G128" s="187">
        <f t="shared" si="2"/>
        <v>6426</v>
      </c>
      <c r="H128" s="189">
        <f t="shared" si="41"/>
        <v>5400</v>
      </c>
      <c r="I128" s="187">
        <f t="shared" si="4"/>
        <v>1026</v>
      </c>
      <c r="J128" s="188"/>
      <c r="K128" s="187">
        <f t="shared" si="6"/>
        <v>6426</v>
      </c>
    </row>
    <row r="129" spans="1:11" x14ac:dyDescent="0.25">
      <c r="A129" s="183" t="s">
        <v>375</v>
      </c>
      <c r="B129" s="184" t="s">
        <v>180</v>
      </c>
      <c r="C129" s="73" t="s">
        <v>376</v>
      </c>
      <c r="D129" s="186">
        <v>240</v>
      </c>
      <c r="E129" s="187">
        <f t="shared" si="36"/>
        <v>45.6</v>
      </c>
      <c r="F129" s="188"/>
      <c r="G129" s="187">
        <f t="shared" si="2"/>
        <v>285.60000000000002</v>
      </c>
      <c r="H129" s="189">
        <f t="shared" si="41"/>
        <v>240</v>
      </c>
      <c r="I129" s="187">
        <f t="shared" si="4"/>
        <v>45.6</v>
      </c>
      <c r="J129" s="188"/>
      <c r="K129" s="187">
        <f t="shared" si="6"/>
        <v>285.60000000000002</v>
      </c>
    </row>
    <row r="130" spans="1:11" x14ac:dyDescent="0.25">
      <c r="A130" s="183" t="s">
        <v>375</v>
      </c>
      <c r="B130" s="184" t="s">
        <v>381</v>
      </c>
      <c r="C130" s="73" t="s">
        <v>376</v>
      </c>
      <c r="D130" s="186">
        <v>3550</v>
      </c>
      <c r="E130" s="187">
        <f t="shared" si="36"/>
        <v>674.5</v>
      </c>
      <c r="F130" s="188"/>
      <c r="G130" s="187">
        <f t="shared" si="2"/>
        <v>4224.5</v>
      </c>
      <c r="H130" s="189">
        <f t="shared" si="41"/>
        <v>3550</v>
      </c>
      <c r="I130" s="187">
        <f t="shared" si="4"/>
        <v>674.5</v>
      </c>
      <c r="J130" s="188"/>
      <c r="K130" s="187">
        <f t="shared" si="6"/>
        <v>4224.5</v>
      </c>
    </row>
    <row r="131" spans="1:11" x14ac:dyDescent="0.25">
      <c r="A131" s="183" t="s">
        <v>375</v>
      </c>
      <c r="B131" s="184" t="s">
        <v>382</v>
      </c>
      <c r="C131" s="73"/>
      <c r="D131" s="186">
        <v>890</v>
      </c>
      <c r="E131" s="187">
        <f t="shared" si="36"/>
        <v>169.1</v>
      </c>
      <c r="F131" s="188"/>
      <c r="G131" s="187">
        <f t="shared" si="2"/>
        <v>1059.0999999999999</v>
      </c>
      <c r="H131" s="189">
        <f t="shared" si="41"/>
        <v>890</v>
      </c>
      <c r="I131" s="187">
        <f t="shared" si="4"/>
        <v>169.1</v>
      </c>
      <c r="J131" s="188"/>
      <c r="K131" s="187">
        <f t="shared" si="6"/>
        <v>1059.0999999999999</v>
      </c>
    </row>
    <row r="132" spans="1:11" ht="15" customHeight="1" x14ac:dyDescent="0.25">
      <c r="A132" s="183" t="s">
        <v>375</v>
      </c>
      <c r="B132" s="184" t="s">
        <v>122</v>
      </c>
      <c r="C132" s="73"/>
      <c r="D132" s="186">
        <v>2</v>
      </c>
      <c r="E132" s="187">
        <f t="shared" si="36"/>
        <v>0.38</v>
      </c>
      <c r="F132" s="188"/>
      <c r="G132" s="187">
        <f t="shared" si="2"/>
        <v>2.38</v>
      </c>
      <c r="H132" s="189">
        <f t="shared" si="41"/>
        <v>2</v>
      </c>
      <c r="I132" s="187">
        <f t="shared" si="4"/>
        <v>0.38</v>
      </c>
      <c r="J132" s="188"/>
      <c r="K132" s="187">
        <f t="shared" si="6"/>
        <v>2.38</v>
      </c>
    </row>
    <row r="133" spans="1:11" x14ac:dyDescent="0.25">
      <c r="A133" s="183" t="s">
        <v>375</v>
      </c>
      <c r="B133" s="184" t="s">
        <v>123</v>
      </c>
      <c r="C133" s="73"/>
      <c r="D133" s="186">
        <v>2</v>
      </c>
      <c r="E133" s="187">
        <f t="shared" si="36"/>
        <v>0.38</v>
      </c>
      <c r="F133" s="188"/>
      <c r="G133" s="187">
        <f t="shared" si="2"/>
        <v>2.38</v>
      </c>
      <c r="H133" s="189">
        <f t="shared" si="41"/>
        <v>2</v>
      </c>
      <c r="I133" s="187">
        <f t="shared" si="4"/>
        <v>0.38</v>
      </c>
      <c r="J133" s="188"/>
      <c r="K133" s="187">
        <f t="shared" si="6"/>
        <v>2.38</v>
      </c>
    </row>
    <row r="134" spans="1:11" x14ac:dyDescent="0.25">
      <c r="A134" s="183" t="s">
        <v>375</v>
      </c>
      <c r="B134" s="184" t="s">
        <v>383</v>
      </c>
      <c r="C134" s="73"/>
      <c r="D134" s="186"/>
      <c r="E134" s="187">
        <f t="shared" si="36"/>
        <v>0</v>
      </c>
      <c r="F134" s="188"/>
      <c r="G134" s="187">
        <f t="shared" si="2"/>
        <v>0</v>
      </c>
      <c r="H134" s="189">
        <f t="shared" si="41"/>
        <v>0</v>
      </c>
      <c r="I134" s="187">
        <f t="shared" si="4"/>
        <v>0</v>
      </c>
      <c r="J134" s="188"/>
      <c r="K134" s="187">
        <f t="shared" si="6"/>
        <v>0</v>
      </c>
    </row>
    <row r="135" spans="1:11" x14ac:dyDescent="0.25">
      <c r="A135" s="183" t="s">
        <v>375</v>
      </c>
      <c r="B135" s="184" t="s">
        <v>384</v>
      </c>
      <c r="C135" s="73" t="s">
        <v>376</v>
      </c>
      <c r="D135" s="186">
        <v>3750</v>
      </c>
      <c r="E135" s="187">
        <f t="shared" si="36"/>
        <v>712.5</v>
      </c>
      <c r="F135" s="188"/>
      <c r="G135" s="187">
        <f t="shared" si="2"/>
        <v>4462.5</v>
      </c>
      <c r="H135" s="189">
        <f t="shared" si="41"/>
        <v>3750</v>
      </c>
      <c r="I135" s="187">
        <f t="shared" si="4"/>
        <v>712.5</v>
      </c>
      <c r="J135" s="188"/>
      <c r="K135" s="187">
        <f t="shared" si="6"/>
        <v>4462.5</v>
      </c>
    </row>
    <row r="136" spans="1:11" x14ac:dyDescent="0.25">
      <c r="A136" s="183" t="s">
        <v>375</v>
      </c>
      <c r="B136" s="194" t="s">
        <v>125</v>
      </c>
      <c r="C136" s="73" t="s">
        <v>346</v>
      </c>
      <c r="D136" s="186">
        <v>188</v>
      </c>
      <c r="E136" s="187">
        <f t="shared" si="36"/>
        <v>35.72</v>
      </c>
      <c r="F136" s="188"/>
      <c r="G136" s="187">
        <f t="shared" si="2"/>
        <v>223.72</v>
      </c>
      <c r="H136" s="189">
        <f>D136/30</f>
        <v>6.2666666666666666</v>
      </c>
      <c r="I136" s="187">
        <f t="shared" si="4"/>
        <v>1.1906666666666668</v>
      </c>
      <c r="J136" s="188"/>
      <c r="K136" s="187">
        <f t="shared" si="6"/>
        <v>7.4573333333333336</v>
      </c>
    </row>
    <row r="137" spans="1:11" x14ac:dyDescent="0.25">
      <c r="A137" s="183" t="s">
        <v>375</v>
      </c>
      <c r="B137" s="194" t="s">
        <v>126</v>
      </c>
      <c r="C137" s="73" t="s">
        <v>353</v>
      </c>
      <c r="D137" s="186">
        <v>1</v>
      </c>
      <c r="E137" s="187">
        <f t="shared" si="36"/>
        <v>0.19</v>
      </c>
      <c r="F137" s="188"/>
      <c r="G137" s="187">
        <f t="shared" si="2"/>
        <v>1.19</v>
      </c>
      <c r="H137" s="189">
        <f t="shared" ref="H137:H163" si="42">D137</f>
        <v>1</v>
      </c>
      <c r="I137" s="187">
        <f t="shared" si="4"/>
        <v>0.19</v>
      </c>
      <c r="J137" s="188"/>
      <c r="K137" s="187">
        <f t="shared" si="6"/>
        <v>1.19</v>
      </c>
    </row>
    <row r="138" spans="1:11" x14ac:dyDescent="0.25">
      <c r="A138" s="183" t="s">
        <v>375</v>
      </c>
      <c r="B138" s="184" t="s">
        <v>385</v>
      </c>
      <c r="C138" s="73" t="s">
        <v>386</v>
      </c>
      <c r="D138" s="186">
        <v>2500</v>
      </c>
      <c r="E138" s="187">
        <f t="shared" si="36"/>
        <v>475</v>
      </c>
      <c r="F138" s="188"/>
      <c r="G138" s="187">
        <f t="shared" si="2"/>
        <v>2975</v>
      </c>
      <c r="H138" s="189">
        <f t="shared" si="42"/>
        <v>2500</v>
      </c>
      <c r="I138" s="187">
        <f t="shared" si="4"/>
        <v>475</v>
      </c>
      <c r="J138" s="188"/>
      <c r="K138" s="187">
        <f t="shared" si="6"/>
        <v>2975</v>
      </c>
    </row>
    <row r="139" spans="1:11" x14ac:dyDescent="0.25">
      <c r="A139" s="183" t="s">
        <v>375</v>
      </c>
      <c r="B139" s="184" t="s">
        <v>108</v>
      </c>
      <c r="C139" s="73"/>
      <c r="D139" s="186"/>
      <c r="E139" s="187">
        <f t="shared" si="36"/>
        <v>0</v>
      </c>
      <c r="F139" s="188"/>
      <c r="G139" s="187">
        <f t="shared" si="2"/>
        <v>0</v>
      </c>
      <c r="H139" s="189">
        <f t="shared" si="42"/>
        <v>0</v>
      </c>
      <c r="I139" s="187">
        <f t="shared" si="4"/>
        <v>0</v>
      </c>
      <c r="J139" s="188"/>
      <c r="K139" s="187">
        <f t="shared" si="6"/>
        <v>0</v>
      </c>
    </row>
    <row r="140" spans="1:11" x14ac:dyDescent="0.25">
      <c r="A140" s="183" t="s">
        <v>375</v>
      </c>
      <c r="B140" s="184" t="s">
        <v>387</v>
      </c>
      <c r="C140" s="73"/>
      <c r="D140" s="186"/>
      <c r="E140" s="187">
        <f t="shared" si="36"/>
        <v>0</v>
      </c>
      <c r="F140" s="188"/>
      <c r="G140" s="187">
        <f t="shared" si="2"/>
        <v>0</v>
      </c>
      <c r="H140" s="189">
        <f t="shared" si="42"/>
        <v>0</v>
      </c>
      <c r="I140" s="187">
        <f t="shared" si="4"/>
        <v>0</v>
      </c>
      <c r="J140" s="188"/>
      <c r="K140" s="187">
        <f t="shared" si="6"/>
        <v>0</v>
      </c>
    </row>
    <row r="141" spans="1:11" x14ac:dyDescent="0.25">
      <c r="A141" s="183" t="s">
        <v>375</v>
      </c>
      <c r="B141" s="184" t="s">
        <v>119</v>
      </c>
      <c r="C141" s="73"/>
      <c r="D141" s="186"/>
      <c r="E141" s="187">
        <f t="shared" si="36"/>
        <v>0</v>
      </c>
      <c r="F141" s="188"/>
      <c r="G141" s="187">
        <f t="shared" si="2"/>
        <v>0</v>
      </c>
      <c r="H141" s="189">
        <f t="shared" si="42"/>
        <v>0</v>
      </c>
      <c r="I141" s="187">
        <f t="shared" si="4"/>
        <v>0</v>
      </c>
      <c r="J141" s="188"/>
      <c r="K141" s="187">
        <f t="shared" si="6"/>
        <v>0</v>
      </c>
    </row>
    <row r="142" spans="1:11" x14ac:dyDescent="0.25">
      <c r="A142" s="183" t="s">
        <v>375</v>
      </c>
      <c r="B142" s="184" t="s">
        <v>388</v>
      </c>
      <c r="C142" s="73" t="s">
        <v>377</v>
      </c>
      <c r="D142" s="186">
        <v>1200</v>
      </c>
      <c r="E142" s="187">
        <f t="shared" si="36"/>
        <v>228</v>
      </c>
      <c r="F142" s="188"/>
      <c r="G142" s="187">
        <f t="shared" si="2"/>
        <v>1428</v>
      </c>
      <c r="H142" s="189">
        <f t="shared" si="42"/>
        <v>1200</v>
      </c>
      <c r="I142" s="187">
        <f t="shared" si="4"/>
        <v>228</v>
      </c>
      <c r="J142" s="188"/>
      <c r="K142" s="187">
        <f t="shared" si="6"/>
        <v>1428</v>
      </c>
    </row>
    <row r="143" spans="1:11" x14ac:dyDescent="0.25">
      <c r="A143" s="183" t="s">
        <v>375</v>
      </c>
      <c r="B143" s="184" t="s">
        <v>109</v>
      </c>
      <c r="C143" s="185" t="s">
        <v>376</v>
      </c>
      <c r="D143" s="186">
        <v>14376</v>
      </c>
      <c r="E143" s="187">
        <f t="shared" si="36"/>
        <v>2731.44</v>
      </c>
      <c r="F143" s="188"/>
      <c r="G143" s="187">
        <f t="shared" si="2"/>
        <v>17107.439999999999</v>
      </c>
      <c r="H143" s="189">
        <f t="shared" si="42"/>
        <v>14376</v>
      </c>
      <c r="I143" s="187">
        <f t="shared" si="4"/>
        <v>2731.44</v>
      </c>
      <c r="J143" s="188"/>
      <c r="K143" s="187">
        <f t="shared" si="6"/>
        <v>17107.439999999999</v>
      </c>
    </row>
    <row r="144" spans="1:11" x14ac:dyDescent="0.25">
      <c r="A144" s="183" t="s">
        <v>375</v>
      </c>
      <c r="B144" s="184" t="s">
        <v>389</v>
      </c>
      <c r="C144" s="185"/>
      <c r="D144" s="186"/>
      <c r="E144" s="187">
        <f t="shared" si="36"/>
        <v>0</v>
      </c>
      <c r="F144" s="188"/>
      <c r="G144" s="187">
        <f t="shared" si="2"/>
        <v>0</v>
      </c>
      <c r="H144" s="189">
        <f t="shared" si="42"/>
        <v>0</v>
      </c>
      <c r="I144" s="187">
        <f t="shared" si="4"/>
        <v>0</v>
      </c>
      <c r="J144" s="188"/>
      <c r="K144" s="187">
        <f t="shared" si="6"/>
        <v>0</v>
      </c>
    </row>
    <row r="145" spans="1:11" x14ac:dyDescent="0.25">
      <c r="A145" s="183" t="s">
        <v>375</v>
      </c>
      <c r="B145" s="184" t="s">
        <v>390</v>
      </c>
      <c r="C145" s="185" t="s">
        <v>376</v>
      </c>
      <c r="D145" s="186">
        <v>3200</v>
      </c>
      <c r="E145" s="187">
        <f t="shared" si="36"/>
        <v>608</v>
      </c>
      <c r="F145" s="188"/>
      <c r="G145" s="187">
        <f t="shared" si="2"/>
        <v>3808</v>
      </c>
      <c r="H145" s="189">
        <f t="shared" si="42"/>
        <v>3200</v>
      </c>
      <c r="I145" s="187">
        <f t="shared" si="4"/>
        <v>608</v>
      </c>
      <c r="J145" s="188"/>
      <c r="K145" s="187">
        <f t="shared" si="6"/>
        <v>3808</v>
      </c>
    </row>
    <row r="146" spans="1:11" x14ac:dyDescent="0.25">
      <c r="A146" s="183" t="s">
        <v>375</v>
      </c>
      <c r="B146" s="184" t="s">
        <v>391</v>
      </c>
      <c r="C146" s="185"/>
      <c r="D146" s="186"/>
      <c r="E146" s="187">
        <f t="shared" si="36"/>
        <v>0</v>
      </c>
      <c r="F146" s="188"/>
      <c r="G146" s="187">
        <f t="shared" si="2"/>
        <v>0</v>
      </c>
      <c r="H146" s="189">
        <f t="shared" si="42"/>
        <v>0</v>
      </c>
      <c r="I146" s="187">
        <f t="shared" si="4"/>
        <v>0</v>
      </c>
      <c r="J146" s="188"/>
      <c r="K146" s="187">
        <f t="shared" si="6"/>
        <v>0</v>
      </c>
    </row>
    <row r="147" spans="1:11" x14ac:dyDescent="0.25">
      <c r="A147" s="183" t="s">
        <v>375</v>
      </c>
      <c r="B147" s="184" t="s">
        <v>392</v>
      </c>
      <c r="C147" s="185"/>
      <c r="D147" s="186">
        <v>1</v>
      </c>
      <c r="E147" s="187">
        <f t="shared" si="36"/>
        <v>0.19</v>
      </c>
      <c r="F147" s="188"/>
      <c r="G147" s="187">
        <f t="shared" si="2"/>
        <v>1.19</v>
      </c>
      <c r="H147" s="189">
        <f t="shared" si="42"/>
        <v>1</v>
      </c>
      <c r="I147" s="187">
        <f t="shared" si="4"/>
        <v>0.19</v>
      </c>
      <c r="J147" s="188"/>
      <c r="K147" s="187">
        <f t="shared" si="6"/>
        <v>1.19</v>
      </c>
    </row>
    <row r="148" spans="1:11" x14ac:dyDescent="0.25">
      <c r="A148" s="183" t="s">
        <v>375</v>
      </c>
      <c r="B148" s="184" t="s">
        <v>393</v>
      </c>
      <c r="C148" s="185"/>
      <c r="D148" s="186"/>
      <c r="E148" s="187">
        <f t="shared" si="36"/>
        <v>0</v>
      </c>
      <c r="F148" s="188"/>
      <c r="G148" s="187">
        <f t="shared" si="2"/>
        <v>0</v>
      </c>
      <c r="H148" s="189">
        <f t="shared" si="42"/>
        <v>0</v>
      </c>
      <c r="I148" s="187">
        <f t="shared" si="4"/>
        <v>0</v>
      </c>
      <c r="J148" s="188"/>
      <c r="K148" s="187">
        <f t="shared" si="6"/>
        <v>0</v>
      </c>
    </row>
    <row r="149" spans="1:11" x14ac:dyDescent="0.25">
      <c r="A149" s="183" t="s">
        <v>375</v>
      </c>
      <c r="B149" s="184" t="s">
        <v>394</v>
      </c>
      <c r="C149" s="185"/>
      <c r="D149" s="186"/>
      <c r="E149" s="187">
        <f t="shared" si="36"/>
        <v>0</v>
      </c>
      <c r="F149" s="188"/>
      <c r="G149" s="187">
        <f t="shared" si="2"/>
        <v>0</v>
      </c>
      <c r="H149" s="189">
        <f t="shared" si="42"/>
        <v>0</v>
      </c>
      <c r="I149" s="187">
        <f t="shared" si="4"/>
        <v>0</v>
      </c>
      <c r="J149" s="188"/>
      <c r="K149" s="187">
        <f t="shared" si="6"/>
        <v>0</v>
      </c>
    </row>
    <row r="150" spans="1:11" x14ac:dyDescent="0.25">
      <c r="A150" s="183" t="s">
        <v>375</v>
      </c>
      <c r="B150" s="184" t="s">
        <v>395</v>
      </c>
      <c r="C150" s="185"/>
      <c r="D150" s="186"/>
      <c r="E150" s="187">
        <f t="shared" si="36"/>
        <v>0</v>
      </c>
      <c r="F150" s="188"/>
      <c r="G150" s="187">
        <f t="shared" si="2"/>
        <v>0</v>
      </c>
      <c r="H150" s="189">
        <f t="shared" si="42"/>
        <v>0</v>
      </c>
      <c r="I150" s="187">
        <f t="shared" si="4"/>
        <v>0</v>
      </c>
      <c r="J150" s="188"/>
      <c r="K150" s="187">
        <f t="shared" si="6"/>
        <v>0</v>
      </c>
    </row>
    <row r="151" spans="1:11" x14ac:dyDescent="0.25">
      <c r="A151" s="183" t="s">
        <v>375</v>
      </c>
      <c r="B151" s="184" t="s">
        <v>396</v>
      </c>
      <c r="C151" s="185"/>
      <c r="D151" s="186">
        <v>38</v>
      </c>
      <c r="E151" s="187">
        <f t="shared" si="36"/>
        <v>7.22</v>
      </c>
      <c r="F151" s="188"/>
      <c r="G151" s="187">
        <f t="shared" si="2"/>
        <v>45.22</v>
      </c>
      <c r="H151" s="189">
        <f t="shared" si="42"/>
        <v>38</v>
      </c>
      <c r="I151" s="187">
        <f t="shared" si="4"/>
        <v>7.22</v>
      </c>
      <c r="J151" s="188"/>
      <c r="K151" s="187">
        <f t="shared" si="6"/>
        <v>45.22</v>
      </c>
    </row>
    <row r="152" spans="1:11" x14ac:dyDescent="0.25">
      <c r="A152" s="183" t="s">
        <v>375</v>
      </c>
      <c r="B152" s="184" t="s">
        <v>397</v>
      </c>
      <c r="C152" s="185" t="s">
        <v>352</v>
      </c>
      <c r="D152" s="186"/>
      <c r="E152" s="187">
        <f t="shared" si="36"/>
        <v>0</v>
      </c>
      <c r="F152" s="188"/>
      <c r="G152" s="187">
        <f t="shared" si="2"/>
        <v>0</v>
      </c>
      <c r="H152" s="189">
        <f t="shared" si="42"/>
        <v>0</v>
      </c>
      <c r="I152" s="187">
        <f t="shared" si="4"/>
        <v>0</v>
      </c>
      <c r="J152" s="188"/>
      <c r="K152" s="187">
        <f t="shared" si="6"/>
        <v>0</v>
      </c>
    </row>
    <row r="153" spans="1:11" x14ac:dyDescent="0.25">
      <c r="A153" s="183" t="s">
        <v>375</v>
      </c>
      <c r="B153" s="184" t="s">
        <v>398</v>
      </c>
      <c r="C153" s="185"/>
      <c r="D153" s="186">
        <v>10.86</v>
      </c>
      <c r="E153" s="187">
        <f t="shared" si="36"/>
        <v>2.0634000000000001</v>
      </c>
      <c r="F153" s="188"/>
      <c r="G153" s="187">
        <f t="shared" si="2"/>
        <v>12.923399999999999</v>
      </c>
      <c r="H153" s="189">
        <f t="shared" si="42"/>
        <v>10.86</v>
      </c>
      <c r="I153" s="187">
        <f t="shared" si="4"/>
        <v>2.0634000000000001</v>
      </c>
      <c r="J153" s="188"/>
      <c r="K153" s="187">
        <f t="shared" si="6"/>
        <v>12.923399999999999</v>
      </c>
    </row>
    <row r="154" spans="1:11" x14ac:dyDescent="0.25">
      <c r="A154" s="183" t="s">
        <v>375</v>
      </c>
      <c r="B154" s="184" t="s">
        <v>399</v>
      </c>
      <c r="C154" s="185" t="s">
        <v>376</v>
      </c>
      <c r="D154" s="186">
        <v>85</v>
      </c>
      <c r="E154" s="187">
        <f t="shared" si="36"/>
        <v>16.149999999999999</v>
      </c>
      <c r="F154" s="188"/>
      <c r="G154" s="187">
        <f t="shared" si="2"/>
        <v>101.15</v>
      </c>
      <c r="H154" s="189">
        <f t="shared" si="42"/>
        <v>85</v>
      </c>
      <c r="I154" s="187">
        <f t="shared" si="4"/>
        <v>16.149999999999999</v>
      </c>
      <c r="J154" s="188"/>
      <c r="K154" s="187">
        <f t="shared" si="6"/>
        <v>101.15</v>
      </c>
    </row>
    <row r="155" spans="1:11" x14ac:dyDescent="0.25">
      <c r="A155" s="183" t="s">
        <v>375</v>
      </c>
      <c r="B155" s="184" t="s">
        <v>400</v>
      </c>
      <c r="C155" s="185"/>
      <c r="D155" s="186"/>
      <c r="E155" s="187">
        <f t="shared" si="36"/>
        <v>0</v>
      </c>
      <c r="F155" s="188"/>
      <c r="G155" s="187">
        <f t="shared" si="2"/>
        <v>0</v>
      </c>
      <c r="H155" s="189">
        <f t="shared" si="42"/>
        <v>0</v>
      </c>
      <c r="I155" s="187">
        <f t="shared" si="4"/>
        <v>0</v>
      </c>
      <c r="J155" s="188"/>
      <c r="K155" s="187">
        <f t="shared" si="6"/>
        <v>0</v>
      </c>
    </row>
    <row r="156" spans="1:11" x14ac:dyDescent="0.25">
      <c r="A156" s="183" t="s">
        <v>375</v>
      </c>
      <c r="B156" s="184" t="s">
        <v>401</v>
      </c>
      <c r="C156" s="185"/>
      <c r="D156" s="186">
        <v>1050</v>
      </c>
      <c r="E156" s="187">
        <f t="shared" si="36"/>
        <v>199.5</v>
      </c>
      <c r="F156" s="188"/>
      <c r="G156" s="187">
        <f t="shared" si="2"/>
        <v>1249.5</v>
      </c>
      <c r="H156" s="189">
        <f t="shared" si="42"/>
        <v>1050</v>
      </c>
      <c r="I156" s="187">
        <f t="shared" si="4"/>
        <v>199.5</v>
      </c>
      <c r="J156" s="188"/>
      <c r="K156" s="187">
        <f t="shared" si="6"/>
        <v>1249.5</v>
      </c>
    </row>
    <row r="157" spans="1:11" x14ac:dyDescent="0.25">
      <c r="A157" s="183" t="s">
        <v>375</v>
      </c>
      <c r="B157" s="184" t="s">
        <v>402</v>
      </c>
      <c r="C157" s="185"/>
      <c r="D157" s="186">
        <v>21.5</v>
      </c>
      <c r="E157" s="187">
        <f t="shared" si="36"/>
        <v>4.085</v>
      </c>
      <c r="F157" s="188"/>
      <c r="G157" s="187">
        <f t="shared" si="2"/>
        <v>25.585000000000001</v>
      </c>
      <c r="H157" s="189">
        <f t="shared" si="42"/>
        <v>21.5</v>
      </c>
      <c r="I157" s="187">
        <f t="shared" si="4"/>
        <v>4.085</v>
      </c>
      <c r="J157" s="188"/>
      <c r="K157" s="187">
        <f t="shared" si="6"/>
        <v>25.585000000000001</v>
      </c>
    </row>
    <row r="158" spans="1:11" ht="15" customHeight="1" x14ac:dyDescent="0.25">
      <c r="A158" s="183" t="s">
        <v>375</v>
      </c>
      <c r="B158" s="184" t="s">
        <v>403</v>
      </c>
      <c r="C158" s="185" t="s">
        <v>376</v>
      </c>
      <c r="D158" s="186">
        <v>3950</v>
      </c>
      <c r="E158" s="187">
        <f t="shared" si="36"/>
        <v>750.5</v>
      </c>
      <c r="F158" s="188"/>
      <c r="G158" s="187">
        <f t="shared" si="2"/>
        <v>4700.5</v>
      </c>
      <c r="H158" s="189">
        <f t="shared" si="42"/>
        <v>3950</v>
      </c>
      <c r="I158" s="187">
        <f t="shared" si="4"/>
        <v>750.5</v>
      </c>
      <c r="J158" s="188"/>
      <c r="K158" s="187">
        <f t="shared" si="6"/>
        <v>4700.5</v>
      </c>
    </row>
    <row r="159" spans="1:11" ht="15" customHeight="1" x14ac:dyDescent="0.25">
      <c r="A159" s="183" t="s">
        <v>375</v>
      </c>
      <c r="B159" s="184" t="s">
        <v>404</v>
      </c>
      <c r="C159" s="185"/>
      <c r="D159" s="186"/>
      <c r="E159" s="187">
        <f t="shared" si="36"/>
        <v>0</v>
      </c>
      <c r="F159" s="188"/>
      <c r="G159" s="187">
        <f t="shared" si="2"/>
        <v>0</v>
      </c>
      <c r="H159" s="189">
        <f t="shared" si="42"/>
        <v>0</v>
      </c>
      <c r="I159" s="187">
        <f t="shared" si="4"/>
        <v>0</v>
      </c>
      <c r="J159" s="188"/>
      <c r="K159" s="187">
        <f t="shared" si="6"/>
        <v>0</v>
      </c>
    </row>
    <row r="160" spans="1:11" x14ac:dyDescent="0.25">
      <c r="A160" s="183" t="s">
        <v>375</v>
      </c>
      <c r="B160" s="184" t="s">
        <v>405</v>
      </c>
      <c r="C160" s="185"/>
      <c r="D160" s="186">
        <v>910</v>
      </c>
      <c r="E160" s="187">
        <f t="shared" si="36"/>
        <v>172.9</v>
      </c>
      <c r="F160" s="188"/>
      <c r="G160" s="187">
        <f t="shared" si="2"/>
        <v>1082.9000000000001</v>
      </c>
      <c r="H160" s="189">
        <f t="shared" si="42"/>
        <v>910</v>
      </c>
      <c r="I160" s="187">
        <f t="shared" si="4"/>
        <v>172.9</v>
      </c>
      <c r="J160" s="188"/>
      <c r="K160" s="187">
        <f t="shared" si="6"/>
        <v>1082.9000000000001</v>
      </c>
    </row>
    <row r="161" spans="1:11" x14ac:dyDescent="0.25">
      <c r="A161" s="183" t="s">
        <v>375</v>
      </c>
      <c r="B161" s="184" t="s">
        <v>406</v>
      </c>
      <c r="C161" s="185" t="s">
        <v>376</v>
      </c>
      <c r="D161" s="186">
        <v>22000</v>
      </c>
      <c r="E161" s="187">
        <f t="shared" si="36"/>
        <v>4180</v>
      </c>
      <c r="F161" s="188"/>
      <c r="G161" s="187">
        <f t="shared" si="2"/>
        <v>26180</v>
      </c>
      <c r="H161" s="189">
        <f t="shared" si="42"/>
        <v>22000</v>
      </c>
      <c r="I161" s="187">
        <f t="shared" si="4"/>
        <v>4180</v>
      </c>
      <c r="J161" s="188"/>
      <c r="K161" s="187">
        <f t="shared" si="6"/>
        <v>26180</v>
      </c>
    </row>
    <row r="162" spans="1:11" x14ac:dyDescent="0.25">
      <c r="A162" s="183" t="s">
        <v>375</v>
      </c>
      <c r="B162" s="184" t="s">
        <v>114</v>
      </c>
      <c r="C162" s="185" t="s">
        <v>377</v>
      </c>
      <c r="D162" s="186">
        <v>2990</v>
      </c>
      <c r="E162" s="187">
        <f t="shared" si="36"/>
        <v>568.1</v>
      </c>
      <c r="F162" s="188"/>
      <c r="G162" s="187">
        <f t="shared" si="2"/>
        <v>3558.1</v>
      </c>
      <c r="H162" s="189">
        <f t="shared" si="42"/>
        <v>2990</v>
      </c>
      <c r="I162" s="187">
        <f t="shared" si="4"/>
        <v>568.1</v>
      </c>
      <c r="J162" s="188"/>
      <c r="K162" s="187">
        <f t="shared" si="6"/>
        <v>3558.1</v>
      </c>
    </row>
    <row r="163" spans="1:11" x14ac:dyDescent="0.25">
      <c r="A163" s="183" t="s">
        <v>375</v>
      </c>
      <c r="B163" s="184" t="s">
        <v>258</v>
      </c>
      <c r="C163" s="185"/>
      <c r="D163" s="186">
        <v>276</v>
      </c>
      <c r="E163" s="187">
        <f t="shared" si="36"/>
        <v>52.44</v>
      </c>
      <c r="F163" s="188"/>
      <c r="G163" s="187">
        <f t="shared" si="2"/>
        <v>328.44</v>
      </c>
      <c r="H163" s="189">
        <f t="shared" si="42"/>
        <v>276</v>
      </c>
      <c r="I163" s="187">
        <f t="shared" si="4"/>
        <v>52.44</v>
      </c>
      <c r="J163" s="188"/>
      <c r="K163" s="187">
        <f t="shared" si="6"/>
        <v>328.44</v>
      </c>
    </row>
    <row r="164" spans="1:11" x14ac:dyDescent="0.25">
      <c r="A164" s="183" t="s">
        <v>375</v>
      </c>
      <c r="B164" s="184" t="s">
        <v>131</v>
      </c>
      <c r="C164" s="185"/>
      <c r="D164" s="186">
        <v>2900</v>
      </c>
      <c r="E164" s="187">
        <f t="shared" si="36"/>
        <v>551</v>
      </c>
      <c r="F164" s="188"/>
      <c r="G164" s="187">
        <f t="shared" si="2"/>
        <v>3451</v>
      </c>
      <c r="H164" s="189">
        <f>D164/94</f>
        <v>30.851063829787233</v>
      </c>
      <c r="I164" s="187">
        <f t="shared" si="4"/>
        <v>5.8617021276595747</v>
      </c>
      <c r="J164" s="188"/>
      <c r="K164" s="187">
        <f t="shared" si="6"/>
        <v>36.712765957446805</v>
      </c>
    </row>
    <row r="165" spans="1:11" x14ac:dyDescent="0.25">
      <c r="A165" s="183" t="s">
        <v>375</v>
      </c>
      <c r="B165" s="184" t="s">
        <v>407</v>
      </c>
      <c r="C165" s="185"/>
      <c r="D165" s="186">
        <v>230</v>
      </c>
      <c r="E165" s="187">
        <f t="shared" si="36"/>
        <v>43.7</v>
      </c>
      <c r="F165" s="188"/>
      <c r="G165" s="187">
        <f t="shared" si="2"/>
        <v>273.7</v>
      </c>
      <c r="H165" s="189">
        <f t="shared" ref="H165:H166" si="43">D165</f>
        <v>230</v>
      </c>
      <c r="I165" s="187">
        <f t="shared" si="4"/>
        <v>43.7</v>
      </c>
      <c r="J165" s="188"/>
      <c r="K165" s="187">
        <f t="shared" si="6"/>
        <v>273.7</v>
      </c>
    </row>
    <row r="166" spans="1:11" x14ac:dyDescent="0.25">
      <c r="A166" s="183" t="s">
        <v>375</v>
      </c>
      <c r="B166" s="184" t="s">
        <v>408</v>
      </c>
      <c r="C166" s="185"/>
      <c r="D166" s="186"/>
      <c r="E166" s="187">
        <f t="shared" si="36"/>
        <v>0</v>
      </c>
      <c r="F166" s="188"/>
      <c r="G166" s="187">
        <f t="shared" si="2"/>
        <v>0</v>
      </c>
      <c r="H166" s="189">
        <f t="shared" si="43"/>
        <v>0</v>
      </c>
      <c r="I166" s="187">
        <f t="shared" si="4"/>
        <v>0</v>
      </c>
      <c r="J166" s="188"/>
      <c r="K166" s="187">
        <f t="shared" si="6"/>
        <v>0</v>
      </c>
    </row>
    <row r="167" spans="1:11" x14ac:dyDescent="0.25">
      <c r="A167" s="183" t="s">
        <v>375</v>
      </c>
      <c r="B167" s="184" t="s">
        <v>132</v>
      </c>
      <c r="C167" s="185"/>
      <c r="D167" s="186">
        <v>210</v>
      </c>
      <c r="E167" s="187">
        <f t="shared" si="36"/>
        <v>39.9</v>
      </c>
      <c r="F167" s="188"/>
      <c r="G167" s="187">
        <f t="shared" si="2"/>
        <v>249.9</v>
      </c>
      <c r="H167" s="189">
        <f>D167/100</f>
        <v>2.1</v>
      </c>
      <c r="I167" s="187">
        <f t="shared" si="4"/>
        <v>0.39900000000000002</v>
      </c>
      <c r="J167" s="188"/>
      <c r="K167" s="187">
        <f t="shared" si="6"/>
        <v>2.4990000000000001</v>
      </c>
    </row>
    <row r="168" spans="1:11" x14ac:dyDescent="0.25">
      <c r="A168" s="183" t="s">
        <v>375</v>
      </c>
      <c r="B168" s="184" t="s">
        <v>133</v>
      </c>
      <c r="C168" s="185"/>
      <c r="D168" s="186">
        <v>5</v>
      </c>
      <c r="E168" s="187">
        <f t="shared" si="36"/>
        <v>0.95</v>
      </c>
      <c r="F168" s="188"/>
      <c r="G168" s="187">
        <f t="shared" si="2"/>
        <v>5.95</v>
      </c>
      <c r="H168" s="189">
        <f t="shared" ref="H168:H180" si="44">D168</f>
        <v>5</v>
      </c>
      <c r="I168" s="187">
        <f t="shared" si="4"/>
        <v>0.95</v>
      </c>
      <c r="J168" s="188"/>
      <c r="K168" s="187">
        <f t="shared" si="6"/>
        <v>5.95</v>
      </c>
    </row>
    <row r="169" spans="1:11" x14ac:dyDescent="0.25">
      <c r="A169" s="183" t="s">
        <v>375</v>
      </c>
      <c r="B169" s="184" t="s">
        <v>409</v>
      </c>
      <c r="C169" s="185"/>
      <c r="D169" s="186"/>
      <c r="E169" s="187">
        <f t="shared" si="36"/>
        <v>0</v>
      </c>
      <c r="F169" s="188"/>
      <c r="G169" s="187">
        <f t="shared" si="2"/>
        <v>0</v>
      </c>
      <c r="H169" s="189">
        <f t="shared" si="44"/>
        <v>0</v>
      </c>
      <c r="I169" s="187">
        <f t="shared" si="4"/>
        <v>0</v>
      </c>
      <c r="J169" s="188"/>
      <c r="K169" s="187">
        <f t="shared" si="6"/>
        <v>0</v>
      </c>
    </row>
    <row r="170" spans="1:11" x14ac:dyDescent="0.25">
      <c r="A170" s="183" t="s">
        <v>375</v>
      </c>
      <c r="B170" s="184" t="s">
        <v>115</v>
      </c>
      <c r="C170" s="185"/>
      <c r="D170" s="186"/>
      <c r="E170" s="187">
        <f t="shared" si="36"/>
        <v>0</v>
      </c>
      <c r="F170" s="188"/>
      <c r="G170" s="187">
        <f t="shared" si="2"/>
        <v>0</v>
      </c>
      <c r="H170" s="189">
        <f t="shared" si="44"/>
        <v>0</v>
      </c>
      <c r="I170" s="187">
        <f t="shared" si="4"/>
        <v>0</v>
      </c>
      <c r="J170" s="188"/>
      <c r="K170" s="187">
        <f t="shared" si="6"/>
        <v>0</v>
      </c>
    </row>
    <row r="171" spans="1:11" x14ac:dyDescent="0.25">
      <c r="A171" s="183" t="s">
        <v>375</v>
      </c>
      <c r="B171" s="184" t="s">
        <v>410</v>
      </c>
      <c r="C171" s="185"/>
      <c r="D171" s="186">
        <v>1150</v>
      </c>
      <c r="E171" s="187">
        <f t="shared" si="36"/>
        <v>218.5</v>
      </c>
      <c r="F171" s="188"/>
      <c r="G171" s="187">
        <f t="shared" si="2"/>
        <v>1368.5</v>
      </c>
      <c r="H171" s="189">
        <f t="shared" si="44"/>
        <v>1150</v>
      </c>
      <c r="I171" s="187">
        <f t="shared" si="4"/>
        <v>218.5</v>
      </c>
      <c r="J171" s="188"/>
      <c r="K171" s="187">
        <f t="shared" si="6"/>
        <v>1368.5</v>
      </c>
    </row>
    <row r="172" spans="1:11" x14ac:dyDescent="0.25">
      <c r="A172" s="183" t="s">
        <v>375</v>
      </c>
      <c r="B172" s="184" t="s">
        <v>411</v>
      </c>
      <c r="C172" s="185"/>
      <c r="D172" s="186"/>
      <c r="E172" s="187">
        <f t="shared" si="36"/>
        <v>0</v>
      </c>
      <c r="F172" s="188"/>
      <c r="G172" s="187">
        <f t="shared" si="2"/>
        <v>0</v>
      </c>
      <c r="H172" s="189">
        <f t="shared" si="44"/>
        <v>0</v>
      </c>
      <c r="I172" s="187">
        <f t="shared" si="4"/>
        <v>0</v>
      </c>
      <c r="J172" s="188"/>
      <c r="K172" s="187">
        <f t="shared" si="6"/>
        <v>0</v>
      </c>
    </row>
    <row r="173" spans="1:11" x14ac:dyDescent="0.25">
      <c r="A173" s="183" t="s">
        <v>375</v>
      </c>
      <c r="B173" s="184" t="s">
        <v>412</v>
      </c>
      <c r="C173" s="185" t="s">
        <v>376</v>
      </c>
      <c r="D173" s="186">
        <v>1500</v>
      </c>
      <c r="E173" s="187">
        <f t="shared" si="36"/>
        <v>285</v>
      </c>
      <c r="F173" s="188"/>
      <c r="G173" s="187">
        <f t="shared" si="2"/>
        <v>1785</v>
      </c>
      <c r="H173" s="189">
        <f t="shared" si="44"/>
        <v>1500</v>
      </c>
      <c r="I173" s="187">
        <f t="shared" si="4"/>
        <v>285</v>
      </c>
      <c r="J173" s="188"/>
      <c r="K173" s="187">
        <f t="shared" si="6"/>
        <v>1785</v>
      </c>
    </row>
    <row r="174" spans="1:11" x14ac:dyDescent="0.25">
      <c r="A174" s="183" t="s">
        <v>375</v>
      </c>
      <c r="B174" s="184" t="s">
        <v>413</v>
      </c>
      <c r="C174" s="185" t="s">
        <v>376</v>
      </c>
      <c r="D174" s="186">
        <v>3780</v>
      </c>
      <c r="E174" s="187">
        <f t="shared" si="36"/>
        <v>718.2</v>
      </c>
      <c r="F174" s="188"/>
      <c r="G174" s="187">
        <f t="shared" si="2"/>
        <v>4498.2</v>
      </c>
      <c r="H174" s="189">
        <f t="shared" si="44"/>
        <v>3780</v>
      </c>
      <c r="I174" s="187">
        <f t="shared" si="4"/>
        <v>718.2</v>
      </c>
      <c r="J174" s="188"/>
      <c r="K174" s="187">
        <f t="shared" si="6"/>
        <v>4498.2</v>
      </c>
    </row>
    <row r="175" spans="1:11" x14ac:dyDescent="0.25">
      <c r="A175" s="183" t="s">
        <v>375</v>
      </c>
      <c r="B175" s="184" t="s">
        <v>134</v>
      </c>
      <c r="C175" s="185"/>
      <c r="D175" s="186">
        <v>343</v>
      </c>
      <c r="E175" s="187">
        <f t="shared" si="36"/>
        <v>65.17</v>
      </c>
      <c r="F175" s="188"/>
      <c r="G175" s="187">
        <f t="shared" si="2"/>
        <v>408.17</v>
      </c>
      <c r="H175" s="189">
        <f t="shared" si="44"/>
        <v>343</v>
      </c>
      <c r="I175" s="187">
        <f t="shared" si="4"/>
        <v>65.17</v>
      </c>
      <c r="J175" s="188"/>
      <c r="K175" s="187">
        <f t="shared" si="6"/>
        <v>408.17</v>
      </c>
    </row>
    <row r="176" spans="1:11" x14ac:dyDescent="0.25">
      <c r="A176" s="183" t="s">
        <v>375</v>
      </c>
      <c r="B176" s="184" t="s">
        <v>414</v>
      </c>
      <c r="C176" s="185" t="s">
        <v>415</v>
      </c>
      <c r="D176" s="186">
        <v>1750</v>
      </c>
      <c r="E176" s="187">
        <f t="shared" si="36"/>
        <v>332.5</v>
      </c>
      <c r="F176" s="188"/>
      <c r="G176" s="187">
        <f t="shared" si="2"/>
        <v>2082.5</v>
      </c>
      <c r="H176" s="189">
        <f t="shared" si="44"/>
        <v>1750</v>
      </c>
      <c r="I176" s="187">
        <f t="shared" si="4"/>
        <v>332.5</v>
      </c>
      <c r="J176" s="188"/>
      <c r="K176" s="187">
        <f t="shared" si="6"/>
        <v>2082.5</v>
      </c>
    </row>
    <row r="177" spans="1:11" x14ac:dyDescent="0.25">
      <c r="A177" s="183" t="s">
        <v>375</v>
      </c>
      <c r="B177" s="184" t="s">
        <v>416</v>
      </c>
      <c r="C177" s="185" t="s">
        <v>417</v>
      </c>
      <c r="D177" s="186">
        <v>4500</v>
      </c>
      <c r="E177" s="187">
        <f t="shared" si="36"/>
        <v>855</v>
      </c>
      <c r="F177" s="188"/>
      <c r="G177" s="187">
        <f t="shared" si="2"/>
        <v>5355</v>
      </c>
      <c r="H177" s="189">
        <f t="shared" si="44"/>
        <v>4500</v>
      </c>
      <c r="I177" s="187">
        <f t="shared" si="4"/>
        <v>855</v>
      </c>
      <c r="J177" s="188"/>
      <c r="K177" s="187">
        <f t="shared" si="6"/>
        <v>5355</v>
      </c>
    </row>
    <row r="178" spans="1:11" x14ac:dyDescent="0.25">
      <c r="A178" s="183" t="s">
        <v>375</v>
      </c>
      <c r="B178" s="184" t="s">
        <v>137</v>
      </c>
      <c r="C178" s="185"/>
      <c r="D178" s="186">
        <v>1500</v>
      </c>
      <c r="E178" s="187">
        <f t="shared" si="36"/>
        <v>285</v>
      </c>
      <c r="F178" s="188"/>
      <c r="G178" s="187">
        <f t="shared" si="2"/>
        <v>1785</v>
      </c>
      <c r="H178" s="189">
        <f t="shared" si="44"/>
        <v>1500</v>
      </c>
      <c r="I178" s="187">
        <f t="shared" si="4"/>
        <v>285</v>
      </c>
      <c r="J178" s="188"/>
      <c r="K178" s="187">
        <f t="shared" si="6"/>
        <v>1785</v>
      </c>
    </row>
    <row r="179" spans="1:11" x14ac:dyDescent="0.25">
      <c r="A179" s="183" t="s">
        <v>375</v>
      </c>
      <c r="B179" s="184" t="s">
        <v>418</v>
      </c>
      <c r="C179" s="185"/>
      <c r="D179" s="186"/>
      <c r="E179" s="187">
        <f t="shared" si="36"/>
        <v>0</v>
      </c>
      <c r="F179" s="188"/>
      <c r="G179" s="187">
        <f t="shared" si="2"/>
        <v>0</v>
      </c>
      <c r="H179" s="189">
        <f t="shared" si="44"/>
        <v>0</v>
      </c>
      <c r="I179" s="187">
        <f t="shared" si="4"/>
        <v>0</v>
      </c>
      <c r="J179" s="188"/>
      <c r="K179" s="187">
        <f t="shared" si="6"/>
        <v>0</v>
      </c>
    </row>
    <row r="180" spans="1:11" x14ac:dyDescent="0.25">
      <c r="A180" s="183" t="s">
        <v>375</v>
      </c>
      <c r="B180" s="184" t="s">
        <v>419</v>
      </c>
      <c r="C180" s="185"/>
      <c r="D180" s="186">
        <v>1890</v>
      </c>
      <c r="E180" s="187">
        <f t="shared" si="36"/>
        <v>359.1</v>
      </c>
      <c r="F180" s="188"/>
      <c r="G180" s="187">
        <f t="shared" si="2"/>
        <v>2249.1</v>
      </c>
      <c r="H180" s="189">
        <f t="shared" si="44"/>
        <v>1890</v>
      </c>
      <c r="I180" s="187">
        <f t="shared" si="4"/>
        <v>359.1</v>
      </c>
      <c r="J180" s="188"/>
      <c r="K180" s="187">
        <f t="shared" si="6"/>
        <v>2249.1</v>
      </c>
    </row>
    <row r="181" spans="1:11" ht="15" customHeight="1" x14ac:dyDescent="0.25">
      <c r="A181" s="183" t="s">
        <v>375</v>
      </c>
      <c r="B181" s="184" t="s">
        <v>138</v>
      </c>
      <c r="C181" s="185"/>
      <c r="D181" s="186">
        <v>42.81</v>
      </c>
      <c r="E181" s="187">
        <f t="shared" si="36"/>
        <v>8.1339000000000006</v>
      </c>
      <c r="F181" s="188"/>
      <c r="G181" s="187">
        <f t="shared" si="2"/>
        <v>50.943899999999999</v>
      </c>
      <c r="H181" s="189">
        <f>D181/16</f>
        <v>2.6756250000000001</v>
      </c>
      <c r="I181" s="187">
        <f t="shared" si="4"/>
        <v>0.50836875000000004</v>
      </c>
      <c r="J181" s="188"/>
      <c r="K181" s="187">
        <f t="shared" si="6"/>
        <v>3.18399375</v>
      </c>
    </row>
    <row r="182" spans="1:11" x14ac:dyDescent="0.25">
      <c r="A182" s="183" t="s">
        <v>375</v>
      </c>
      <c r="B182" s="184" t="s">
        <v>420</v>
      </c>
      <c r="C182" s="185" t="s">
        <v>376</v>
      </c>
      <c r="D182" s="186">
        <v>1890</v>
      </c>
      <c r="E182" s="187">
        <f t="shared" si="36"/>
        <v>359.1</v>
      </c>
      <c r="F182" s="188"/>
      <c r="G182" s="187">
        <f t="shared" si="2"/>
        <v>2249.1</v>
      </c>
      <c r="H182" s="189">
        <f t="shared" ref="H182:H203" si="45">D182</f>
        <v>1890</v>
      </c>
      <c r="I182" s="187">
        <f t="shared" si="4"/>
        <v>359.1</v>
      </c>
      <c r="J182" s="188"/>
      <c r="K182" s="187">
        <f t="shared" si="6"/>
        <v>2249.1</v>
      </c>
    </row>
    <row r="183" spans="1:11" x14ac:dyDescent="0.25">
      <c r="A183" s="183" t="s">
        <v>375</v>
      </c>
      <c r="B183" s="184" t="s">
        <v>298</v>
      </c>
      <c r="C183" s="185"/>
      <c r="D183" s="186">
        <v>520</v>
      </c>
      <c r="E183" s="187">
        <f t="shared" si="36"/>
        <v>98.8</v>
      </c>
      <c r="F183" s="188"/>
      <c r="G183" s="187">
        <f t="shared" si="2"/>
        <v>618.79999999999995</v>
      </c>
      <c r="H183" s="189">
        <f t="shared" si="45"/>
        <v>520</v>
      </c>
      <c r="I183" s="187">
        <f t="shared" si="4"/>
        <v>98.8</v>
      </c>
      <c r="J183" s="188"/>
      <c r="K183" s="187">
        <f t="shared" si="6"/>
        <v>618.79999999999995</v>
      </c>
    </row>
    <row r="184" spans="1:11" x14ac:dyDescent="0.25">
      <c r="A184" s="183" t="s">
        <v>375</v>
      </c>
      <c r="B184" s="184" t="s">
        <v>421</v>
      </c>
      <c r="C184" s="185"/>
      <c r="D184" s="186"/>
      <c r="E184" s="187">
        <f t="shared" si="36"/>
        <v>0</v>
      </c>
      <c r="F184" s="188"/>
      <c r="G184" s="187">
        <f t="shared" si="2"/>
        <v>0</v>
      </c>
      <c r="H184" s="189">
        <f t="shared" si="45"/>
        <v>0</v>
      </c>
      <c r="I184" s="187">
        <f t="shared" si="4"/>
        <v>0</v>
      </c>
      <c r="J184" s="188"/>
      <c r="K184" s="187">
        <f t="shared" si="6"/>
        <v>0</v>
      </c>
    </row>
    <row r="185" spans="1:11" x14ac:dyDescent="0.25">
      <c r="A185" s="183" t="s">
        <v>375</v>
      </c>
      <c r="B185" s="184" t="s">
        <v>139</v>
      </c>
      <c r="C185" s="185"/>
      <c r="D185" s="186">
        <v>840</v>
      </c>
      <c r="E185" s="187">
        <f t="shared" si="36"/>
        <v>159.6</v>
      </c>
      <c r="F185" s="188"/>
      <c r="G185" s="187">
        <f t="shared" si="2"/>
        <v>999.6</v>
      </c>
      <c r="H185" s="189">
        <f t="shared" si="45"/>
        <v>840</v>
      </c>
      <c r="I185" s="187">
        <f t="shared" si="4"/>
        <v>159.6</v>
      </c>
      <c r="J185" s="188"/>
      <c r="K185" s="187">
        <f t="shared" si="6"/>
        <v>999.6</v>
      </c>
    </row>
    <row r="186" spans="1:11" x14ac:dyDescent="0.25">
      <c r="A186" s="183" t="s">
        <v>375</v>
      </c>
      <c r="B186" s="184" t="s">
        <v>422</v>
      </c>
      <c r="C186" s="185"/>
      <c r="D186" s="186">
        <v>320</v>
      </c>
      <c r="E186" s="187">
        <f t="shared" si="36"/>
        <v>60.8</v>
      </c>
      <c r="F186" s="188"/>
      <c r="G186" s="187">
        <f t="shared" si="2"/>
        <v>380.8</v>
      </c>
      <c r="H186" s="189">
        <f t="shared" si="45"/>
        <v>320</v>
      </c>
      <c r="I186" s="187">
        <f t="shared" si="4"/>
        <v>60.8</v>
      </c>
      <c r="J186" s="188"/>
      <c r="K186" s="187">
        <f t="shared" si="6"/>
        <v>380.8</v>
      </c>
    </row>
    <row r="187" spans="1:11" x14ac:dyDescent="0.25">
      <c r="A187" s="183" t="s">
        <v>375</v>
      </c>
      <c r="B187" s="184" t="s">
        <v>423</v>
      </c>
      <c r="C187" s="185" t="s">
        <v>352</v>
      </c>
      <c r="D187" s="186">
        <v>5100</v>
      </c>
      <c r="E187" s="187">
        <f t="shared" si="36"/>
        <v>969</v>
      </c>
      <c r="F187" s="188"/>
      <c r="G187" s="187">
        <f t="shared" si="2"/>
        <v>6069</v>
      </c>
      <c r="H187" s="189">
        <f t="shared" si="45"/>
        <v>5100</v>
      </c>
      <c r="I187" s="187">
        <f t="shared" si="4"/>
        <v>969</v>
      </c>
      <c r="J187" s="188"/>
      <c r="K187" s="187">
        <f t="shared" si="6"/>
        <v>6069</v>
      </c>
    </row>
    <row r="188" spans="1:11" x14ac:dyDescent="0.25">
      <c r="A188" s="174" t="s">
        <v>424</v>
      </c>
      <c r="B188" s="181" t="s">
        <v>268</v>
      </c>
      <c r="C188" s="176" t="s">
        <v>317</v>
      </c>
      <c r="D188" s="177">
        <v>761</v>
      </c>
      <c r="E188" s="178">
        <f t="shared" si="36"/>
        <v>144.59</v>
      </c>
      <c r="F188" s="179">
        <f t="shared" ref="F188:F190" si="46">D188*0.18</f>
        <v>136.97999999999999</v>
      </c>
      <c r="G188" s="178">
        <f t="shared" si="2"/>
        <v>1042.57</v>
      </c>
      <c r="H188" s="180">
        <f t="shared" si="45"/>
        <v>761</v>
      </c>
      <c r="I188" s="178">
        <f t="shared" si="4"/>
        <v>144.59</v>
      </c>
      <c r="J188" s="179">
        <f t="shared" ref="J188:J190" si="47">H188*0.18</f>
        <v>136.97999999999999</v>
      </c>
      <c r="K188" s="178">
        <f t="shared" si="6"/>
        <v>1042.57</v>
      </c>
    </row>
    <row r="189" spans="1:11" x14ac:dyDescent="0.25">
      <c r="A189" s="174" t="s">
        <v>424</v>
      </c>
      <c r="B189" s="181" t="s">
        <v>269</v>
      </c>
      <c r="C189" s="176" t="s">
        <v>317</v>
      </c>
      <c r="D189" s="177">
        <v>808</v>
      </c>
      <c r="E189" s="178">
        <f t="shared" si="36"/>
        <v>153.52000000000001</v>
      </c>
      <c r="F189" s="179">
        <f t="shared" si="46"/>
        <v>145.44</v>
      </c>
      <c r="G189" s="178">
        <f t="shared" si="2"/>
        <v>1106.96</v>
      </c>
      <c r="H189" s="180">
        <f t="shared" si="45"/>
        <v>808</v>
      </c>
      <c r="I189" s="178">
        <f t="shared" si="4"/>
        <v>153.52000000000001</v>
      </c>
      <c r="J189" s="179">
        <f t="shared" si="47"/>
        <v>145.44</v>
      </c>
      <c r="K189" s="178">
        <f t="shared" si="6"/>
        <v>1106.96</v>
      </c>
    </row>
    <row r="190" spans="1:11" x14ac:dyDescent="0.25">
      <c r="A190" s="174" t="s">
        <v>424</v>
      </c>
      <c r="B190" s="181" t="s">
        <v>270</v>
      </c>
      <c r="C190" s="176" t="s">
        <v>317</v>
      </c>
      <c r="D190" s="177">
        <v>764</v>
      </c>
      <c r="E190" s="178">
        <f t="shared" si="36"/>
        <v>145.16</v>
      </c>
      <c r="F190" s="179">
        <f t="shared" si="46"/>
        <v>137.51999999999998</v>
      </c>
      <c r="G190" s="178">
        <f t="shared" si="2"/>
        <v>1046.6799999999998</v>
      </c>
      <c r="H190" s="180">
        <f t="shared" si="45"/>
        <v>764</v>
      </c>
      <c r="I190" s="178">
        <f t="shared" si="4"/>
        <v>145.16</v>
      </c>
      <c r="J190" s="179">
        <f t="shared" si="47"/>
        <v>137.51999999999998</v>
      </c>
      <c r="K190" s="178">
        <f t="shared" si="6"/>
        <v>1046.6799999999998</v>
      </c>
    </row>
    <row r="191" spans="1:11" x14ac:dyDescent="0.25">
      <c r="A191" s="183" t="s">
        <v>425</v>
      </c>
      <c r="B191" s="184" t="s">
        <v>426</v>
      </c>
      <c r="C191" s="73" t="s">
        <v>346</v>
      </c>
      <c r="D191" s="186">
        <v>930</v>
      </c>
      <c r="E191" s="187">
        <f t="shared" si="36"/>
        <v>176.7</v>
      </c>
      <c r="F191" s="188"/>
      <c r="G191" s="187">
        <f t="shared" si="2"/>
        <v>1106.7</v>
      </c>
      <c r="H191" s="189">
        <f t="shared" si="45"/>
        <v>930</v>
      </c>
      <c r="I191" s="187">
        <f t="shared" si="4"/>
        <v>176.7</v>
      </c>
      <c r="J191" s="188"/>
      <c r="K191" s="187">
        <f t="shared" si="6"/>
        <v>1106.7</v>
      </c>
    </row>
    <row r="192" spans="1:11" x14ac:dyDescent="0.25">
      <c r="A192" s="183" t="s">
        <v>425</v>
      </c>
      <c r="B192" s="184" t="s">
        <v>427</v>
      </c>
      <c r="C192" s="73" t="s">
        <v>346</v>
      </c>
      <c r="D192" s="186">
        <v>1891</v>
      </c>
      <c r="E192" s="187">
        <f t="shared" si="36"/>
        <v>359.29</v>
      </c>
      <c r="F192" s="188"/>
      <c r="G192" s="187">
        <f t="shared" si="2"/>
        <v>2250.29</v>
      </c>
      <c r="H192" s="189">
        <f t="shared" si="45"/>
        <v>1891</v>
      </c>
      <c r="I192" s="187">
        <f t="shared" si="4"/>
        <v>359.29</v>
      </c>
      <c r="J192" s="188"/>
      <c r="K192" s="187">
        <f t="shared" si="6"/>
        <v>2250.29</v>
      </c>
    </row>
    <row r="193" spans="1:11" x14ac:dyDescent="0.25">
      <c r="A193" s="174" t="s">
        <v>425</v>
      </c>
      <c r="B193" s="181" t="s">
        <v>428</v>
      </c>
      <c r="C193" s="193" t="s">
        <v>352</v>
      </c>
      <c r="D193" s="177">
        <v>685</v>
      </c>
      <c r="E193" s="178">
        <f t="shared" si="36"/>
        <v>130.15</v>
      </c>
      <c r="F193" s="179"/>
      <c r="G193" s="178">
        <f t="shared" si="2"/>
        <v>815.15</v>
      </c>
      <c r="H193" s="180">
        <f t="shared" si="45"/>
        <v>685</v>
      </c>
      <c r="I193" s="178">
        <f t="shared" si="4"/>
        <v>130.15</v>
      </c>
      <c r="J193" s="179"/>
      <c r="K193" s="178">
        <f t="shared" si="6"/>
        <v>815.15</v>
      </c>
    </row>
    <row r="194" spans="1:11" x14ac:dyDescent="0.25">
      <c r="A194" s="174" t="s">
        <v>425</v>
      </c>
      <c r="B194" s="181" t="s">
        <v>203</v>
      </c>
      <c r="C194" s="193" t="s">
        <v>346</v>
      </c>
      <c r="D194" s="177">
        <v>501</v>
      </c>
      <c r="E194" s="178">
        <f t="shared" si="36"/>
        <v>95.19</v>
      </c>
      <c r="F194" s="179"/>
      <c r="G194" s="178">
        <f t="shared" si="2"/>
        <v>596.19000000000005</v>
      </c>
      <c r="H194" s="180">
        <f t="shared" si="45"/>
        <v>501</v>
      </c>
      <c r="I194" s="178">
        <f t="shared" si="4"/>
        <v>95.19</v>
      </c>
      <c r="J194" s="179"/>
      <c r="K194" s="178">
        <f t="shared" si="6"/>
        <v>596.19000000000005</v>
      </c>
    </row>
    <row r="195" spans="1:11" x14ac:dyDescent="0.25">
      <c r="A195" s="174" t="s">
        <v>425</v>
      </c>
      <c r="B195" s="181" t="s">
        <v>429</v>
      </c>
      <c r="C195" s="193" t="s">
        <v>430</v>
      </c>
      <c r="D195" s="177">
        <v>90117</v>
      </c>
      <c r="E195" s="178">
        <f t="shared" si="36"/>
        <v>17122.23</v>
      </c>
      <c r="F195" s="179"/>
      <c r="G195" s="178">
        <f t="shared" si="2"/>
        <v>107239.23</v>
      </c>
      <c r="H195" s="180">
        <f t="shared" si="45"/>
        <v>90117</v>
      </c>
      <c r="I195" s="178">
        <f t="shared" si="4"/>
        <v>17122.23</v>
      </c>
      <c r="J195" s="179"/>
      <c r="K195" s="178">
        <f t="shared" si="6"/>
        <v>107239.23</v>
      </c>
    </row>
    <row r="196" spans="1:11" x14ac:dyDescent="0.25">
      <c r="A196" s="174" t="s">
        <v>425</v>
      </c>
      <c r="B196" s="181" t="s">
        <v>75</v>
      </c>
      <c r="C196" s="193" t="s">
        <v>346</v>
      </c>
      <c r="D196" s="177">
        <v>1001</v>
      </c>
      <c r="E196" s="178">
        <f t="shared" si="36"/>
        <v>190.19</v>
      </c>
      <c r="F196" s="179"/>
      <c r="G196" s="178">
        <f t="shared" si="2"/>
        <v>1191.19</v>
      </c>
      <c r="H196" s="180">
        <f t="shared" si="45"/>
        <v>1001</v>
      </c>
      <c r="I196" s="178">
        <f t="shared" si="4"/>
        <v>190.19</v>
      </c>
      <c r="J196" s="179"/>
      <c r="K196" s="178">
        <f t="shared" si="6"/>
        <v>1191.19</v>
      </c>
    </row>
    <row r="197" spans="1:11" x14ac:dyDescent="0.25">
      <c r="A197" s="174" t="s">
        <v>569</v>
      </c>
      <c r="B197" s="181" t="s">
        <v>76</v>
      </c>
      <c r="C197" s="193" t="s">
        <v>346</v>
      </c>
      <c r="D197" s="177">
        <v>1498</v>
      </c>
      <c r="E197" s="178">
        <f t="shared" si="36"/>
        <v>284.62</v>
      </c>
      <c r="F197" s="179"/>
      <c r="G197" s="178">
        <f t="shared" si="2"/>
        <v>1782.62</v>
      </c>
      <c r="H197" s="180">
        <f t="shared" si="45"/>
        <v>1498</v>
      </c>
      <c r="I197" s="178">
        <f t="shared" si="4"/>
        <v>284.62</v>
      </c>
      <c r="J197" s="179"/>
      <c r="K197" s="178">
        <f t="shared" si="6"/>
        <v>1782.62</v>
      </c>
    </row>
    <row r="198" spans="1:11" x14ac:dyDescent="0.25">
      <c r="A198" s="174" t="s">
        <v>478</v>
      </c>
      <c r="B198" s="181" t="s">
        <v>77</v>
      </c>
      <c r="C198" s="176" t="s">
        <v>317</v>
      </c>
      <c r="D198" s="177">
        <v>1197</v>
      </c>
      <c r="E198" s="178">
        <f t="shared" si="36"/>
        <v>227.43</v>
      </c>
      <c r="F198" s="179"/>
      <c r="G198" s="178">
        <f t="shared" si="2"/>
        <v>1424.43</v>
      </c>
      <c r="H198" s="180">
        <f t="shared" si="45"/>
        <v>1197</v>
      </c>
      <c r="I198" s="178">
        <f t="shared" si="4"/>
        <v>227.43</v>
      </c>
      <c r="J198" s="179"/>
      <c r="K198" s="178">
        <f t="shared" si="6"/>
        <v>1424.43</v>
      </c>
    </row>
    <row r="199" spans="1:11" x14ac:dyDescent="0.25">
      <c r="A199" s="183" t="s">
        <v>425</v>
      </c>
      <c r="B199" s="184" t="s">
        <v>79</v>
      </c>
      <c r="C199" s="185" t="s">
        <v>317</v>
      </c>
      <c r="D199" s="186">
        <v>2197</v>
      </c>
      <c r="E199" s="187">
        <f t="shared" si="36"/>
        <v>417.43</v>
      </c>
      <c r="F199" s="188"/>
      <c r="G199" s="187">
        <f t="shared" si="2"/>
        <v>2614.4299999999998</v>
      </c>
      <c r="H199" s="189">
        <f t="shared" si="45"/>
        <v>2197</v>
      </c>
      <c r="I199" s="187">
        <f t="shared" si="4"/>
        <v>417.43</v>
      </c>
      <c r="J199" s="188"/>
      <c r="K199" s="187">
        <f t="shared" si="6"/>
        <v>2614.4299999999998</v>
      </c>
    </row>
    <row r="200" spans="1:11" x14ac:dyDescent="0.25">
      <c r="A200" s="174" t="s">
        <v>425</v>
      </c>
      <c r="B200" s="181" t="s">
        <v>80</v>
      </c>
      <c r="C200" s="176" t="s">
        <v>431</v>
      </c>
      <c r="D200" s="177">
        <v>1178</v>
      </c>
      <c r="E200" s="178">
        <f t="shared" si="36"/>
        <v>223.82</v>
      </c>
      <c r="F200" s="179"/>
      <c r="G200" s="178">
        <f t="shared" si="2"/>
        <v>1401.82</v>
      </c>
      <c r="H200" s="180">
        <f t="shared" si="45"/>
        <v>1178</v>
      </c>
      <c r="I200" s="178">
        <f t="shared" si="4"/>
        <v>223.82</v>
      </c>
      <c r="J200" s="179"/>
      <c r="K200" s="178">
        <f t="shared" si="6"/>
        <v>1401.82</v>
      </c>
    </row>
    <row r="201" spans="1:11" ht="15" customHeight="1" x14ac:dyDescent="0.25">
      <c r="A201" s="174" t="s">
        <v>425</v>
      </c>
      <c r="B201" s="181" t="s">
        <v>81</v>
      </c>
      <c r="C201" s="176" t="s">
        <v>432</v>
      </c>
      <c r="D201" s="177">
        <v>736.25</v>
      </c>
      <c r="E201" s="178">
        <f t="shared" si="36"/>
        <v>139.88749999999999</v>
      </c>
      <c r="F201" s="179"/>
      <c r="G201" s="178">
        <f t="shared" si="2"/>
        <v>876.13750000000005</v>
      </c>
      <c r="H201" s="180">
        <f t="shared" si="45"/>
        <v>736.25</v>
      </c>
      <c r="I201" s="178">
        <f t="shared" si="4"/>
        <v>139.88749999999999</v>
      </c>
      <c r="J201" s="179"/>
      <c r="K201" s="178">
        <f t="shared" si="6"/>
        <v>876.13750000000005</v>
      </c>
    </row>
    <row r="202" spans="1:11" x14ac:dyDescent="0.25">
      <c r="A202" s="174" t="s">
        <v>425</v>
      </c>
      <c r="B202" s="181" t="s">
        <v>433</v>
      </c>
      <c r="C202" s="176" t="s">
        <v>352</v>
      </c>
      <c r="D202" s="177">
        <v>3990</v>
      </c>
      <c r="E202" s="178">
        <f t="shared" si="36"/>
        <v>758.1</v>
      </c>
      <c r="F202" s="179"/>
      <c r="G202" s="178">
        <f t="shared" si="2"/>
        <v>4748.1000000000004</v>
      </c>
      <c r="H202" s="180">
        <f t="shared" si="45"/>
        <v>3990</v>
      </c>
      <c r="I202" s="178">
        <f t="shared" si="4"/>
        <v>758.1</v>
      </c>
      <c r="J202" s="179"/>
      <c r="K202" s="178">
        <f t="shared" si="6"/>
        <v>4748.1000000000004</v>
      </c>
    </row>
    <row r="203" spans="1:11" x14ac:dyDescent="0.25">
      <c r="A203" s="174" t="s">
        <v>425</v>
      </c>
      <c r="B203" s="181" t="s">
        <v>434</v>
      </c>
      <c r="C203" s="176" t="s">
        <v>352</v>
      </c>
      <c r="D203" s="177">
        <v>5890</v>
      </c>
      <c r="E203" s="178">
        <f t="shared" si="36"/>
        <v>1119.0999999999999</v>
      </c>
      <c r="F203" s="179"/>
      <c r="G203" s="178">
        <f t="shared" si="2"/>
        <v>7009.1</v>
      </c>
      <c r="H203" s="180">
        <f t="shared" si="45"/>
        <v>5890</v>
      </c>
      <c r="I203" s="178">
        <f t="shared" si="4"/>
        <v>1119.0999999999999</v>
      </c>
      <c r="J203" s="179"/>
      <c r="K203" s="178">
        <f t="shared" si="6"/>
        <v>7009.1</v>
      </c>
    </row>
    <row r="204" spans="1:11" x14ac:dyDescent="0.25">
      <c r="A204" s="174" t="s">
        <v>435</v>
      </c>
      <c r="B204" s="181" t="s">
        <v>250</v>
      </c>
      <c r="C204" s="176" t="s">
        <v>322</v>
      </c>
      <c r="D204" s="177">
        <v>3652</v>
      </c>
      <c r="E204" s="178">
        <f t="shared" si="36"/>
        <v>693.88</v>
      </c>
      <c r="F204" s="179">
        <f>D204*0.315</f>
        <v>1150.3800000000001</v>
      </c>
      <c r="G204" s="178">
        <f t="shared" si="2"/>
        <v>5496.26</v>
      </c>
      <c r="H204" s="180">
        <f t="shared" ref="H204:H205" si="48">D204/750</f>
        <v>4.8693333333333335</v>
      </c>
      <c r="I204" s="178">
        <f t="shared" si="4"/>
        <v>0.9251733333333334</v>
      </c>
      <c r="J204" s="179">
        <f>H204*0.315</f>
        <v>1.5338400000000001</v>
      </c>
      <c r="K204" s="178">
        <f t="shared" si="6"/>
        <v>7.3283466666666666</v>
      </c>
    </row>
    <row r="205" spans="1:11" x14ac:dyDescent="0.25">
      <c r="A205" s="174" t="s">
        <v>435</v>
      </c>
      <c r="B205" s="181" t="s">
        <v>251</v>
      </c>
      <c r="C205" s="176" t="s">
        <v>322</v>
      </c>
      <c r="D205" s="177">
        <v>7241</v>
      </c>
      <c r="E205" s="178">
        <f t="shared" si="36"/>
        <v>1375.79</v>
      </c>
      <c r="F205" s="179">
        <f>0.315*D205</f>
        <v>2280.915</v>
      </c>
      <c r="G205" s="178">
        <f t="shared" si="2"/>
        <v>10897.705000000002</v>
      </c>
      <c r="H205" s="180">
        <f t="shared" si="48"/>
        <v>9.6546666666666674</v>
      </c>
      <c r="I205" s="178">
        <f t="shared" si="4"/>
        <v>1.8343866666666668</v>
      </c>
      <c r="J205" s="179">
        <f>0.315*H205</f>
        <v>3.04122</v>
      </c>
      <c r="K205" s="178">
        <f t="shared" si="6"/>
        <v>14.530273333333334</v>
      </c>
    </row>
    <row r="206" spans="1:11" x14ac:dyDescent="0.25">
      <c r="A206" s="174" t="s">
        <v>435</v>
      </c>
      <c r="B206" s="181" t="s">
        <v>267</v>
      </c>
      <c r="C206" s="176" t="s">
        <v>322</v>
      </c>
      <c r="D206" s="177">
        <v>5828</v>
      </c>
      <c r="E206" s="178">
        <f t="shared" si="36"/>
        <v>1107.32</v>
      </c>
      <c r="F206" s="179">
        <f>D206*0.315</f>
        <v>1835.82</v>
      </c>
      <c r="G206" s="178">
        <f t="shared" si="2"/>
        <v>8771.14</v>
      </c>
      <c r="H206" s="180">
        <f>D206/700</f>
        <v>8.3257142857142856</v>
      </c>
      <c r="I206" s="178">
        <f t="shared" si="4"/>
        <v>1.5818857142857143</v>
      </c>
      <c r="J206" s="179">
        <f>H206*0.315</f>
        <v>2.6225999999999998</v>
      </c>
      <c r="K206" s="178">
        <f t="shared" si="6"/>
        <v>12.530200000000001</v>
      </c>
    </row>
    <row r="207" spans="1:11" x14ac:dyDescent="0.25">
      <c r="A207" s="183" t="s">
        <v>436</v>
      </c>
      <c r="B207" s="184" t="s">
        <v>437</v>
      </c>
      <c r="C207" s="185" t="s">
        <v>348</v>
      </c>
      <c r="D207" s="186">
        <v>36000</v>
      </c>
      <c r="E207" s="187">
        <f t="shared" si="36"/>
        <v>6840</v>
      </c>
      <c r="F207" s="188"/>
      <c r="G207" s="187">
        <f t="shared" si="2"/>
        <v>42840</v>
      </c>
      <c r="H207" s="189">
        <f t="shared" ref="H207:H214" si="49">D207</f>
        <v>36000</v>
      </c>
      <c r="I207" s="187">
        <f t="shared" si="4"/>
        <v>6840</v>
      </c>
      <c r="J207" s="188"/>
      <c r="K207" s="187">
        <f t="shared" si="6"/>
        <v>42840</v>
      </c>
    </row>
    <row r="208" spans="1:11" ht="15" customHeight="1" x14ac:dyDescent="0.25">
      <c r="A208" s="183" t="s">
        <v>436</v>
      </c>
      <c r="B208" s="184" t="s">
        <v>438</v>
      </c>
      <c r="C208" s="73"/>
      <c r="D208" s="186"/>
      <c r="E208" s="187">
        <f t="shared" si="36"/>
        <v>0</v>
      </c>
      <c r="F208" s="188"/>
      <c r="G208" s="187">
        <f t="shared" si="2"/>
        <v>0</v>
      </c>
      <c r="H208" s="189">
        <f t="shared" si="49"/>
        <v>0</v>
      </c>
      <c r="I208" s="187">
        <f t="shared" si="4"/>
        <v>0</v>
      </c>
      <c r="J208" s="188"/>
      <c r="K208" s="187">
        <f t="shared" si="6"/>
        <v>0</v>
      </c>
    </row>
    <row r="209" spans="1:11" x14ac:dyDescent="0.25">
      <c r="A209" s="183" t="s">
        <v>436</v>
      </c>
      <c r="B209" s="184" t="s">
        <v>439</v>
      </c>
      <c r="C209" s="185" t="s">
        <v>386</v>
      </c>
      <c r="D209" s="186"/>
      <c r="E209" s="187">
        <f t="shared" si="36"/>
        <v>0</v>
      </c>
      <c r="F209" s="188"/>
      <c r="G209" s="187">
        <f t="shared" si="2"/>
        <v>0</v>
      </c>
      <c r="H209" s="189">
        <f t="shared" si="49"/>
        <v>0</v>
      </c>
      <c r="I209" s="187">
        <f t="shared" si="4"/>
        <v>0</v>
      </c>
      <c r="J209" s="188"/>
      <c r="K209" s="187">
        <f t="shared" si="6"/>
        <v>0</v>
      </c>
    </row>
    <row r="210" spans="1:11" x14ac:dyDescent="0.25">
      <c r="A210" s="183" t="s">
        <v>436</v>
      </c>
      <c r="B210" s="184" t="s">
        <v>243</v>
      </c>
      <c r="C210" s="185" t="s">
        <v>363</v>
      </c>
      <c r="D210" s="186"/>
      <c r="E210" s="187">
        <f t="shared" si="36"/>
        <v>0</v>
      </c>
      <c r="F210" s="188"/>
      <c r="G210" s="187">
        <f t="shared" si="2"/>
        <v>0</v>
      </c>
      <c r="H210" s="189">
        <f t="shared" si="49"/>
        <v>0</v>
      </c>
      <c r="I210" s="187">
        <f t="shared" si="4"/>
        <v>0</v>
      </c>
      <c r="J210" s="188"/>
      <c r="K210" s="187">
        <f t="shared" si="6"/>
        <v>0</v>
      </c>
    </row>
    <row r="211" spans="1:11" x14ac:dyDescent="0.25">
      <c r="A211" s="183" t="s">
        <v>440</v>
      </c>
      <c r="B211" s="184" t="s">
        <v>441</v>
      </c>
      <c r="C211" s="185" t="s">
        <v>317</v>
      </c>
      <c r="D211" s="186">
        <v>700</v>
      </c>
      <c r="E211" s="187">
        <f t="shared" si="36"/>
        <v>133</v>
      </c>
      <c r="F211" s="188"/>
      <c r="G211" s="187">
        <f t="shared" si="2"/>
        <v>833</v>
      </c>
      <c r="H211" s="189">
        <f t="shared" si="49"/>
        <v>700</v>
      </c>
      <c r="I211" s="187">
        <f t="shared" si="4"/>
        <v>133</v>
      </c>
      <c r="J211" s="188"/>
      <c r="K211" s="187">
        <f t="shared" si="6"/>
        <v>833</v>
      </c>
    </row>
    <row r="212" spans="1:11" x14ac:dyDescent="0.25">
      <c r="A212" s="183" t="s">
        <v>440</v>
      </c>
      <c r="B212" s="184" t="s">
        <v>442</v>
      </c>
      <c r="C212" s="185" t="s">
        <v>317</v>
      </c>
      <c r="D212" s="186">
        <v>1790</v>
      </c>
      <c r="E212" s="187">
        <f t="shared" si="36"/>
        <v>340.1</v>
      </c>
      <c r="F212" s="188"/>
      <c r="G212" s="187">
        <f t="shared" si="2"/>
        <v>2130.1</v>
      </c>
      <c r="H212" s="189">
        <f t="shared" si="49"/>
        <v>1790</v>
      </c>
      <c r="I212" s="187">
        <f t="shared" si="4"/>
        <v>340.1</v>
      </c>
      <c r="J212" s="188"/>
      <c r="K212" s="187">
        <f t="shared" si="6"/>
        <v>2130.1</v>
      </c>
    </row>
    <row r="213" spans="1:11" x14ac:dyDescent="0.25">
      <c r="A213" s="183" t="s">
        <v>440</v>
      </c>
      <c r="B213" s="184" t="s">
        <v>443</v>
      </c>
      <c r="C213" s="185" t="s">
        <v>317</v>
      </c>
      <c r="D213" s="186">
        <v>1790</v>
      </c>
      <c r="E213" s="187">
        <f t="shared" si="36"/>
        <v>340.1</v>
      </c>
      <c r="F213" s="188"/>
      <c r="G213" s="187">
        <f t="shared" si="2"/>
        <v>2130.1</v>
      </c>
      <c r="H213" s="189">
        <f t="shared" si="49"/>
        <v>1790</v>
      </c>
      <c r="I213" s="187">
        <f t="shared" si="4"/>
        <v>340.1</v>
      </c>
      <c r="J213" s="188"/>
      <c r="K213" s="187">
        <f t="shared" si="6"/>
        <v>2130.1</v>
      </c>
    </row>
    <row r="214" spans="1:11" x14ac:dyDescent="0.25">
      <c r="A214" s="183" t="s">
        <v>440</v>
      </c>
      <c r="B214" s="184" t="s">
        <v>444</v>
      </c>
      <c r="C214" s="185" t="s">
        <v>352</v>
      </c>
      <c r="D214" s="186">
        <v>107</v>
      </c>
      <c r="E214" s="187">
        <f t="shared" si="36"/>
        <v>20.330000000000002</v>
      </c>
      <c r="F214" s="188"/>
      <c r="G214" s="187">
        <f t="shared" si="2"/>
        <v>127.33</v>
      </c>
      <c r="H214" s="189">
        <f t="shared" si="49"/>
        <v>107</v>
      </c>
      <c r="I214" s="187">
        <f t="shared" si="4"/>
        <v>20.330000000000002</v>
      </c>
      <c r="J214" s="188"/>
      <c r="K214" s="187">
        <f t="shared" si="6"/>
        <v>127.33</v>
      </c>
    </row>
    <row r="215" spans="1:11" x14ac:dyDescent="0.25">
      <c r="A215" s="183" t="s">
        <v>445</v>
      </c>
      <c r="B215" s="194" t="s">
        <v>446</v>
      </c>
      <c r="C215" s="185" t="s">
        <v>322</v>
      </c>
      <c r="D215" s="186">
        <v>5437</v>
      </c>
      <c r="E215" s="187">
        <f t="shared" si="36"/>
        <v>1033.03</v>
      </c>
      <c r="F215" s="188">
        <f t="shared" ref="F215:F216" si="50">D215*0.315</f>
        <v>1712.655</v>
      </c>
      <c r="G215" s="187">
        <f t="shared" si="2"/>
        <v>8182.6849999999995</v>
      </c>
      <c r="H215" s="189">
        <f t="shared" ref="H215:H216" si="51">D215/750</f>
        <v>7.2493333333333334</v>
      </c>
      <c r="I215" s="187">
        <f t="shared" si="4"/>
        <v>1.3773733333333333</v>
      </c>
      <c r="J215" s="188">
        <f t="shared" ref="J215:J216" si="52">H215*0.315</f>
        <v>2.2835399999999999</v>
      </c>
      <c r="K215" s="187">
        <f t="shared" si="6"/>
        <v>10.910246666666668</v>
      </c>
    </row>
    <row r="216" spans="1:11" x14ac:dyDescent="0.25">
      <c r="A216" s="174" t="s">
        <v>445</v>
      </c>
      <c r="B216" s="181" t="s">
        <v>179</v>
      </c>
      <c r="C216" s="176" t="s">
        <v>322</v>
      </c>
      <c r="D216" s="177">
        <v>6012.9</v>
      </c>
      <c r="E216" s="178">
        <f t="shared" si="36"/>
        <v>1142.451</v>
      </c>
      <c r="F216" s="179">
        <f t="shared" si="50"/>
        <v>1894.0635</v>
      </c>
      <c r="G216" s="178">
        <f t="shared" si="2"/>
        <v>9049.414499999999</v>
      </c>
      <c r="H216" s="180">
        <f t="shared" si="51"/>
        <v>8.017199999999999</v>
      </c>
      <c r="I216" s="178">
        <f t="shared" si="4"/>
        <v>1.5232679999999998</v>
      </c>
      <c r="J216" s="179">
        <f t="shared" si="52"/>
        <v>2.5254179999999997</v>
      </c>
      <c r="K216" s="178">
        <f t="shared" si="6"/>
        <v>12.065885999999999</v>
      </c>
    </row>
    <row r="217" spans="1:11" x14ac:dyDescent="0.25">
      <c r="A217" s="183" t="s">
        <v>445</v>
      </c>
      <c r="B217" s="184" t="s">
        <v>215</v>
      </c>
      <c r="C217" s="185" t="s">
        <v>334</v>
      </c>
      <c r="D217" s="186">
        <v>2918</v>
      </c>
      <c r="E217" s="187">
        <f t="shared" si="36"/>
        <v>554.41999999999996</v>
      </c>
      <c r="F217" s="188">
        <f>0.205*D217</f>
        <v>598.18999999999994</v>
      </c>
      <c r="G217" s="187">
        <f t="shared" si="2"/>
        <v>4070.61</v>
      </c>
      <c r="H217" s="189">
        <f>D217/750</f>
        <v>3.8906666666666667</v>
      </c>
      <c r="I217" s="187">
        <f t="shared" si="4"/>
        <v>0.7392266666666667</v>
      </c>
      <c r="J217" s="188">
        <f>0.205*H217</f>
        <v>0.79758666666666667</v>
      </c>
      <c r="K217" s="187">
        <f>SUM(H217:J217)</f>
        <v>5.4274800000000001</v>
      </c>
    </row>
    <row r="218" spans="1:11" x14ac:dyDescent="0.25">
      <c r="A218" s="183" t="s">
        <v>445</v>
      </c>
      <c r="B218" s="184" t="s">
        <v>201</v>
      </c>
      <c r="C218" s="185" t="s">
        <v>322</v>
      </c>
      <c r="D218" s="186">
        <v>7594</v>
      </c>
      <c r="E218" s="187">
        <f t="shared" si="36"/>
        <v>1442.8600000000001</v>
      </c>
      <c r="F218" s="188">
        <f t="shared" ref="F218:F221" si="53">D218*0.315</f>
        <v>2392.11</v>
      </c>
      <c r="G218" s="187">
        <f t="shared" si="2"/>
        <v>11428.970000000001</v>
      </c>
      <c r="H218" s="189">
        <f t="shared" ref="H218:H221" si="54">D218/750</f>
        <v>10.125333333333334</v>
      </c>
      <c r="I218" s="187">
        <f t="shared" si="4"/>
        <v>1.9238133333333334</v>
      </c>
      <c r="J218" s="188">
        <f t="shared" ref="J218:J219" si="55">H218*0.315</f>
        <v>3.1894800000000001</v>
      </c>
      <c r="K218" s="187">
        <f t="shared" si="6"/>
        <v>15.238626666666667</v>
      </c>
    </row>
    <row r="219" spans="1:11" x14ac:dyDescent="0.25">
      <c r="A219" s="174" t="s">
        <v>445</v>
      </c>
      <c r="B219" s="181" t="s">
        <v>214</v>
      </c>
      <c r="C219" s="176" t="s">
        <v>322</v>
      </c>
      <c r="D219" s="177">
        <v>5353</v>
      </c>
      <c r="E219" s="178">
        <f t="shared" si="36"/>
        <v>1017.07</v>
      </c>
      <c r="F219" s="179">
        <f t="shared" si="53"/>
        <v>1686.1949999999999</v>
      </c>
      <c r="G219" s="178">
        <f t="shared" si="2"/>
        <v>8056.2649999999994</v>
      </c>
      <c r="H219" s="180">
        <f t="shared" si="54"/>
        <v>7.1373333333333333</v>
      </c>
      <c r="I219" s="178">
        <f t="shared" si="4"/>
        <v>1.3560933333333334</v>
      </c>
      <c r="J219" s="179">
        <f t="shared" si="55"/>
        <v>2.2482600000000001</v>
      </c>
      <c r="K219" s="178">
        <f t="shared" si="6"/>
        <v>10.741686666666666</v>
      </c>
    </row>
    <row r="220" spans="1:11" ht="15" customHeight="1" x14ac:dyDescent="0.25">
      <c r="A220" s="174" t="s">
        <v>445</v>
      </c>
      <c r="B220" s="181" t="s">
        <v>447</v>
      </c>
      <c r="C220" s="176" t="s">
        <v>322</v>
      </c>
      <c r="D220" s="177">
        <v>11108</v>
      </c>
      <c r="E220" s="178">
        <f t="shared" si="36"/>
        <v>2110.52</v>
      </c>
      <c r="F220" s="179">
        <f t="shared" si="53"/>
        <v>3499.02</v>
      </c>
      <c r="G220" s="178">
        <f t="shared" si="2"/>
        <v>16717.54</v>
      </c>
      <c r="H220" s="180">
        <f t="shared" si="54"/>
        <v>14.810666666666666</v>
      </c>
      <c r="I220" s="178">
        <f t="shared" si="4"/>
        <v>2.8140266666666665</v>
      </c>
      <c r="J220" s="179"/>
      <c r="K220" s="178">
        <f t="shared" si="6"/>
        <v>17.624693333333333</v>
      </c>
    </row>
    <row r="221" spans="1:11" x14ac:dyDescent="0.25">
      <c r="A221" s="183" t="s">
        <v>445</v>
      </c>
      <c r="B221" s="184" t="s">
        <v>221</v>
      </c>
      <c r="C221" s="185" t="s">
        <v>322</v>
      </c>
      <c r="D221" s="186">
        <v>4394</v>
      </c>
      <c r="E221" s="187">
        <f t="shared" si="36"/>
        <v>834.86</v>
      </c>
      <c r="F221" s="188">
        <f t="shared" si="53"/>
        <v>1384.11</v>
      </c>
      <c r="G221" s="187">
        <f t="shared" si="2"/>
        <v>6612.9699999999993</v>
      </c>
      <c r="H221" s="189">
        <f t="shared" si="54"/>
        <v>5.8586666666666662</v>
      </c>
      <c r="I221" s="187">
        <f t="shared" si="4"/>
        <v>1.1131466666666665</v>
      </c>
      <c r="J221" s="188">
        <f>H221*0.315</f>
        <v>1.8454799999999998</v>
      </c>
      <c r="K221" s="187">
        <f t="shared" si="6"/>
        <v>8.8172933333333319</v>
      </c>
    </row>
    <row r="222" spans="1:11" x14ac:dyDescent="0.25">
      <c r="A222" s="174" t="s">
        <v>445</v>
      </c>
      <c r="B222" s="181" t="s">
        <v>222</v>
      </c>
      <c r="C222" s="176" t="s">
        <v>317</v>
      </c>
      <c r="D222" s="177">
        <v>1012</v>
      </c>
      <c r="E222" s="178">
        <f t="shared" si="36"/>
        <v>192.28</v>
      </c>
      <c r="F222" s="179">
        <f>0.1*D222</f>
        <v>101.2</v>
      </c>
      <c r="G222" s="178">
        <f t="shared" si="2"/>
        <v>1305.48</v>
      </c>
      <c r="H222" s="180">
        <f>D222</f>
        <v>1012</v>
      </c>
      <c r="I222" s="178">
        <f t="shared" si="4"/>
        <v>192.28</v>
      </c>
      <c r="J222" s="179">
        <f>0.1*H222</f>
        <v>101.2</v>
      </c>
      <c r="K222" s="178">
        <f t="shared" si="6"/>
        <v>1305.48</v>
      </c>
    </row>
    <row r="223" spans="1:11" x14ac:dyDescent="0.25">
      <c r="A223" s="174" t="s">
        <v>445</v>
      </c>
      <c r="B223" s="181" t="s">
        <v>224</v>
      </c>
      <c r="C223" s="176" t="s">
        <v>322</v>
      </c>
      <c r="D223" s="177">
        <v>12905</v>
      </c>
      <c r="E223" s="178">
        <f t="shared" si="36"/>
        <v>2451.9499999999998</v>
      </c>
      <c r="F223" s="179">
        <f>0.315*D223</f>
        <v>4065.0749999999998</v>
      </c>
      <c r="G223" s="178">
        <f t="shared" si="2"/>
        <v>19422.025000000001</v>
      </c>
      <c r="H223" s="180">
        <f>D223/700</f>
        <v>18.435714285714287</v>
      </c>
      <c r="I223" s="178">
        <f t="shared" si="4"/>
        <v>3.5027857142857144</v>
      </c>
      <c r="J223" s="179">
        <f>0.315*H223</f>
        <v>5.8072500000000007</v>
      </c>
      <c r="K223" s="178">
        <f t="shared" si="6"/>
        <v>27.745750000000001</v>
      </c>
    </row>
    <row r="224" spans="1:11" ht="15" customHeight="1" x14ac:dyDescent="0.25">
      <c r="A224" s="174" t="s">
        <v>445</v>
      </c>
      <c r="B224" s="181" t="s">
        <v>227</v>
      </c>
      <c r="C224" s="176" t="s">
        <v>317</v>
      </c>
      <c r="D224" s="177">
        <v>1002</v>
      </c>
      <c r="E224" s="178">
        <f t="shared" si="36"/>
        <v>190.38</v>
      </c>
      <c r="F224" s="179">
        <f>0.18*D224</f>
        <v>180.35999999999999</v>
      </c>
      <c r="G224" s="178">
        <f t="shared" si="2"/>
        <v>1372.74</v>
      </c>
      <c r="H224" s="180">
        <f>D224</f>
        <v>1002</v>
      </c>
      <c r="I224" s="178">
        <f t="shared" si="4"/>
        <v>190.38</v>
      </c>
      <c r="J224" s="179">
        <f>0.1*H224</f>
        <v>100.2</v>
      </c>
      <c r="K224" s="178">
        <f t="shared" si="6"/>
        <v>1292.5800000000002</v>
      </c>
    </row>
    <row r="225" spans="1:11" ht="15" customHeight="1" x14ac:dyDescent="0.25">
      <c r="A225" s="174" t="s">
        <v>445</v>
      </c>
      <c r="B225" s="181" t="s">
        <v>234</v>
      </c>
      <c r="C225" s="176" t="s">
        <v>322</v>
      </c>
      <c r="D225" s="177">
        <v>16844</v>
      </c>
      <c r="E225" s="178">
        <f t="shared" si="36"/>
        <v>3200.36</v>
      </c>
      <c r="F225" s="179">
        <f t="shared" ref="F225:F228" si="56">0.315*D225</f>
        <v>5305.86</v>
      </c>
      <c r="G225" s="178">
        <f t="shared" si="2"/>
        <v>25350.22</v>
      </c>
      <c r="H225" s="180">
        <f>D225/1000</f>
        <v>16.844000000000001</v>
      </c>
      <c r="I225" s="178">
        <f t="shared" si="4"/>
        <v>3.2003600000000003</v>
      </c>
      <c r="J225" s="179">
        <f t="shared" ref="J225:J228" si="57">0.315*H225</f>
        <v>5.30586</v>
      </c>
      <c r="K225" s="178">
        <f t="shared" si="6"/>
        <v>25.35022</v>
      </c>
    </row>
    <row r="226" spans="1:11" x14ac:dyDescent="0.25">
      <c r="A226" s="174" t="s">
        <v>445</v>
      </c>
      <c r="B226" s="181" t="s">
        <v>235</v>
      </c>
      <c r="C226" s="176" t="s">
        <v>322</v>
      </c>
      <c r="D226" s="177">
        <v>13884</v>
      </c>
      <c r="E226" s="178">
        <f t="shared" si="36"/>
        <v>2637.96</v>
      </c>
      <c r="F226" s="179">
        <f t="shared" si="56"/>
        <v>4373.46</v>
      </c>
      <c r="G226" s="178">
        <f t="shared" si="2"/>
        <v>20895.419999999998</v>
      </c>
      <c r="H226" s="180">
        <f t="shared" ref="H226:H234" si="58">D226/750</f>
        <v>18.512</v>
      </c>
      <c r="I226" s="178">
        <f t="shared" si="4"/>
        <v>3.51728</v>
      </c>
      <c r="J226" s="179">
        <f t="shared" si="57"/>
        <v>5.8312800000000005</v>
      </c>
      <c r="K226" s="178">
        <f t="shared" si="6"/>
        <v>27.86056</v>
      </c>
    </row>
    <row r="227" spans="1:11" x14ac:dyDescent="0.25">
      <c r="A227" s="174" t="s">
        <v>445</v>
      </c>
      <c r="B227" s="181" t="s">
        <v>236</v>
      </c>
      <c r="C227" s="176" t="s">
        <v>322</v>
      </c>
      <c r="D227" s="177">
        <v>13884.5</v>
      </c>
      <c r="E227" s="178">
        <f t="shared" si="36"/>
        <v>2638.0549999999998</v>
      </c>
      <c r="F227" s="179">
        <f t="shared" si="56"/>
        <v>4373.6175000000003</v>
      </c>
      <c r="G227" s="178">
        <f t="shared" si="2"/>
        <v>20896.172500000001</v>
      </c>
      <c r="H227" s="180">
        <f t="shared" si="58"/>
        <v>18.512666666666668</v>
      </c>
      <c r="I227" s="178">
        <f t="shared" si="4"/>
        <v>3.517406666666667</v>
      </c>
      <c r="J227" s="179">
        <f t="shared" si="57"/>
        <v>5.8314900000000005</v>
      </c>
      <c r="K227" s="178">
        <f t="shared" si="6"/>
        <v>27.861563333333336</v>
      </c>
    </row>
    <row r="228" spans="1:11" x14ac:dyDescent="0.25">
      <c r="A228" s="174" t="s">
        <v>445</v>
      </c>
      <c r="B228" s="181" t="s">
        <v>237</v>
      </c>
      <c r="C228" s="176" t="s">
        <v>322</v>
      </c>
      <c r="D228" s="177">
        <v>6834</v>
      </c>
      <c r="E228" s="178">
        <f t="shared" si="36"/>
        <v>1298.46</v>
      </c>
      <c r="F228" s="179">
        <f t="shared" si="56"/>
        <v>2152.71</v>
      </c>
      <c r="G228" s="178">
        <f t="shared" si="2"/>
        <v>10285.17</v>
      </c>
      <c r="H228" s="180">
        <f t="shared" si="58"/>
        <v>9.1120000000000001</v>
      </c>
      <c r="I228" s="178">
        <f t="shared" si="4"/>
        <v>1.7312799999999999</v>
      </c>
      <c r="J228" s="179">
        <f t="shared" si="57"/>
        <v>2.8702800000000002</v>
      </c>
      <c r="K228" s="178">
        <f t="shared" si="6"/>
        <v>13.713560000000001</v>
      </c>
    </row>
    <row r="229" spans="1:11" x14ac:dyDescent="0.25">
      <c r="A229" s="183" t="s">
        <v>445</v>
      </c>
      <c r="B229" s="184" t="s">
        <v>448</v>
      </c>
      <c r="C229" s="185" t="s">
        <v>322</v>
      </c>
      <c r="D229" s="186">
        <v>5690</v>
      </c>
      <c r="E229" s="187">
        <f t="shared" si="36"/>
        <v>1081.0999999999999</v>
      </c>
      <c r="F229" s="188"/>
      <c r="G229" s="187">
        <f t="shared" si="2"/>
        <v>6771.1</v>
      </c>
      <c r="H229" s="189">
        <f t="shared" si="58"/>
        <v>7.5866666666666669</v>
      </c>
      <c r="I229" s="187">
        <f t="shared" si="4"/>
        <v>1.4414666666666667</v>
      </c>
      <c r="J229" s="188"/>
      <c r="K229" s="187">
        <f t="shared" si="6"/>
        <v>9.0281333333333329</v>
      </c>
    </row>
    <row r="230" spans="1:11" x14ac:dyDescent="0.25">
      <c r="A230" s="183" t="s">
        <v>445</v>
      </c>
      <c r="B230" s="184" t="s">
        <v>245</v>
      </c>
      <c r="C230" s="185" t="s">
        <v>322</v>
      </c>
      <c r="D230" s="186">
        <v>5690</v>
      </c>
      <c r="E230" s="187">
        <f t="shared" si="36"/>
        <v>1081.0999999999999</v>
      </c>
      <c r="F230" s="188">
        <f t="shared" ref="F230:F231" si="59">D230*0.315</f>
        <v>1792.35</v>
      </c>
      <c r="G230" s="187">
        <f t="shared" si="2"/>
        <v>8563.4500000000007</v>
      </c>
      <c r="H230" s="189">
        <f t="shared" si="58"/>
        <v>7.5866666666666669</v>
      </c>
      <c r="I230" s="187">
        <f t="shared" si="4"/>
        <v>1.4414666666666667</v>
      </c>
      <c r="J230" s="188">
        <f t="shared" ref="J230:J231" si="60">H230*0.315</f>
        <v>2.3898000000000001</v>
      </c>
      <c r="K230" s="187">
        <f t="shared" si="6"/>
        <v>11.417933333333334</v>
      </c>
    </row>
    <row r="231" spans="1:11" x14ac:dyDescent="0.25">
      <c r="A231" s="174" t="s">
        <v>445</v>
      </c>
      <c r="B231" s="181" t="s">
        <v>246</v>
      </c>
      <c r="C231" s="176" t="s">
        <v>322</v>
      </c>
      <c r="D231" s="177">
        <v>3151</v>
      </c>
      <c r="E231" s="178">
        <f t="shared" si="36"/>
        <v>598.69000000000005</v>
      </c>
      <c r="F231" s="179">
        <f t="shared" si="59"/>
        <v>992.56500000000005</v>
      </c>
      <c r="G231" s="178">
        <f t="shared" si="2"/>
        <v>4742.2550000000001</v>
      </c>
      <c r="H231" s="180">
        <f t="shared" si="58"/>
        <v>4.2013333333333334</v>
      </c>
      <c r="I231" s="178">
        <f t="shared" si="4"/>
        <v>0.79825333333333337</v>
      </c>
      <c r="J231" s="179">
        <f t="shared" si="60"/>
        <v>1.32342</v>
      </c>
      <c r="K231" s="178">
        <f t="shared" si="6"/>
        <v>6.3230066666666662</v>
      </c>
    </row>
    <row r="232" spans="1:11" x14ac:dyDescent="0.25">
      <c r="A232" s="174" t="s">
        <v>445</v>
      </c>
      <c r="B232" s="181" t="s">
        <v>272</v>
      </c>
      <c r="C232" s="176" t="s">
        <v>322</v>
      </c>
      <c r="D232" s="177">
        <v>7897.5</v>
      </c>
      <c r="E232" s="178">
        <f t="shared" si="36"/>
        <v>1500.5250000000001</v>
      </c>
      <c r="F232" s="179">
        <f t="shared" ref="F232:F234" si="61">0.205*D232</f>
        <v>1618.9875</v>
      </c>
      <c r="G232" s="178">
        <f t="shared" si="2"/>
        <v>11017.012499999999</v>
      </c>
      <c r="H232" s="180">
        <f t="shared" si="58"/>
        <v>10.53</v>
      </c>
      <c r="I232" s="178">
        <f t="shared" si="4"/>
        <v>2.0006999999999997</v>
      </c>
      <c r="J232" s="179">
        <f t="shared" ref="J232:J234" si="62">0.205*H232</f>
        <v>2.1586499999999997</v>
      </c>
      <c r="K232" s="178">
        <f t="shared" si="6"/>
        <v>14.689349999999999</v>
      </c>
    </row>
    <row r="233" spans="1:11" x14ac:dyDescent="0.25">
      <c r="A233" s="174" t="s">
        <v>445</v>
      </c>
      <c r="B233" s="181" t="s">
        <v>273</v>
      </c>
      <c r="C233" s="176" t="s">
        <v>334</v>
      </c>
      <c r="D233" s="177">
        <v>7897.5</v>
      </c>
      <c r="E233" s="178">
        <f t="shared" si="36"/>
        <v>1500.5250000000001</v>
      </c>
      <c r="F233" s="179">
        <f t="shared" si="61"/>
        <v>1618.9875</v>
      </c>
      <c r="G233" s="178">
        <f t="shared" si="2"/>
        <v>11017.012499999999</v>
      </c>
      <c r="H233" s="180">
        <f t="shared" si="58"/>
        <v>10.53</v>
      </c>
      <c r="I233" s="178">
        <f t="shared" si="4"/>
        <v>2.0006999999999997</v>
      </c>
      <c r="J233" s="179">
        <f t="shared" si="62"/>
        <v>2.1586499999999997</v>
      </c>
      <c r="K233" s="178">
        <f t="shared" si="6"/>
        <v>14.689349999999999</v>
      </c>
    </row>
    <row r="234" spans="1:11" x14ac:dyDescent="0.25">
      <c r="A234" s="174" t="s">
        <v>445</v>
      </c>
      <c r="B234" s="181" t="s">
        <v>274</v>
      </c>
      <c r="C234" s="176" t="s">
        <v>334</v>
      </c>
      <c r="D234" s="177">
        <v>7897.5</v>
      </c>
      <c r="E234" s="178">
        <f t="shared" si="36"/>
        <v>1500.5250000000001</v>
      </c>
      <c r="F234" s="179">
        <f t="shared" si="61"/>
        <v>1618.9875</v>
      </c>
      <c r="G234" s="178">
        <f t="shared" si="2"/>
        <v>11017.012499999999</v>
      </c>
      <c r="H234" s="180">
        <f t="shared" si="58"/>
        <v>10.53</v>
      </c>
      <c r="I234" s="178">
        <f t="shared" si="4"/>
        <v>2.0006999999999997</v>
      </c>
      <c r="J234" s="179">
        <f t="shared" si="62"/>
        <v>2.1586499999999997</v>
      </c>
      <c r="K234" s="178">
        <f t="shared" si="6"/>
        <v>14.689349999999999</v>
      </c>
    </row>
    <row r="235" spans="1:11" x14ac:dyDescent="0.25">
      <c r="A235" s="183" t="s">
        <v>445</v>
      </c>
      <c r="B235" s="184" t="s">
        <v>285</v>
      </c>
      <c r="C235" s="185" t="s">
        <v>322</v>
      </c>
      <c r="D235" s="186">
        <v>7780</v>
      </c>
      <c r="E235" s="187">
        <f t="shared" si="36"/>
        <v>1478.2</v>
      </c>
      <c r="F235" s="188">
        <f t="shared" ref="F235:F236" si="63">0.315*D235</f>
        <v>2450.6999999999998</v>
      </c>
      <c r="G235" s="187">
        <f t="shared" si="2"/>
        <v>11708.900000000001</v>
      </c>
      <c r="H235" s="189">
        <f>D235/1000</f>
        <v>7.78</v>
      </c>
      <c r="I235" s="187">
        <f t="shared" si="4"/>
        <v>1.4782</v>
      </c>
      <c r="J235" s="188">
        <f t="shared" ref="J235:J236" si="64">0.315*H235</f>
        <v>2.4506999999999999</v>
      </c>
      <c r="K235" s="187">
        <f t="shared" si="6"/>
        <v>11.7089</v>
      </c>
    </row>
    <row r="236" spans="1:11" x14ac:dyDescent="0.25">
      <c r="A236" s="174" t="s">
        <v>445</v>
      </c>
      <c r="B236" s="181" t="s">
        <v>290</v>
      </c>
      <c r="C236" s="176" t="s">
        <v>322</v>
      </c>
      <c r="D236" s="177">
        <v>9846.6</v>
      </c>
      <c r="E236" s="178">
        <f t="shared" si="36"/>
        <v>1870.854</v>
      </c>
      <c r="F236" s="179">
        <f t="shared" si="63"/>
        <v>3101.6790000000001</v>
      </c>
      <c r="G236" s="178">
        <f t="shared" si="2"/>
        <v>14819.133</v>
      </c>
      <c r="H236" s="180">
        <f>D236/750</f>
        <v>13.1288</v>
      </c>
      <c r="I236" s="178">
        <f t="shared" si="4"/>
        <v>2.494472</v>
      </c>
      <c r="J236" s="179">
        <f t="shared" si="64"/>
        <v>4.1355719999999998</v>
      </c>
      <c r="K236" s="178">
        <f t="shared" si="6"/>
        <v>19.758844</v>
      </c>
    </row>
    <row r="237" spans="1:11" x14ac:dyDescent="0.25">
      <c r="A237" s="174" t="s">
        <v>445</v>
      </c>
      <c r="B237" s="181" t="s">
        <v>293</v>
      </c>
      <c r="C237" s="176" t="s">
        <v>317</v>
      </c>
      <c r="D237" s="177">
        <v>1012</v>
      </c>
      <c r="E237" s="178">
        <f t="shared" si="36"/>
        <v>192.28</v>
      </c>
      <c r="F237" s="179">
        <f>D237*0.1</f>
        <v>101.2</v>
      </c>
      <c r="G237" s="178">
        <f t="shared" si="2"/>
        <v>1305.48</v>
      </c>
      <c r="H237" s="180">
        <f>D237</f>
        <v>1012</v>
      </c>
      <c r="I237" s="178">
        <f t="shared" si="4"/>
        <v>192.28</v>
      </c>
      <c r="J237" s="179">
        <f>H237*0.1</f>
        <v>101.2</v>
      </c>
      <c r="K237" s="178">
        <f t="shared" si="6"/>
        <v>1305.48</v>
      </c>
    </row>
    <row r="238" spans="1:11" x14ac:dyDescent="0.25">
      <c r="A238" s="183" t="s">
        <v>445</v>
      </c>
      <c r="B238" s="184" t="s">
        <v>300</v>
      </c>
      <c r="C238" s="185" t="s">
        <v>322</v>
      </c>
      <c r="D238" s="186">
        <v>3345</v>
      </c>
      <c r="E238" s="187">
        <f t="shared" si="36"/>
        <v>635.54999999999995</v>
      </c>
      <c r="F238" s="188">
        <f>D238*0.315</f>
        <v>1053.675</v>
      </c>
      <c r="G238" s="187">
        <f t="shared" si="2"/>
        <v>5034.2250000000004</v>
      </c>
      <c r="H238" s="189">
        <f>D238/750</f>
        <v>4.46</v>
      </c>
      <c r="I238" s="187">
        <f t="shared" si="4"/>
        <v>0.84740000000000004</v>
      </c>
      <c r="J238" s="188">
        <f>H238*0.315</f>
        <v>1.4049</v>
      </c>
      <c r="K238" s="187">
        <f t="shared" si="6"/>
        <v>6.7123000000000008</v>
      </c>
    </row>
    <row r="239" spans="1:11" x14ac:dyDescent="0.25">
      <c r="A239" s="183" t="s">
        <v>449</v>
      </c>
      <c r="B239" s="184" t="s">
        <v>450</v>
      </c>
      <c r="C239" s="185" t="s">
        <v>317</v>
      </c>
      <c r="D239" s="186">
        <v>1727</v>
      </c>
      <c r="E239" s="187">
        <f t="shared" si="36"/>
        <v>328.13</v>
      </c>
      <c r="F239" s="188"/>
      <c r="G239" s="187">
        <f t="shared" si="2"/>
        <v>2055.13</v>
      </c>
      <c r="H239" s="189">
        <f t="shared" ref="H239:H243" si="65">D239</f>
        <v>1727</v>
      </c>
      <c r="I239" s="187">
        <f t="shared" si="4"/>
        <v>328.13</v>
      </c>
      <c r="J239" s="188"/>
      <c r="K239" s="187">
        <f t="shared" si="6"/>
        <v>2055.13</v>
      </c>
    </row>
    <row r="240" spans="1:11" x14ac:dyDescent="0.25">
      <c r="A240" s="174" t="s">
        <v>570</v>
      </c>
      <c r="B240" s="181" t="s">
        <v>83</v>
      </c>
      <c r="C240" s="176" t="s">
        <v>346</v>
      </c>
      <c r="D240" s="177">
        <v>836</v>
      </c>
      <c r="E240" s="178">
        <f t="shared" si="36"/>
        <v>158.84</v>
      </c>
      <c r="F240" s="179"/>
      <c r="G240" s="178">
        <f t="shared" si="2"/>
        <v>994.84</v>
      </c>
      <c r="H240" s="180">
        <f t="shared" si="65"/>
        <v>836</v>
      </c>
      <c r="I240" s="178">
        <f t="shared" si="4"/>
        <v>158.84</v>
      </c>
      <c r="J240" s="179"/>
      <c r="K240" s="178">
        <f t="shared" si="6"/>
        <v>994.84</v>
      </c>
    </row>
    <row r="241" spans="1:11" x14ac:dyDescent="0.25">
      <c r="A241" s="174" t="s">
        <v>570</v>
      </c>
      <c r="B241" s="181" t="s">
        <v>84</v>
      </c>
      <c r="C241" s="176" t="s">
        <v>346</v>
      </c>
      <c r="D241" s="177">
        <v>836</v>
      </c>
      <c r="E241" s="178">
        <f t="shared" si="36"/>
        <v>158.84</v>
      </c>
      <c r="F241" s="179"/>
      <c r="G241" s="178">
        <f t="shared" si="2"/>
        <v>994.84</v>
      </c>
      <c r="H241" s="180">
        <f t="shared" si="65"/>
        <v>836</v>
      </c>
      <c r="I241" s="178">
        <f t="shared" si="4"/>
        <v>158.84</v>
      </c>
      <c r="J241" s="179"/>
      <c r="K241" s="178">
        <f t="shared" si="6"/>
        <v>994.84</v>
      </c>
    </row>
    <row r="242" spans="1:11" x14ac:dyDescent="0.25">
      <c r="A242" s="174" t="s">
        <v>570</v>
      </c>
      <c r="B242" s="181" t="s">
        <v>85</v>
      </c>
      <c r="C242" s="176" t="s">
        <v>346</v>
      </c>
      <c r="D242" s="177">
        <v>836</v>
      </c>
      <c r="E242" s="178">
        <f t="shared" si="36"/>
        <v>158.84</v>
      </c>
      <c r="F242" s="179"/>
      <c r="G242" s="178">
        <f t="shared" si="2"/>
        <v>994.84</v>
      </c>
      <c r="H242" s="180">
        <f t="shared" si="65"/>
        <v>836</v>
      </c>
      <c r="I242" s="178">
        <f t="shared" si="4"/>
        <v>158.84</v>
      </c>
      <c r="J242" s="179"/>
      <c r="K242" s="178">
        <f t="shared" si="6"/>
        <v>994.84</v>
      </c>
    </row>
    <row r="243" spans="1:11" x14ac:dyDescent="0.25">
      <c r="A243" s="174" t="s">
        <v>570</v>
      </c>
      <c r="B243" s="181" t="s">
        <v>451</v>
      </c>
      <c r="C243" s="176" t="s">
        <v>352</v>
      </c>
      <c r="D243" s="177">
        <v>6690</v>
      </c>
      <c r="E243" s="178">
        <f t="shared" si="36"/>
        <v>1271.0999999999999</v>
      </c>
      <c r="F243" s="179"/>
      <c r="G243" s="178">
        <f t="shared" si="2"/>
        <v>7961.1</v>
      </c>
      <c r="H243" s="180">
        <f t="shared" si="65"/>
        <v>6690</v>
      </c>
      <c r="I243" s="178">
        <f t="shared" si="4"/>
        <v>1271.0999999999999</v>
      </c>
      <c r="J243" s="179"/>
      <c r="K243" s="178">
        <f t="shared" si="6"/>
        <v>7961.1</v>
      </c>
    </row>
    <row r="244" spans="1:11" x14ac:dyDescent="0.25">
      <c r="A244" s="183" t="s">
        <v>449</v>
      </c>
      <c r="B244" s="184" t="s">
        <v>452</v>
      </c>
      <c r="C244" s="185" t="s">
        <v>317</v>
      </c>
      <c r="D244" s="186">
        <v>5700</v>
      </c>
      <c r="E244" s="187">
        <f t="shared" si="36"/>
        <v>1083</v>
      </c>
      <c r="F244" s="188"/>
      <c r="G244" s="187">
        <f t="shared" si="2"/>
        <v>6783</v>
      </c>
      <c r="H244" s="189">
        <f>D244/8</f>
        <v>712.5</v>
      </c>
      <c r="I244" s="187">
        <f t="shared" si="4"/>
        <v>135.375</v>
      </c>
      <c r="J244" s="188"/>
      <c r="K244" s="187">
        <f t="shared" si="6"/>
        <v>847.875</v>
      </c>
    </row>
    <row r="245" spans="1:11" ht="15" customHeight="1" x14ac:dyDescent="0.25">
      <c r="A245" s="183" t="s">
        <v>449</v>
      </c>
      <c r="B245" s="184" t="s">
        <v>271</v>
      </c>
      <c r="C245" s="185" t="s">
        <v>352</v>
      </c>
      <c r="D245" s="186">
        <v>14500</v>
      </c>
      <c r="E245" s="187">
        <f t="shared" si="36"/>
        <v>2755</v>
      </c>
      <c r="F245" s="188"/>
      <c r="G245" s="187">
        <f t="shared" si="2"/>
        <v>17255</v>
      </c>
      <c r="H245" s="189">
        <f>D245/4</f>
        <v>3625</v>
      </c>
      <c r="I245" s="187">
        <f t="shared" si="4"/>
        <v>688.75</v>
      </c>
      <c r="J245" s="188"/>
      <c r="K245" s="187">
        <f t="shared" si="6"/>
        <v>4313.75</v>
      </c>
    </row>
    <row r="246" spans="1:11" x14ac:dyDescent="0.25">
      <c r="A246" s="174" t="s">
        <v>571</v>
      </c>
      <c r="B246" s="181" t="s">
        <v>86</v>
      </c>
      <c r="C246" s="176" t="s">
        <v>346</v>
      </c>
      <c r="D246" s="177">
        <v>3197</v>
      </c>
      <c r="E246" s="178">
        <f t="shared" si="36"/>
        <v>607.43000000000006</v>
      </c>
      <c r="F246" s="179"/>
      <c r="G246" s="178">
        <f t="shared" si="2"/>
        <v>3804.4300000000003</v>
      </c>
      <c r="H246" s="180">
        <f t="shared" ref="H246:H265" si="66">D246</f>
        <v>3197</v>
      </c>
      <c r="I246" s="178">
        <f t="shared" si="4"/>
        <v>607.43000000000006</v>
      </c>
      <c r="J246" s="179"/>
      <c r="K246" s="178">
        <f t="shared" si="6"/>
        <v>3804.4300000000003</v>
      </c>
    </row>
    <row r="247" spans="1:11" x14ac:dyDescent="0.25">
      <c r="A247" s="174" t="s">
        <v>571</v>
      </c>
      <c r="B247" s="181" t="s">
        <v>453</v>
      </c>
      <c r="C247" s="176" t="s">
        <v>352</v>
      </c>
      <c r="D247" s="177">
        <v>12790</v>
      </c>
      <c r="E247" s="178">
        <f t="shared" si="36"/>
        <v>2430.1</v>
      </c>
      <c r="F247" s="179"/>
      <c r="G247" s="178">
        <f t="shared" si="2"/>
        <v>15220.1</v>
      </c>
      <c r="H247" s="180">
        <f t="shared" si="66"/>
        <v>12790</v>
      </c>
      <c r="I247" s="178">
        <f t="shared" si="4"/>
        <v>2430.1</v>
      </c>
      <c r="J247" s="179"/>
      <c r="K247" s="178">
        <f t="shared" si="6"/>
        <v>15220.1</v>
      </c>
    </row>
    <row r="248" spans="1:11" x14ac:dyDescent="0.25">
      <c r="A248" s="183" t="s">
        <v>454</v>
      </c>
      <c r="B248" s="184" t="s">
        <v>455</v>
      </c>
      <c r="C248" s="185" t="s">
        <v>456</v>
      </c>
      <c r="D248" s="186">
        <v>69133</v>
      </c>
      <c r="E248" s="187">
        <f t="shared" si="36"/>
        <v>13135.27</v>
      </c>
      <c r="F248" s="188"/>
      <c r="G248" s="187">
        <f t="shared" si="2"/>
        <v>82268.27</v>
      </c>
      <c r="H248" s="189">
        <f t="shared" si="66"/>
        <v>69133</v>
      </c>
      <c r="I248" s="187">
        <f t="shared" si="4"/>
        <v>13135.27</v>
      </c>
      <c r="J248" s="188"/>
      <c r="K248" s="187">
        <f t="shared" si="6"/>
        <v>82268.27</v>
      </c>
    </row>
    <row r="249" spans="1:11" x14ac:dyDescent="0.25">
      <c r="A249" s="183" t="s">
        <v>454</v>
      </c>
      <c r="B249" s="184" t="s">
        <v>457</v>
      </c>
      <c r="C249" s="185" t="s">
        <v>346</v>
      </c>
      <c r="D249" s="186">
        <v>2752</v>
      </c>
      <c r="E249" s="187">
        <f t="shared" si="36"/>
        <v>522.88</v>
      </c>
      <c r="F249" s="188"/>
      <c r="G249" s="187">
        <f t="shared" si="2"/>
        <v>3274.88</v>
      </c>
      <c r="H249" s="189">
        <f t="shared" si="66"/>
        <v>2752</v>
      </c>
      <c r="I249" s="187">
        <f t="shared" si="4"/>
        <v>522.88</v>
      </c>
      <c r="J249" s="188"/>
      <c r="K249" s="187">
        <f t="shared" si="6"/>
        <v>3274.88</v>
      </c>
    </row>
    <row r="250" spans="1:11" ht="15" customHeight="1" x14ac:dyDescent="0.25">
      <c r="A250" s="183" t="s">
        <v>454</v>
      </c>
      <c r="B250" s="184" t="s">
        <v>458</v>
      </c>
      <c r="C250" s="185" t="s">
        <v>346</v>
      </c>
      <c r="D250" s="186">
        <v>1477</v>
      </c>
      <c r="E250" s="187">
        <f t="shared" si="36"/>
        <v>280.63</v>
      </c>
      <c r="F250" s="188"/>
      <c r="G250" s="187">
        <f t="shared" si="2"/>
        <v>1757.63</v>
      </c>
      <c r="H250" s="189">
        <f t="shared" si="66"/>
        <v>1477</v>
      </c>
      <c r="I250" s="187">
        <f t="shared" si="4"/>
        <v>280.63</v>
      </c>
      <c r="J250" s="188"/>
      <c r="K250" s="187">
        <f t="shared" si="6"/>
        <v>1757.63</v>
      </c>
    </row>
    <row r="251" spans="1:11" x14ac:dyDescent="0.25">
      <c r="A251" s="183" t="s">
        <v>454</v>
      </c>
      <c r="B251" s="184" t="s">
        <v>459</v>
      </c>
      <c r="C251" s="185" t="s">
        <v>352</v>
      </c>
      <c r="D251" s="186">
        <v>3628.5</v>
      </c>
      <c r="E251" s="187">
        <f t="shared" si="36"/>
        <v>689.41499999999996</v>
      </c>
      <c r="F251" s="188"/>
      <c r="G251" s="187">
        <f t="shared" si="2"/>
        <v>4317.915</v>
      </c>
      <c r="H251" s="189">
        <f t="shared" si="66"/>
        <v>3628.5</v>
      </c>
      <c r="I251" s="187">
        <f t="shared" si="4"/>
        <v>689.41499999999996</v>
      </c>
      <c r="J251" s="188"/>
      <c r="K251" s="187">
        <f t="shared" si="6"/>
        <v>4317.915</v>
      </c>
    </row>
    <row r="252" spans="1:11" x14ac:dyDescent="0.25">
      <c r="A252" s="183" t="s">
        <v>454</v>
      </c>
      <c r="B252" s="184" t="s">
        <v>74</v>
      </c>
      <c r="C252" s="185" t="s">
        <v>346</v>
      </c>
      <c r="D252" s="186">
        <v>236</v>
      </c>
      <c r="E252" s="187">
        <f t="shared" si="36"/>
        <v>44.84</v>
      </c>
      <c r="F252" s="188"/>
      <c r="G252" s="187">
        <f t="shared" si="2"/>
        <v>280.84000000000003</v>
      </c>
      <c r="H252" s="189">
        <f t="shared" si="66"/>
        <v>236</v>
      </c>
      <c r="I252" s="187">
        <f t="shared" si="4"/>
        <v>44.84</v>
      </c>
      <c r="J252" s="188"/>
      <c r="K252" s="187">
        <f t="shared" si="6"/>
        <v>280.84000000000003</v>
      </c>
    </row>
    <row r="253" spans="1:11" x14ac:dyDescent="0.25">
      <c r="A253" s="174" t="s">
        <v>454</v>
      </c>
      <c r="B253" s="181" t="s">
        <v>460</v>
      </c>
      <c r="C253" s="176" t="s">
        <v>461</v>
      </c>
      <c r="D253" s="177">
        <v>70682.5</v>
      </c>
      <c r="E253" s="178">
        <f t="shared" si="36"/>
        <v>13429.674999999999</v>
      </c>
      <c r="F253" s="179"/>
      <c r="G253" s="178">
        <f t="shared" si="2"/>
        <v>84112.175000000003</v>
      </c>
      <c r="H253" s="180">
        <f t="shared" si="66"/>
        <v>70682.5</v>
      </c>
      <c r="I253" s="178">
        <f t="shared" si="4"/>
        <v>13429.674999999999</v>
      </c>
      <c r="J253" s="179"/>
      <c r="K253" s="178">
        <f t="shared" si="6"/>
        <v>84112.175000000003</v>
      </c>
    </row>
    <row r="254" spans="1:11" x14ac:dyDescent="0.25">
      <c r="A254" s="174" t="s">
        <v>454</v>
      </c>
      <c r="B254" s="181" t="s">
        <v>462</v>
      </c>
      <c r="C254" s="176" t="s">
        <v>346</v>
      </c>
      <c r="D254" s="177">
        <v>497</v>
      </c>
      <c r="E254" s="178">
        <f t="shared" si="36"/>
        <v>94.43</v>
      </c>
      <c r="F254" s="179"/>
      <c r="G254" s="178">
        <f t="shared" si="2"/>
        <v>591.43000000000006</v>
      </c>
      <c r="H254" s="180">
        <f t="shared" si="66"/>
        <v>497</v>
      </c>
      <c r="I254" s="178">
        <f t="shared" si="4"/>
        <v>94.43</v>
      </c>
      <c r="J254" s="179"/>
      <c r="K254" s="178">
        <f t="shared" si="6"/>
        <v>591.43000000000006</v>
      </c>
    </row>
    <row r="255" spans="1:11" x14ac:dyDescent="0.25">
      <c r="A255" s="174" t="s">
        <v>454</v>
      </c>
      <c r="B255" s="181" t="s">
        <v>73</v>
      </c>
      <c r="C255" s="176" t="s">
        <v>346</v>
      </c>
      <c r="D255" s="177">
        <v>497</v>
      </c>
      <c r="E255" s="178">
        <f t="shared" si="36"/>
        <v>94.43</v>
      </c>
      <c r="F255" s="179"/>
      <c r="G255" s="178">
        <f t="shared" si="2"/>
        <v>591.43000000000006</v>
      </c>
      <c r="H255" s="180">
        <f t="shared" si="66"/>
        <v>497</v>
      </c>
      <c r="I255" s="178">
        <f t="shared" si="4"/>
        <v>94.43</v>
      </c>
      <c r="J255" s="179"/>
      <c r="K255" s="178">
        <f t="shared" si="6"/>
        <v>591.43000000000006</v>
      </c>
    </row>
    <row r="256" spans="1:11" x14ac:dyDescent="0.25">
      <c r="A256" s="183" t="s">
        <v>454</v>
      </c>
      <c r="B256" s="184" t="s">
        <v>463</v>
      </c>
      <c r="C256" s="185" t="s">
        <v>348</v>
      </c>
      <c r="D256" s="186">
        <v>36400</v>
      </c>
      <c r="E256" s="187">
        <f t="shared" si="36"/>
        <v>6916</v>
      </c>
      <c r="F256" s="188"/>
      <c r="G256" s="187">
        <f t="shared" si="2"/>
        <v>43316</v>
      </c>
      <c r="H256" s="189">
        <f t="shared" si="66"/>
        <v>36400</v>
      </c>
      <c r="I256" s="187">
        <f t="shared" si="4"/>
        <v>6916</v>
      </c>
      <c r="J256" s="188"/>
      <c r="K256" s="187">
        <f t="shared" si="6"/>
        <v>43316</v>
      </c>
    </row>
    <row r="257" spans="1:11" x14ac:dyDescent="0.25">
      <c r="A257" s="183" t="s">
        <v>454</v>
      </c>
      <c r="B257" s="184" t="s">
        <v>238</v>
      </c>
      <c r="C257" s="185" t="s">
        <v>464</v>
      </c>
      <c r="D257" s="186">
        <v>2092.44</v>
      </c>
      <c r="E257" s="187">
        <f t="shared" si="36"/>
        <v>397.56360000000001</v>
      </c>
      <c r="F257" s="188"/>
      <c r="G257" s="187">
        <f t="shared" si="2"/>
        <v>2490.0036</v>
      </c>
      <c r="H257" s="189">
        <f t="shared" si="66"/>
        <v>2092.44</v>
      </c>
      <c r="I257" s="187">
        <f t="shared" si="4"/>
        <v>397.56360000000001</v>
      </c>
      <c r="J257" s="188"/>
      <c r="K257" s="187">
        <f t="shared" si="6"/>
        <v>2490.0036</v>
      </c>
    </row>
    <row r="258" spans="1:11" x14ac:dyDescent="0.25">
      <c r="A258" s="174" t="s">
        <v>454</v>
      </c>
      <c r="B258" s="181" t="s">
        <v>465</v>
      </c>
      <c r="C258" s="176" t="s">
        <v>386</v>
      </c>
      <c r="D258" s="177">
        <v>2966</v>
      </c>
      <c r="E258" s="178">
        <f t="shared" si="36"/>
        <v>563.54</v>
      </c>
      <c r="F258" s="179"/>
      <c r="G258" s="178">
        <f t="shared" si="2"/>
        <v>3529.54</v>
      </c>
      <c r="H258" s="180">
        <f t="shared" si="66"/>
        <v>2966</v>
      </c>
      <c r="I258" s="178">
        <f t="shared" si="4"/>
        <v>563.54</v>
      </c>
      <c r="J258" s="179"/>
      <c r="K258" s="178">
        <f t="shared" si="6"/>
        <v>3529.54</v>
      </c>
    </row>
    <row r="259" spans="1:11" ht="15" customHeight="1" x14ac:dyDescent="0.25">
      <c r="A259" s="174" t="s">
        <v>466</v>
      </c>
      <c r="B259" s="181" t="s">
        <v>91</v>
      </c>
      <c r="C259" s="176" t="s">
        <v>386</v>
      </c>
      <c r="D259" s="177">
        <v>2100</v>
      </c>
      <c r="E259" s="178">
        <f t="shared" si="36"/>
        <v>399</v>
      </c>
      <c r="F259" s="179"/>
      <c r="G259" s="178">
        <f t="shared" si="2"/>
        <v>2499</v>
      </c>
      <c r="H259" s="180">
        <f t="shared" si="66"/>
        <v>2100</v>
      </c>
      <c r="I259" s="178">
        <f t="shared" si="4"/>
        <v>399</v>
      </c>
      <c r="J259" s="179"/>
      <c r="K259" s="178">
        <f t="shared" si="6"/>
        <v>2499</v>
      </c>
    </row>
    <row r="260" spans="1:11" x14ac:dyDescent="0.25">
      <c r="A260" s="174" t="s">
        <v>466</v>
      </c>
      <c r="B260" s="181" t="s">
        <v>467</v>
      </c>
      <c r="C260" s="176" t="s">
        <v>348</v>
      </c>
      <c r="D260" s="177">
        <v>25200</v>
      </c>
      <c r="E260" s="178">
        <f t="shared" si="36"/>
        <v>4788</v>
      </c>
      <c r="F260" s="179"/>
      <c r="G260" s="178">
        <f t="shared" ref="G260:G406" si="67">SUM(D260:F260)</f>
        <v>29988</v>
      </c>
      <c r="H260" s="180">
        <f t="shared" si="66"/>
        <v>25200</v>
      </c>
      <c r="I260" s="178">
        <f t="shared" ref="I260:I406" si="68">H260*0.19</f>
        <v>4788</v>
      </c>
      <c r="J260" s="179"/>
      <c r="K260" s="178">
        <f t="shared" si="6"/>
        <v>29988</v>
      </c>
    </row>
    <row r="261" spans="1:11" x14ac:dyDescent="0.25">
      <c r="A261" s="183" t="s">
        <v>468</v>
      </c>
      <c r="B261" s="184" t="s">
        <v>219</v>
      </c>
      <c r="C261" s="185" t="s">
        <v>317</v>
      </c>
      <c r="D261" s="186">
        <v>3</v>
      </c>
      <c r="E261" s="187">
        <f t="shared" si="36"/>
        <v>0.57000000000000006</v>
      </c>
      <c r="F261" s="188"/>
      <c r="G261" s="187">
        <f t="shared" si="67"/>
        <v>3.5700000000000003</v>
      </c>
      <c r="H261" s="189">
        <f t="shared" si="66"/>
        <v>3</v>
      </c>
      <c r="I261" s="187">
        <f t="shared" si="68"/>
        <v>0.57000000000000006</v>
      </c>
      <c r="J261" s="188"/>
      <c r="K261" s="187">
        <f t="shared" ref="K261:K406" si="69">SUM(H261:J261)</f>
        <v>3.5700000000000003</v>
      </c>
    </row>
    <row r="262" spans="1:11" x14ac:dyDescent="0.25">
      <c r="A262" s="174" t="s">
        <v>469</v>
      </c>
      <c r="B262" s="181" t="s">
        <v>470</v>
      </c>
      <c r="C262" s="176" t="s">
        <v>360</v>
      </c>
      <c r="D262" s="177">
        <v>15126</v>
      </c>
      <c r="E262" s="178">
        <f t="shared" si="36"/>
        <v>2873.94</v>
      </c>
      <c r="F262" s="179"/>
      <c r="G262" s="178">
        <f t="shared" si="67"/>
        <v>17999.939999999999</v>
      </c>
      <c r="H262" s="180">
        <f t="shared" si="66"/>
        <v>15126</v>
      </c>
      <c r="I262" s="178">
        <f t="shared" si="68"/>
        <v>2873.94</v>
      </c>
      <c r="J262" s="179"/>
      <c r="K262" s="178">
        <f t="shared" si="69"/>
        <v>17999.939999999999</v>
      </c>
    </row>
    <row r="263" spans="1:11" x14ac:dyDescent="0.25">
      <c r="A263" s="183" t="s">
        <v>469</v>
      </c>
      <c r="B263" s="184" t="s">
        <v>471</v>
      </c>
      <c r="C263" s="185" t="s">
        <v>317</v>
      </c>
      <c r="D263" s="186"/>
      <c r="E263" s="187">
        <f t="shared" si="36"/>
        <v>0</v>
      </c>
      <c r="F263" s="188"/>
      <c r="G263" s="187">
        <f t="shared" si="67"/>
        <v>0</v>
      </c>
      <c r="H263" s="189">
        <f t="shared" si="66"/>
        <v>0</v>
      </c>
      <c r="I263" s="187">
        <f t="shared" si="68"/>
        <v>0</v>
      </c>
      <c r="J263" s="188"/>
      <c r="K263" s="187">
        <f t="shared" si="69"/>
        <v>0</v>
      </c>
    </row>
    <row r="264" spans="1:11" ht="15" customHeight="1" x14ac:dyDescent="0.25">
      <c r="A264" s="183" t="s">
        <v>469</v>
      </c>
      <c r="B264" s="184" t="s">
        <v>472</v>
      </c>
      <c r="C264" s="185" t="s">
        <v>317</v>
      </c>
      <c r="D264" s="186">
        <v>5069</v>
      </c>
      <c r="E264" s="187">
        <f t="shared" si="36"/>
        <v>963.11</v>
      </c>
      <c r="F264" s="188"/>
      <c r="G264" s="187">
        <f t="shared" si="67"/>
        <v>6032.11</v>
      </c>
      <c r="H264" s="189">
        <f t="shared" si="66"/>
        <v>5069</v>
      </c>
      <c r="I264" s="187">
        <f t="shared" si="68"/>
        <v>963.11</v>
      </c>
      <c r="J264" s="188"/>
      <c r="K264" s="187">
        <f t="shared" si="69"/>
        <v>6032.11</v>
      </c>
    </row>
    <row r="265" spans="1:11" x14ac:dyDescent="0.25">
      <c r="A265" s="183" t="s">
        <v>469</v>
      </c>
      <c r="B265" s="184" t="s">
        <v>473</v>
      </c>
      <c r="C265" s="185" t="s">
        <v>317</v>
      </c>
      <c r="D265" s="186">
        <v>1597</v>
      </c>
      <c r="E265" s="187">
        <f t="shared" si="36"/>
        <v>303.43</v>
      </c>
      <c r="F265" s="188"/>
      <c r="G265" s="187">
        <f t="shared" si="67"/>
        <v>1900.43</v>
      </c>
      <c r="H265" s="189">
        <f t="shared" si="66"/>
        <v>1597</v>
      </c>
      <c r="I265" s="187">
        <f t="shared" si="68"/>
        <v>303.43</v>
      </c>
      <c r="J265" s="188"/>
      <c r="K265" s="187">
        <f t="shared" si="69"/>
        <v>1900.43</v>
      </c>
    </row>
    <row r="266" spans="1:11" x14ac:dyDescent="0.25">
      <c r="A266" s="183" t="s">
        <v>474</v>
      </c>
      <c r="B266" s="184" t="s">
        <v>260</v>
      </c>
      <c r="C266" s="185" t="s">
        <v>322</v>
      </c>
      <c r="D266" s="186">
        <v>3250</v>
      </c>
      <c r="E266" s="187">
        <f t="shared" si="36"/>
        <v>617.5</v>
      </c>
      <c r="F266" s="188"/>
      <c r="G266" s="187">
        <f t="shared" si="67"/>
        <v>3867.5</v>
      </c>
      <c r="H266" s="189">
        <f t="shared" ref="H266:H271" si="70">D266/3200</f>
        <v>1.015625</v>
      </c>
      <c r="I266" s="187">
        <f t="shared" si="68"/>
        <v>0.19296874999999999</v>
      </c>
      <c r="J266" s="188"/>
      <c r="K266" s="187">
        <f t="shared" si="69"/>
        <v>1.2085937499999999</v>
      </c>
    </row>
    <row r="267" spans="1:11" x14ac:dyDescent="0.25">
      <c r="A267" s="183" t="s">
        <v>474</v>
      </c>
      <c r="B267" s="184" t="s">
        <v>261</v>
      </c>
      <c r="C267" s="185" t="s">
        <v>322</v>
      </c>
      <c r="D267" s="186">
        <v>2901</v>
      </c>
      <c r="E267" s="187">
        <f t="shared" si="36"/>
        <v>551.19000000000005</v>
      </c>
      <c r="F267" s="188"/>
      <c r="G267" s="187">
        <f t="shared" si="67"/>
        <v>3452.19</v>
      </c>
      <c r="H267" s="189">
        <f t="shared" si="70"/>
        <v>0.90656250000000005</v>
      </c>
      <c r="I267" s="187">
        <f t="shared" si="68"/>
        <v>0.17224687500000002</v>
      </c>
      <c r="J267" s="188"/>
      <c r="K267" s="187">
        <f t="shared" si="69"/>
        <v>1.0788093750000001</v>
      </c>
    </row>
    <row r="268" spans="1:11" x14ac:dyDescent="0.25">
      <c r="A268" s="174" t="s">
        <v>474</v>
      </c>
      <c r="B268" s="181" t="s">
        <v>262</v>
      </c>
      <c r="C268" s="176" t="s">
        <v>322</v>
      </c>
      <c r="D268" s="177">
        <v>2121</v>
      </c>
      <c r="E268" s="178">
        <f t="shared" si="36"/>
        <v>402.99</v>
      </c>
      <c r="F268" s="179"/>
      <c r="G268" s="178">
        <f t="shared" si="67"/>
        <v>2523.9899999999998</v>
      </c>
      <c r="H268" s="180">
        <f t="shared" si="70"/>
        <v>0.66281250000000003</v>
      </c>
      <c r="I268" s="178">
        <f t="shared" si="68"/>
        <v>0.12593437500000002</v>
      </c>
      <c r="J268" s="179"/>
      <c r="K268" s="178">
        <f t="shared" si="69"/>
        <v>0.78874687500000007</v>
      </c>
    </row>
    <row r="269" spans="1:11" x14ac:dyDescent="0.25">
      <c r="A269" s="174" t="s">
        <v>474</v>
      </c>
      <c r="B269" s="181" t="s">
        <v>135</v>
      </c>
      <c r="C269" s="176" t="s">
        <v>322</v>
      </c>
      <c r="D269" s="177">
        <v>3802</v>
      </c>
      <c r="E269" s="178">
        <f t="shared" si="36"/>
        <v>722.38</v>
      </c>
      <c r="F269" s="179"/>
      <c r="G269" s="178">
        <f t="shared" si="67"/>
        <v>4524.38</v>
      </c>
      <c r="H269" s="180">
        <f t="shared" si="70"/>
        <v>1.1881250000000001</v>
      </c>
      <c r="I269" s="178">
        <f t="shared" si="68"/>
        <v>0.22574375000000002</v>
      </c>
      <c r="J269" s="179"/>
      <c r="K269" s="178">
        <f t="shared" si="69"/>
        <v>1.4138687500000002</v>
      </c>
    </row>
    <row r="270" spans="1:11" x14ac:dyDescent="0.25">
      <c r="A270" s="174" t="s">
        <v>474</v>
      </c>
      <c r="B270" s="181" t="s">
        <v>263</v>
      </c>
      <c r="C270" s="176" t="s">
        <v>322</v>
      </c>
      <c r="D270" s="177">
        <v>3229</v>
      </c>
      <c r="E270" s="178">
        <f t="shared" si="36"/>
        <v>613.51</v>
      </c>
      <c r="F270" s="179"/>
      <c r="G270" s="178">
        <f t="shared" si="67"/>
        <v>3842.51</v>
      </c>
      <c r="H270" s="180">
        <f t="shared" si="70"/>
        <v>1.0090625</v>
      </c>
      <c r="I270" s="178">
        <f t="shared" si="68"/>
        <v>0.19172187499999999</v>
      </c>
      <c r="J270" s="179"/>
      <c r="K270" s="178">
        <f t="shared" si="69"/>
        <v>1.200784375</v>
      </c>
    </row>
    <row r="271" spans="1:11" ht="15" customHeight="1" x14ac:dyDescent="0.25">
      <c r="A271" s="174" t="s">
        <v>474</v>
      </c>
      <c r="B271" s="181" t="s">
        <v>264</v>
      </c>
      <c r="C271" s="176" t="s">
        <v>322</v>
      </c>
      <c r="D271" s="177">
        <v>4364</v>
      </c>
      <c r="E271" s="178">
        <f t="shared" si="36"/>
        <v>829.16</v>
      </c>
      <c r="F271" s="179"/>
      <c r="G271" s="178">
        <f t="shared" si="67"/>
        <v>5193.16</v>
      </c>
      <c r="H271" s="180">
        <f t="shared" si="70"/>
        <v>1.36375</v>
      </c>
      <c r="I271" s="178">
        <f t="shared" si="68"/>
        <v>0.25911250000000002</v>
      </c>
      <c r="J271" s="179"/>
      <c r="K271" s="178">
        <f t="shared" si="69"/>
        <v>1.6228625000000001</v>
      </c>
    </row>
    <row r="272" spans="1:11" x14ac:dyDescent="0.25">
      <c r="A272" s="183" t="s">
        <v>475</v>
      </c>
      <c r="B272" s="184" t="s">
        <v>476</v>
      </c>
      <c r="C272" s="185" t="s">
        <v>352</v>
      </c>
      <c r="D272" s="186">
        <v>250</v>
      </c>
      <c r="E272" s="187">
        <f t="shared" si="36"/>
        <v>47.5</v>
      </c>
      <c r="F272" s="188"/>
      <c r="G272" s="187">
        <f t="shared" si="67"/>
        <v>297.5</v>
      </c>
      <c r="H272" s="189">
        <f t="shared" ref="H272:H275" si="71">D272</f>
        <v>250</v>
      </c>
      <c r="I272" s="187">
        <f t="shared" si="68"/>
        <v>47.5</v>
      </c>
      <c r="J272" s="188"/>
      <c r="K272" s="187">
        <f t="shared" si="69"/>
        <v>297.5</v>
      </c>
    </row>
    <row r="273" spans="1:11" x14ac:dyDescent="0.25">
      <c r="A273" s="183" t="s">
        <v>475</v>
      </c>
      <c r="B273" s="184" t="s">
        <v>477</v>
      </c>
      <c r="C273" s="185" t="s">
        <v>352</v>
      </c>
      <c r="D273" s="186">
        <v>250</v>
      </c>
      <c r="E273" s="187">
        <f t="shared" si="36"/>
        <v>47.5</v>
      </c>
      <c r="F273" s="188"/>
      <c r="G273" s="187">
        <f t="shared" si="67"/>
        <v>297.5</v>
      </c>
      <c r="H273" s="189">
        <f t="shared" si="71"/>
        <v>250</v>
      </c>
      <c r="I273" s="187">
        <f t="shared" si="68"/>
        <v>47.5</v>
      </c>
      <c r="J273" s="188"/>
      <c r="K273" s="187">
        <f t="shared" si="69"/>
        <v>297.5</v>
      </c>
    </row>
    <row r="274" spans="1:11" x14ac:dyDescent="0.25">
      <c r="A274" s="183" t="s">
        <v>478</v>
      </c>
      <c r="B274" s="184" t="s">
        <v>479</v>
      </c>
      <c r="C274" s="73" t="s">
        <v>317</v>
      </c>
      <c r="D274" s="186">
        <v>66</v>
      </c>
      <c r="E274" s="187">
        <f t="shared" si="36"/>
        <v>12.540000000000001</v>
      </c>
      <c r="F274" s="188"/>
      <c r="G274" s="187">
        <f t="shared" si="67"/>
        <v>78.540000000000006</v>
      </c>
      <c r="H274" s="189">
        <f t="shared" si="71"/>
        <v>66</v>
      </c>
      <c r="I274" s="187">
        <f t="shared" si="68"/>
        <v>12.540000000000001</v>
      </c>
      <c r="J274" s="188"/>
      <c r="K274" s="187">
        <f t="shared" si="69"/>
        <v>78.540000000000006</v>
      </c>
    </row>
    <row r="275" spans="1:11" x14ac:dyDescent="0.25">
      <c r="A275" s="183" t="s">
        <v>478</v>
      </c>
      <c r="B275" s="184" t="s">
        <v>121</v>
      </c>
      <c r="C275" s="185" t="s">
        <v>352</v>
      </c>
      <c r="D275" s="186">
        <v>6533</v>
      </c>
      <c r="E275" s="187">
        <f t="shared" si="36"/>
        <v>1241.27</v>
      </c>
      <c r="F275" s="188"/>
      <c r="G275" s="187">
        <f t="shared" si="67"/>
        <v>7774.27</v>
      </c>
      <c r="H275" s="189">
        <f t="shared" si="71"/>
        <v>6533</v>
      </c>
      <c r="I275" s="187">
        <f t="shared" si="68"/>
        <v>1241.27</v>
      </c>
      <c r="J275" s="188"/>
      <c r="K275" s="187">
        <f t="shared" si="69"/>
        <v>7774.27</v>
      </c>
    </row>
    <row r="276" spans="1:11" ht="15" customHeight="1" x14ac:dyDescent="0.25">
      <c r="A276" s="183" t="s">
        <v>478</v>
      </c>
      <c r="B276" s="184" t="s">
        <v>141</v>
      </c>
      <c r="C276" s="185" t="s">
        <v>311</v>
      </c>
      <c r="D276" s="186">
        <v>22825</v>
      </c>
      <c r="E276" s="187">
        <f t="shared" si="36"/>
        <v>4336.75</v>
      </c>
      <c r="F276" s="188"/>
      <c r="G276" s="187">
        <f t="shared" si="67"/>
        <v>27161.75</v>
      </c>
      <c r="H276" s="189">
        <f>D276/60</f>
        <v>380.41666666666669</v>
      </c>
      <c r="I276" s="187">
        <f t="shared" si="68"/>
        <v>72.279166666666669</v>
      </c>
      <c r="J276" s="188"/>
      <c r="K276" s="187">
        <f t="shared" si="69"/>
        <v>452.69583333333333</v>
      </c>
    </row>
    <row r="277" spans="1:11" x14ac:dyDescent="0.25">
      <c r="A277" s="183" t="s">
        <v>478</v>
      </c>
      <c r="B277" s="184" t="s">
        <v>480</v>
      </c>
      <c r="C277" s="185" t="s">
        <v>352</v>
      </c>
      <c r="D277" s="186"/>
      <c r="E277" s="187">
        <f t="shared" si="36"/>
        <v>0</v>
      </c>
      <c r="F277" s="188"/>
      <c r="G277" s="187">
        <f t="shared" si="67"/>
        <v>0</v>
      </c>
      <c r="H277" s="189">
        <f t="shared" ref="H277:H279" si="72">D277</f>
        <v>0</v>
      </c>
      <c r="I277" s="187">
        <f t="shared" si="68"/>
        <v>0</v>
      </c>
      <c r="J277" s="188"/>
      <c r="K277" s="187">
        <f t="shared" si="69"/>
        <v>0</v>
      </c>
    </row>
    <row r="278" spans="1:11" ht="15" customHeight="1" x14ac:dyDescent="0.25">
      <c r="A278" s="183" t="s">
        <v>478</v>
      </c>
      <c r="B278" s="184" t="s">
        <v>481</v>
      </c>
      <c r="C278" s="185" t="s">
        <v>348</v>
      </c>
      <c r="D278" s="186">
        <v>11190</v>
      </c>
      <c r="E278" s="187">
        <f t="shared" si="36"/>
        <v>2126.1</v>
      </c>
      <c r="F278" s="188"/>
      <c r="G278" s="187">
        <f t="shared" si="67"/>
        <v>13316.1</v>
      </c>
      <c r="H278" s="189">
        <f t="shared" si="72"/>
        <v>11190</v>
      </c>
      <c r="I278" s="187">
        <f t="shared" si="68"/>
        <v>2126.1</v>
      </c>
      <c r="J278" s="188"/>
      <c r="K278" s="187">
        <f t="shared" si="69"/>
        <v>13316.1</v>
      </c>
    </row>
    <row r="279" spans="1:11" ht="15" customHeight="1" x14ac:dyDescent="0.25">
      <c r="A279" s="183" t="s">
        <v>478</v>
      </c>
      <c r="B279" s="184" t="s">
        <v>482</v>
      </c>
      <c r="C279" s="185" t="s">
        <v>346</v>
      </c>
      <c r="D279" s="186">
        <v>13600</v>
      </c>
      <c r="E279" s="187">
        <f t="shared" si="36"/>
        <v>2584</v>
      </c>
      <c r="F279" s="188"/>
      <c r="G279" s="187">
        <f t="shared" si="67"/>
        <v>16184</v>
      </c>
      <c r="H279" s="189">
        <f t="shared" si="72"/>
        <v>13600</v>
      </c>
      <c r="I279" s="187">
        <f t="shared" si="68"/>
        <v>2584</v>
      </c>
      <c r="J279" s="188"/>
      <c r="K279" s="187">
        <f t="shared" si="69"/>
        <v>16184</v>
      </c>
    </row>
    <row r="280" spans="1:11" ht="15" customHeight="1" x14ac:dyDescent="0.25">
      <c r="A280" s="174" t="s">
        <v>478</v>
      </c>
      <c r="B280" s="181" t="s">
        <v>244</v>
      </c>
      <c r="C280" s="176" t="s">
        <v>353</v>
      </c>
      <c r="D280" s="177">
        <v>6167</v>
      </c>
      <c r="E280" s="178">
        <f t="shared" si="36"/>
        <v>1171.73</v>
      </c>
      <c r="F280" s="179"/>
      <c r="G280" s="178">
        <f t="shared" si="67"/>
        <v>7338.73</v>
      </c>
      <c r="H280" s="180">
        <f>D280/1000</f>
        <v>6.1669999999999998</v>
      </c>
      <c r="I280" s="178">
        <f t="shared" si="68"/>
        <v>1.1717299999999999</v>
      </c>
      <c r="J280" s="179"/>
      <c r="K280" s="178">
        <f t="shared" si="69"/>
        <v>7.33873</v>
      </c>
    </row>
    <row r="281" spans="1:11" ht="15" customHeight="1" x14ac:dyDescent="0.25">
      <c r="A281" s="183" t="s">
        <v>478</v>
      </c>
      <c r="B281" s="184" t="s">
        <v>483</v>
      </c>
      <c r="C281" s="185" t="s">
        <v>350</v>
      </c>
      <c r="D281" s="186"/>
      <c r="E281" s="187">
        <f t="shared" si="36"/>
        <v>0</v>
      </c>
      <c r="F281" s="188"/>
      <c r="G281" s="187">
        <f t="shared" si="67"/>
        <v>0</v>
      </c>
      <c r="H281" s="189">
        <f t="shared" ref="H281:H282" si="73">D281</f>
        <v>0</v>
      </c>
      <c r="I281" s="187">
        <f t="shared" si="68"/>
        <v>0</v>
      </c>
      <c r="J281" s="188"/>
      <c r="K281" s="187">
        <f t="shared" si="69"/>
        <v>0</v>
      </c>
    </row>
    <row r="282" spans="1:11" x14ac:dyDescent="0.25">
      <c r="A282" s="183" t="s">
        <v>478</v>
      </c>
      <c r="B282" s="184" t="s">
        <v>484</v>
      </c>
      <c r="C282" s="185" t="s">
        <v>334</v>
      </c>
      <c r="D282" s="186">
        <v>2826</v>
      </c>
      <c r="E282" s="187">
        <f t="shared" si="36"/>
        <v>536.94000000000005</v>
      </c>
      <c r="F282" s="188"/>
      <c r="G282" s="187">
        <f t="shared" si="67"/>
        <v>3362.94</v>
      </c>
      <c r="H282" s="189">
        <f t="shared" si="73"/>
        <v>2826</v>
      </c>
      <c r="I282" s="187">
        <f t="shared" si="68"/>
        <v>536.94000000000005</v>
      </c>
      <c r="J282" s="188"/>
      <c r="K282" s="187">
        <f t="shared" si="69"/>
        <v>3362.94</v>
      </c>
    </row>
    <row r="283" spans="1:11" x14ac:dyDescent="0.25">
      <c r="A283" s="174" t="s">
        <v>478</v>
      </c>
      <c r="B283" s="181" t="s">
        <v>92</v>
      </c>
      <c r="C283" s="176" t="s">
        <v>317</v>
      </c>
      <c r="D283" s="177">
        <v>42900</v>
      </c>
      <c r="E283" s="178">
        <f t="shared" si="36"/>
        <v>8151</v>
      </c>
      <c r="F283" s="179"/>
      <c r="G283" s="178">
        <f t="shared" si="67"/>
        <v>51051</v>
      </c>
      <c r="H283" s="180">
        <f>D283/240</f>
        <v>178.75</v>
      </c>
      <c r="I283" s="178">
        <f t="shared" si="68"/>
        <v>33.962499999999999</v>
      </c>
      <c r="J283" s="179"/>
      <c r="K283" s="178">
        <f t="shared" si="69"/>
        <v>212.71250000000001</v>
      </c>
    </row>
    <row r="284" spans="1:11" x14ac:dyDescent="0.25">
      <c r="A284" s="174" t="s">
        <v>478</v>
      </c>
      <c r="B284" s="181" t="s">
        <v>485</v>
      </c>
      <c r="C284" s="176" t="s">
        <v>352</v>
      </c>
      <c r="D284" s="177">
        <v>2600</v>
      </c>
      <c r="E284" s="178">
        <f t="shared" si="36"/>
        <v>494</v>
      </c>
      <c r="F284" s="179"/>
      <c r="G284" s="178">
        <f t="shared" si="67"/>
        <v>3094</v>
      </c>
      <c r="H284" s="180">
        <f t="shared" ref="H284:H289" si="74">D284</f>
        <v>2600</v>
      </c>
      <c r="I284" s="178">
        <f t="shared" si="68"/>
        <v>494</v>
      </c>
      <c r="J284" s="179"/>
      <c r="K284" s="178">
        <f t="shared" si="69"/>
        <v>3094</v>
      </c>
    </row>
    <row r="285" spans="1:11" x14ac:dyDescent="0.25">
      <c r="A285" s="183" t="s">
        <v>478</v>
      </c>
      <c r="B285" s="184" t="s">
        <v>163</v>
      </c>
      <c r="C285" s="185" t="s">
        <v>348</v>
      </c>
      <c r="D285" s="186">
        <v>27488</v>
      </c>
      <c r="E285" s="187">
        <f t="shared" si="36"/>
        <v>5222.72</v>
      </c>
      <c r="F285" s="188"/>
      <c r="G285" s="187">
        <f t="shared" si="67"/>
        <v>32710.720000000001</v>
      </c>
      <c r="H285" s="189">
        <f t="shared" si="74"/>
        <v>27488</v>
      </c>
      <c r="I285" s="187">
        <f t="shared" si="68"/>
        <v>5222.72</v>
      </c>
      <c r="J285" s="188"/>
      <c r="K285" s="187">
        <f t="shared" si="69"/>
        <v>32710.720000000001</v>
      </c>
    </row>
    <row r="286" spans="1:11" x14ac:dyDescent="0.25">
      <c r="A286" s="183" t="s">
        <v>478</v>
      </c>
      <c r="B286" s="184" t="s">
        <v>486</v>
      </c>
      <c r="C286" s="185" t="s">
        <v>352</v>
      </c>
      <c r="D286" s="186"/>
      <c r="E286" s="187">
        <f t="shared" si="36"/>
        <v>0</v>
      </c>
      <c r="F286" s="188"/>
      <c r="G286" s="187">
        <f t="shared" si="67"/>
        <v>0</v>
      </c>
      <c r="H286" s="189">
        <f t="shared" si="74"/>
        <v>0</v>
      </c>
      <c r="I286" s="187">
        <f t="shared" si="68"/>
        <v>0</v>
      </c>
      <c r="J286" s="188"/>
      <c r="K286" s="187">
        <f t="shared" si="69"/>
        <v>0</v>
      </c>
    </row>
    <row r="287" spans="1:11" ht="15" customHeight="1" x14ac:dyDescent="0.25">
      <c r="A287" s="183" t="s">
        <v>478</v>
      </c>
      <c r="B287" s="184" t="s">
        <v>487</v>
      </c>
      <c r="C287" s="185" t="s">
        <v>317</v>
      </c>
      <c r="D287" s="186">
        <v>3350</v>
      </c>
      <c r="E287" s="187">
        <f t="shared" si="36"/>
        <v>636.5</v>
      </c>
      <c r="F287" s="188"/>
      <c r="G287" s="187">
        <f t="shared" si="67"/>
        <v>3986.5</v>
      </c>
      <c r="H287" s="189">
        <f t="shared" si="74"/>
        <v>3350</v>
      </c>
      <c r="I287" s="187">
        <f t="shared" si="68"/>
        <v>636.5</v>
      </c>
      <c r="J287" s="188"/>
      <c r="K287" s="187">
        <f t="shared" si="69"/>
        <v>3986.5</v>
      </c>
    </row>
    <row r="288" spans="1:11" ht="15" customHeight="1" x14ac:dyDescent="0.25">
      <c r="A288" s="183" t="s">
        <v>478</v>
      </c>
      <c r="B288" s="184" t="s">
        <v>143</v>
      </c>
      <c r="C288" s="185" t="s">
        <v>317</v>
      </c>
      <c r="D288" s="186">
        <v>2932.5</v>
      </c>
      <c r="E288" s="187">
        <f t="shared" si="36"/>
        <v>557.17499999999995</v>
      </c>
      <c r="F288" s="188"/>
      <c r="G288" s="187">
        <f t="shared" si="67"/>
        <v>3489.6750000000002</v>
      </c>
      <c r="H288" s="189">
        <f t="shared" si="74"/>
        <v>2932.5</v>
      </c>
      <c r="I288" s="187">
        <f t="shared" si="68"/>
        <v>557.17499999999995</v>
      </c>
      <c r="J288" s="188"/>
      <c r="K288" s="187">
        <f t="shared" si="69"/>
        <v>3489.6750000000002</v>
      </c>
    </row>
    <row r="289" spans="1:11" ht="15" customHeight="1" x14ac:dyDescent="0.25">
      <c r="A289" s="174" t="s">
        <v>478</v>
      </c>
      <c r="B289" s="181" t="s">
        <v>488</v>
      </c>
      <c r="C289" s="176" t="s">
        <v>348</v>
      </c>
      <c r="D289" s="177">
        <v>28000</v>
      </c>
      <c r="E289" s="178">
        <f t="shared" si="36"/>
        <v>5320</v>
      </c>
      <c r="F289" s="179"/>
      <c r="G289" s="178">
        <f t="shared" si="67"/>
        <v>33320</v>
      </c>
      <c r="H289" s="180">
        <f t="shared" si="74"/>
        <v>28000</v>
      </c>
      <c r="I289" s="178">
        <f t="shared" si="68"/>
        <v>5320</v>
      </c>
      <c r="J289" s="179"/>
      <c r="K289" s="178">
        <f t="shared" si="69"/>
        <v>33320</v>
      </c>
    </row>
    <row r="290" spans="1:11" x14ac:dyDescent="0.25">
      <c r="A290" s="174" t="s">
        <v>478</v>
      </c>
      <c r="B290" s="181" t="s">
        <v>93</v>
      </c>
      <c r="C290" s="193" t="s">
        <v>317</v>
      </c>
      <c r="D290" s="177">
        <v>21800</v>
      </c>
      <c r="E290" s="178">
        <f t="shared" si="36"/>
        <v>4142</v>
      </c>
      <c r="F290" s="179"/>
      <c r="G290" s="178">
        <f t="shared" si="67"/>
        <v>25942</v>
      </c>
      <c r="H290" s="180">
        <f>D290/122</f>
        <v>178.68852459016392</v>
      </c>
      <c r="I290" s="178">
        <f t="shared" si="68"/>
        <v>33.950819672131146</v>
      </c>
      <c r="J290" s="179"/>
      <c r="K290" s="178">
        <f t="shared" si="69"/>
        <v>212.63934426229508</v>
      </c>
    </row>
    <row r="291" spans="1:11" x14ac:dyDescent="0.25">
      <c r="A291" s="183" t="s">
        <v>478</v>
      </c>
      <c r="B291" s="184" t="s">
        <v>102</v>
      </c>
      <c r="C291" s="73" t="s">
        <v>317</v>
      </c>
      <c r="D291" s="186">
        <v>1250</v>
      </c>
      <c r="E291" s="187">
        <f t="shared" si="36"/>
        <v>237.5</v>
      </c>
      <c r="F291" s="188"/>
      <c r="G291" s="187">
        <f t="shared" si="67"/>
        <v>1487.5</v>
      </c>
      <c r="H291" s="189">
        <f>D291</f>
        <v>1250</v>
      </c>
      <c r="I291" s="187">
        <f t="shared" si="68"/>
        <v>237.5</v>
      </c>
      <c r="J291" s="188"/>
      <c r="K291" s="187">
        <f t="shared" si="69"/>
        <v>1487.5</v>
      </c>
    </row>
    <row r="292" spans="1:11" x14ac:dyDescent="0.25">
      <c r="A292" s="174" t="s">
        <v>478</v>
      </c>
      <c r="B292" s="181" t="s">
        <v>140</v>
      </c>
      <c r="C292" s="193" t="s">
        <v>317</v>
      </c>
      <c r="D292" s="177">
        <v>69000</v>
      </c>
      <c r="E292" s="178">
        <f t="shared" si="36"/>
        <v>13110</v>
      </c>
      <c r="F292" s="179"/>
      <c r="G292" s="178">
        <f t="shared" si="67"/>
        <v>82110</v>
      </c>
      <c r="H292" s="180">
        <f>D292/28</f>
        <v>2464.2857142857142</v>
      </c>
      <c r="I292" s="178">
        <f t="shared" si="68"/>
        <v>468.21428571428572</v>
      </c>
      <c r="J292" s="179"/>
      <c r="K292" s="178">
        <f t="shared" si="69"/>
        <v>2932.5</v>
      </c>
    </row>
    <row r="293" spans="1:11" x14ac:dyDescent="0.25">
      <c r="A293" s="174" t="s">
        <v>478</v>
      </c>
      <c r="B293" s="181" t="s">
        <v>78</v>
      </c>
      <c r="C293" s="193" t="s">
        <v>317</v>
      </c>
      <c r="D293" s="177">
        <v>50000</v>
      </c>
      <c r="E293" s="178">
        <f t="shared" si="36"/>
        <v>9500</v>
      </c>
      <c r="F293" s="179"/>
      <c r="G293" s="178">
        <f t="shared" si="67"/>
        <v>59500</v>
      </c>
      <c r="H293" s="180">
        <f>D293/40</f>
        <v>1250</v>
      </c>
      <c r="I293" s="178">
        <f t="shared" si="68"/>
        <v>237.5</v>
      </c>
      <c r="J293" s="179"/>
      <c r="K293" s="178">
        <f t="shared" si="69"/>
        <v>1487.5</v>
      </c>
    </row>
    <row r="294" spans="1:11" ht="15" customHeight="1" x14ac:dyDescent="0.25">
      <c r="A294" s="174" t="s">
        <v>478</v>
      </c>
      <c r="B294" s="181" t="s">
        <v>277</v>
      </c>
      <c r="C294" s="193" t="s">
        <v>323</v>
      </c>
      <c r="D294" s="177">
        <v>73120</v>
      </c>
      <c r="E294" s="178">
        <f t="shared" si="36"/>
        <v>13892.8</v>
      </c>
      <c r="F294" s="179"/>
      <c r="G294" s="178">
        <f t="shared" si="67"/>
        <v>87012.800000000003</v>
      </c>
      <c r="H294" s="180">
        <f>D294/16000</f>
        <v>4.57</v>
      </c>
      <c r="I294" s="178">
        <f t="shared" si="68"/>
        <v>0.86830000000000007</v>
      </c>
      <c r="J294" s="179"/>
      <c r="K294" s="178">
        <f t="shared" si="69"/>
        <v>5.4382999999999999</v>
      </c>
    </row>
    <row r="295" spans="1:11" x14ac:dyDescent="0.25">
      <c r="A295" s="174" t="s">
        <v>489</v>
      </c>
      <c r="B295" s="181" t="s">
        <v>144</v>
      </c>
      <c r="C295" s="176" t="s">
        <v>317</v>
      </c>
      <c r="D295" s="177">
        <v>6090</v>
      </c>
      <c r="E295" s="178">
        <f t="shared" si="36"/>
        <v>1157.0999999999999</v>
      </c>
      <c r="F295" s="179"/>
      <c r="G295" s="178">
        <f t="shared" si="67"/>
        <v>7247.1</v>
      </c>
      <c r="H295" s="180">
        <f t="shared" ref="H295:H341" si="75">D295</f>
        <v>6090</v>
      </c>
      <c r="I295" s="178">
        <f t="shared" si="68"/>
        <v>1157.0999999999999</v>
      </c>
      <c r="J295" s="179"/>
      <c r="K295" s="178">
        <f t="shared" si="69"/>
        <v>7247.1</v>
      </c>
    </row>
    <row r="296" spans="1:11" x14ac:dyDescent="0.25">
      <c r="A296" s="174" t="s">
        <v>489</v>
      </c>
      <c r="B296" s="181" t="s">
        <v>145</v>
      </c>
      <c r="C296" s="176" t="s">
        <v>317</v>
      </c>
      <c r="D296" s="177">
        <v>5800</v>
      </c>
      <c r="E296" s="178">
        <f t="shared" si="36"/>
        <v>1102</v>
      </c>
      <c r="F296" s="179"/>
      <c r="G296" s="178">
        <f t="shared" si="67"/>
        <v>6902</v>
      </c>
      <c r="H296" s="180">
        <f t="shared" si="75"/>
        <v>5800</v>
      </c>
      <c r="I296" s="178">
        <f t="shared" si="68"/>
        <v>1102</v>
      </c>
      <c r="J296" s="179"/>
      <c r="K296" s="178">
        <f t="shared" si="69"/>
        <v>6902</v>
      </c>
    </row>
    <row r="297" spans="1:11" x14ac:dyDescent="0.25">
      <c r="A297" s="174" t="s">
        <v>489</v>
      </c>
      <c r="B297" s="181" t="s">
        <v>161</v>
      </c>
      <c r="C297" s="176" t="s">
        <v>348</v>
      </c>
      <c r="D297" s="177">
        <v>990</v>
      </c>
      <c r="E297" s="178">
        <f t="shared" si="36"/>
        <v>188.1</v>
      </c>
      <c r="F297" s="179"/>
      <c r="G297" s="178">
        <f t="shared" si="67"/>
        <v>1178.0999999999999</v>
      </c>
      <c r="H297" s="180">
        <f t="shared" si="75"/>
        <v>990</v>
      </c>
      <c r="I297" s="178">
        <f t="shared" si="68"/>
        <v>188.1</v>
      </c>
      <c r="J297" s="179"/>
      <c r="K297" s="178">
        <f t="shared" si="69"/>
        <v>1178.0999999999999</v>
      </c>
    </row>
    <row r="298" spans="1:11" x14ac:dyDescent="0.25">
      <c r="A298" s="183" t="s">
        <v>489</v>
      </c>
      <c r="B298" s="184" t="s">
        <v>150</v>
      </c>
      <c r="C298" s="185" t="s">
        <v>348</v>
      </c>
      <c r="D298" s="186">
        <v>5850</v>
      </c>
      <c r="E298" s="187">
        <f t="shared" si="36"/>
        <v>1111.5</v>
      </c>
      <c r="F298" s="188"/>
      <c r="G298" s="187">
        <f t="shared" si="67"/>
        <v>6961.5</v>
      </c>
      <c r="H298" s="189">
        <f t="shared" si="75"/>
        <v>5850</v>
      </c>
      <c r="I298" s="187">
        <f t="shared" si="68"/>
        <v>1111.5</v>
      </c>
      <c r="J298" s="188"/>
      <c r="K298" s="187">
        <f t="shared" si="69"/>
        <v>6961.5</v>
      </c>
    </row>
    <row r="299" spans="1:11" x14ac:dyDescent="0.25">
      <c r="A299" s="183" t="s">
        <v>489</v>
      </c>
      <c r="B299" s="184" t="s">
        <v>490</v>
      </c>
      <c r="C299" s="185" t="s">
        <v>360</v>
      </c>
      <c r="D299" s="186"/>
      <c r="E299" s="187">
        <f t="shared" si="36"/>
        <v>0</v>
      </c>
      <c r="F299" s="188"/>
      <c r="G299" s="187">
        <f t="shared" si="67"/>
        <v>0</v>
      </c>
      <c r="H299" s="189">
        <f t="shared" si="75"/>
        <v>0</v>
      </c>
      <c r="I299" s="187">
        <f t="shared" si="68"/>
        <v>0</v>
      </c>
      <c r="J299" s="188"/>
      <c r="K299" s="187">
        <f t="shared" si="69"/>
        <v>0</v>
      </c>
    </row>
    <row r="300" spans="1:11" x14ac:dyDescent="0.25">
      <c r="A300" s="183" t="s">
        <v>489</v>
      </c>
      <c r="B300" s="184" t="s">
        <v>491</v>
      </c>
      <c r="C300" s="185" t="s">
        <v>360</v>
      </c>
      <c r="D300" s="186"/>
      <c r="E300" s="187">
        <f t="shared" si="36"/>
        <v>0</v>
      </c>
      <c r="F300" s="188"/>
      <c r="G300" s="187">
        <f t="shared" si="67"/>
        <v>0</v>
      </c>
      <c r="H300" s="189">
        <f t="shared" si="75"/>
        <v>0</v>
      </c>
      <c r="I300" s="187">
        <f t="shared" si="68"/>
        <v>0</v>
      </c>
      <c r="J300" s="188"/>
      <c r="K300" s="187">
        <f t="shared" si="69"/>
        <v>0</v>
      </c>
    </row>
    <row r="301" spans="1:11" x14ac:dyDescent="0.25">
      <c r="A301" s="183" t="s">
        <v>489</v>
      </c>
      <c r="B301" s="184" t="s">
        <v>156</v>
      </c>
      <c r="C301" s="185" t="s">
        <v>360</v>
      </c>
      <c r="D301" s="186">
        <v>11200</v>
      </c>
      <c r="E301" s="187">
        <f t="shared" si="36"/>
        <v>2128</v>
      </c>
      <c r="F301" s="188"/>
      <c r="G301" s="187">
        <f t="shared" si="67"/>
        <v>13328</v>
      </c>
      <c r="H301" s="189">
        <f t="shared" si="75"/>
        <v>11200</v>
      </c>
      <c r="I301" s="187">
        <f t="shared" si="68"/>
        <v>2128</v>
      </c>
      <c r="J301" s="188"/>
      <c r="K301" s="187">
        <f t="shared" si="69"/>
        <v>13328</v>
      </c>
    </row>
    <row r="302" spans="1:11" ht="15" customHeight="1" x14ac:dyDescent="0.25">
      <c r="A302" s="183" t="s">
        <v>489</v>
      </c>
      <c r="B302" s="184" t="s">
        <v>492</v>
      </c>
      <c r="C302" s="185" t="s">
        <v>317</v>
      </c>
      <c r="D302" s="186">
        <v>6452.5</v>
      </c>
      <c r="E302" s="187">
        <f t="shared" si="36"/>
        <v>1225.9749999999999</v>
      </c>
      <c r="F302" s="188"/>
      <c r="G302" s="187">
        <f t="shared" si="67"/>
        <v>7678.4750000000004</v>
      </c>
      <c r="H302" s="189">
        <f t="shared" si="75"/>
        <v>6452.5</v>
      </c>
      <c r="I302" s="187">
        <f t="shared" si="68"/>
        <v>1225.9749999999999</v>
      </c>
      <c r="J302" s="188"/>
      <c r="K302" s="187">
        <f t="shared" si="69"/>
        <v>7678.4750000000004</v>
      </c>
    </row>
    <row r="303" spans="1:11" ht="15" customHeight="1" x14ac:dyDescent="0.25">
      <c r="A303" s="174" t="s">
        <v>489</v>
      </c>
      <c r="B303" s="181" t="s">
        <v>146</v>
      </c>
      <c r="C303" s="176" t="s">
        <v>317</v>
      </c>
      <c r="D303" s="177">
        <v>98</v>
      </c>
      <c r="E303" s="178">
        <f t="shared" si="36"/>
        <v>18.62</v>
      </c>
      <c r="F303" s="179"/>
      <c r="G303" s="178">
        <f t="shared" si="67"/>
        <v>116.62</v>
      </c>
      <c r="H303" s="180">
        <f t="shared" si="75"/>
        <v>98</v>
      </c>
      <c r="I303" s="178">
        <f t="shared" si="68"/>
        <v>18.62</v>
      </c>
      <c r="J303" s="179"/>
      <c r="K303" s="178">
        <f t="shared" si="69"/>
        <v>116.62</v>
      </c>
    </row>
    <row r="304" spans="1:11" x14ac:dyDescent="0.25">
      <c r="A304" s="174" t="s">
        <v>489</v>
      </c>
      <c r="B304" s="181" t="s">
        <v>493</v>
      </c>
      <c r="C304" s="176" t="s">
        <v>317</v>
      </c>
      <c r="D304" s="177">
        <v>472</v>
      </c>
      <c r="E304" s="178">
        <f t="shared" si="36"/>
        <v>89.68</v>
      </c>
      <c r="F304" s="179"/>
      <c r="G304" s="178">
        <f t="shared" si="67"/>
        <v>561.68000000000006</v>
      </c>
      <c r="H304" s="180">
        <f t="shared" si="75"/>
        <v>472</v>
      </c>
      <c r="I304" s="178">
        <f t="shared" si="68"/>
        <v>89.68</v>
      </c>
      <c r="J304" s="179"/>
      <c r="K304" s="178">
        <f t="shared" si="69"/>
        <v>561.68000000000006</v>
      </c>
    </row>
    <row r="305" spans="1:11" x14ac:dyDescent="0.25">
      <c r="A305" s="174" t="s">
        <v>489</v>
      </c>
      <c r="B305" s="181" t="s">
        <v>494</v>
      </c>
      <c r="C305" s="176" t="s">
        <v>464</v>
      </c>
      <c r="D305" s="177">
        <v>2478</v>
      </c>
      <c r="E305" s="178">
        <f t="shared" si="36"/>
        <v>470.82</v>
      </c>
      <c r="F305" s="179"/>
      <c r="G305" s="178">
        <f t="shared" si="67"/>
        <v>2948.82</v>
      </c>
      <c r="H305" s="180">
        <f t="shared" si="75"/>
        <v>2478</v>
      </c>
      <c r="I305" s="178">
        <f t="shared" si="68"/>
        <v>470.82</v>
      </c>
      <c r="J305" s="179"/>
      <c r="K305" s="178">
        <f t="shared" si="69"/>
        <v>2948.82</v>
      </c>
    </row>
    <row r="306" spans="1:11" ht="15" customHeight="1" x14ac:dyDescent="0.25">
      <c r="A306" s="174" t="s">
        <v>489</v>
      </c>
      <c r="B306" s="181" t="s">
        <v>147</v>
      </c>
      <c r="C306" s="176" t="s">
        <v>464</v>
      </c>
      <c r="D306" s="177">
        <v>1328</v>
      </c>
      <c r="E306" s="178">
        <f t="shared" si="36"/>
        <v>252.32</v>
      </c>
      <c r="F306" s="179"/>
      <c r="G306" s="178">
        <f t="shared" si="67"/>
        <v>1580.32</v>
      </c>
      <c r="H306" s="180">
        <f t="shared" si="75"/>
        <v>1328</v>
      </c>
      <c r="I306" s="178">
        <f t="shared" si="68"/>
        <v>252.32</v>
      </c>
      <c r="J306" s="179"/>
      <c r="K306" s="178">
        <f t="shared" si="69"/>
        <v>1580.32</v>
      </c>
    </row>
    <row r="307" spans="1:11" ht="15" customHeight="1" x14ac:dyDescent="0.25">
      <c r="A307" s="174" t="s">
        <v>489</v>
      </c>
      <c r="B307" s="181" t="s">
        <v>152</v>
      </c>
      <c r="C307" s="176" t="s">
        <v>317</v>
      </c>
      <c r="D307" s="177">
        <v>112</v>
      </c>
      <c r="E307" s="178">
        <f t="shared" si="36"/>
        <v>21.28</v>
      </c>
      <c r="F307" s="179"/>
      <c r="G307" s="178">
        <f t="shared" si="67"/>
        <v>133.28</v>
      </c>
      <c r="H307" s="180">
        <f t="shared" si="75"/>
        <v>112</v>
      </c>
      <c r="I307" s="178">
        <f t="shared" si="68"/>
        <v>21.28</v>
      </c>
      <c r="J307" s="179"/>
      <c r="K307" s="178">
        <f t="shared" si="69"/>
        <v>133.28</v>
      </c>
    </row>
    <row r="308" spans="1:11" x14ac:dyDescent="0.25">
      <c r="A308" s="183" t="s">
        <v>489</v>
      </c>
      <c r="B308" s="184" t="s">
        <v>148</v>
      </c>
      <c r="C308" s="185" t="s">
        <v>317</v>
      </c>
      <c r="D308" s="186">
        <v>200</v>
      </c>
      <c r="E308" s="187">
        <f t="shared" si="36"/>
        <v>38</v>
      </c>
      <c r="F308" s="188"/>
      <c r="G308" s="187">
        <f t="shared" si="67"/>
        <v>238</v>
      </c>
      <c r="H308" s="189">
        <f t="shared" si="75"/>
        <v>200</v>
      </c>
      <c r="I308" s="187">
        <f t="shared" si="68"/>
        <v>38</v>
      </c>
      <c r="J308" s="188"/>
      <c r="K308" s="187">
        <f t="shared" si="69"/>
        <v>238</v>
      </c>
    </row>
    <row r="309" spans="1:11" x14ac:dyDescent="0.25">
      <c r="A309" s="183" t="s">
        <v>489</v>
      </c>
      <c r="B309" s="184" t="s">
        <v>495</v>
      </c>
      <c r="C309" s="185" t="s">
        <v>317</v>
      </c>
      <c r="D309" s="186">
        <v>399</v>
      </c>
      <c r="E309" s="187">
        <f t="shared" si="36"/>
        <v>75.81</v>
      </c>
      <c r="F309" s="188"/>
      <c r="G309" s="187">
        <f t="shared" si="67"/>
        <v>474.81</v>
      </c>
      <c r="H309" s="189">
        <f t="shared" si="75"/>
        <v>399</v>
      </c>
      <c r="I309" s="187">
        <f t="shared" si="68"/>
        <v>75.81</v>
      </c>
      <c r="J309" s="188"/>
      <c r="K309" s="187">
        <f t="shared" si="69"/>
        <v>474.81</v>
      </c>
    </row>
    <row r="310" spans="1:11" x14ac:dyDescent="0.25">
      <c r="A310" s="174" t="s">
        <v>489</v>
      </c>
      <c r="B310" s="181" t="s">
        <v>496</v>
      </c>
      <c r="C310" s="176" t="s">
        <v>360</v>
      </c>
      <c r="D310" s="177">
        <v>15870</v>
      </c>
      <c r="E310" s="178">
        <f t="shared" si="36"/>
        <v>3015.3</v>
      </c>
      <c r="F310" s="179"/>
      <c r="G310" s="178">
        <f t="shared" si="67"/>
        <v>18885.3</v>
      </c>
      <c r="H310" s="180">
        <f t="shared" si="75"/>
        <v>15870</v>
      </c>
      <c r="I310" s="178">
        <f t="shared" si="68"/>
        <v>3015.3</v>
      </c>
      <c r="J310" s="179"/>
      <c r="K310" s="178">
        <f t="shared" si="69"/>
        <v>18885.3</v>
      </c>
    </row>
    <row r="311" spans="1:11" ht="15" customHeight="1" x14ac:dyDescent="0.25">
      <c r="A311" s="174" t="s">
        <v>489</v>
      </c>
      <c r="B311" s="181" t="s">
        <v>497</v>
      </c>
      <c r="C311" s="176" t="s">
        <v>317</v>
      </c>
      <c r="D311" s="177">
        <v>1490</v>
      </c>
      <c r="E311" s="178">
        <f t="shared" si="36"/>
        <v>283.10000000000002</v>
      </c>
      <c r="F311" s="179"/>
      <c r="G311" s="178">
        <f t="shared" si="67"/>
        <v>1773.1</v>
      </c>
      <c r="H311" s="180">
        <f t="shared" si="75"/>
        <v>1490</v>
      </c>
      <c r="I311" s="178">
        <f t="shared" si="68"/>
        <v>283.10000000000002</v>
      </c>
      <c r="J311" s="179"/>
      <c r="K311" s="178">
        <f t="shared" si="69"/>
        <v>1773.1</v>
      </c>
    </row>
    <row r="312" spans="1:11" x14ac:dyDescent="0.25">
      <c r="A312" s="183" t="s">
        <v>489</v>
      </c>
      <c r="B312" s="184" t="s">
        <v>149</v>
      </c>
      <c r="C312" s="185" t="s">
        <v>360</v>
      </c>
      <c r="D312" s="186">
        <v>2085</v>
      </c>
      <c r="E312" s="187">
        <f t="shared" si="36"/>
        <v>396.15</v>
      </c>
      <c r="F312" s="188"/>
      <c r="G312" s="187">
        <f t="shared" si="67"/>
        <v>2481.15</v>
      </c>
      <c r="H312" s="189">
        <f t="shared" si="75"/>
        <v>2085</v>
      </c>
      <c r="I312" s="187">
        <f t="shared" si="68"/>
        <v>396.15</v>
      </c>
      <c r="J312" s="188"/>
      <c r="K312" s="187">
        <f t="shared" si="69"/>
        <v>2481.15</v>
      </c>
    </row>
    <row r="313" spans="1:11" x14ac:dyDescent="0.25">
      <c r="A313" s="183" t="s">
        <v>489</v>
      </c>
      <c r="B313" s="184" t="s">
        <v>151</v>
      </c>
      <c r="C313" s="185" t="s">
        <v>360</v>
      </c>
      <c r="D313" s="186">
        <v>6006</v>
      </c>
      <c r="E313" s="187">
        <f t="shared" si="36"/>
        <v>1141.1400000000001</v>
      </c>
      <c r="F313" s="188"/>
      <c r="G313" s="187">
        <f t="shared" si="67"/>
        <v>7147.14</v>
      </c>
      <c r="H313" s="189">
        <f t="shared" si="75"/>
        <v>6006</v>
      </c>
      <c r="I313" s="187">
        <f t="shared" si="68"/>
        <v>1141.1400000000001</v>
      </c>
      <c r="J313" s="188"/>
      <c r="K313" s="187">
        <f t="shared" si="69"/>
        <v>7147.14</v>
      </c>
    </row>
    <row r="314" spans="1:11" x14ac:dyDescent="0.25">
      <c r="A314" s="174" t="s">
        <v>489</v>
      </c>
      <c r="B314" s="181" t="s">
        <v>498</v>
      </c>
      <c r="C314" s="176" t="s">
        <v>317</v>
      </c>
      <c r="D314" s="177">
        <v>1318</v>
      </c>
      <c r="E314" s="178">
        <f t="shared" si="36"/>
        <v>250.42000000000002</v>
      </c>
      <c r="F314" s="179"/>
      <c r="G314" s="178">
        <f t="shared" si="67"/>
        <v>1568.42</v>
      </c>
      <c r="H314" s="180">
        <f t="shared" si="75"/>
        <v>1318</v>
      </c>
      <c r="I314" s="178">
        <f t="shared" si="68"/>
        <v>250.42000000000002</v>
      </c>
      <c r="J314" s="179"/>
      <c r="K314" s="178">
        <f t="shared" si="69"/>
        <v>1568.42</v>
      </c>
    </row>
    <row r="315" spans="1:11" ht="15" customHeight="1" x14ac:dyDescent="0.25">
      <c r="A315" s="183" t="s">
        <v>489</v>
      </c>
      <c r="B315" s="184" t="s">
        <v>499</v>
      </c>
      <c r="C315" s="185" t="s">
        <v>317</v>
      </c>
      <c r="D315" s="186"/>
      <c r="E315" s="187">
        <f t="shared" si="36"/>
        <v>0</v>
      </c>
      <c r="F315" s="188"/>
      <c r="G315" s="187">
        <f t="shared" si="67"/>
        <v>0</v>
      </c>
      <c r="H315" s="189">
        <f t="shared" si="75"/>
        <v>0</v>
      </c>
      <c r="I315" s="187">
        <f t="shared" si="68"/>
        <v>0</v>
      </c>
      <c r="J315" s="188"/>
      <c r="K315" s="187">
        <f t="shared" si="69"/>
        <v>0</v>
      </c>
    </row>
    <row r="316" spans="1:11" x14ac:dyDescent="0.25">
      <c r="A316" s="174" t="s">
        <v>489</v>
      </c>
      <c r="B316" s="181" t="s">
        <v>500</v>
      </c>
      <c r="C316" s="176" t="s">
        <v>317</v>
      </c>
      <c r="D316" s="177">
        <v>2138</v>
      </c>
      <c r="E316" s="178">
        <f t="shared" si="36"/>
        <v>406.22</v>
      </c>
      <c r="F316" s="179"/>
      <c r="G316" s="178">
        <f t="shared" si="67"/>
        <v>2544.2200000000003</v>
      </c>
      <c r="H316" s="180">
        <f t="shared" si="75"/>
        <v>2138</v>
      </c>
      <c r="I316" s="178">
        <f t="shared" si="68"/>
        <v>406.22</v>
      </c>
      <c r="J316" s="179"/>
      <c r="K316" s="178">
        <f t="shared" si="69"/>
        <v>2544.2200000000003</v>
      </c>
    </row>
    <row r="317" spans="1:11" x14ac:dyDescent="0.25">
      <c r="A317" s="174" t="s">
        <v>489</v>
      </c>
      <c r="B317" s="181" t="s">
        <v>154</v>
      </c>
      <c r="C317" s="176" t="s">
        <v>501</v>
      </c>
      <c r="D317" s="177">
        <v>1224</v>
      </c>
      <c r="E317" s="178">
        <f t="shared" si="36"/>
        <v>232.56</v>
      </c>
      <c r="F317" s="179"/>
      <c r="G317" s="178">
        <f t="shared" si="67"/>
        <v>1456.56</v>
      </c>
      <c r="H317" s="180">
        <f t="shared" si="75"/>
        <v>1224</v>
      </c>
      <c r="I317" s="178">
        <f t="shared" si="68"/>
        <v>232.56</v>
      </c>
      <c r="J317" s="179"/>
      <c r="K317" s="178">
        <f t="shared" si="69"/>
        <v>1456.56</v>
      </c>
    </row>
    <row r="318" spans="1:11" x14ac:dyDescent="0.25">
      <c r="A318" s="174" t="s">
        <v>489</v>
      </c>
      <c r="B318" s="181" t="s">
        <v>155</v>
      </c>
      <c r="C318" s="176" t="s">
        <v>348</v>
      </c>
      <c r="D318" s="177">
        <v>5990</v>
      </c>
      <c r="E318" s="178">
        <f t="shared" si="36"/>
        <v>1138.0999999999999</v>
      </c>
      <c r="F318" s="179"/>
      <c r="G318" s="178">
        <f t="shared" si="67"/>
        <v>7128.1</v>
      </c>
      <c r="H318" s="180">
        <f t="shared" si="75"/>
        <v>5990</v>
      </c>
      <c r="I318" s="178">
        <f t="shared" si="68"/>
        <v>1138.0999999999999</v>
      </c>
      <c r="J318" s="179"/>
      <c r="K318" s="178">
        <f t="shared" si="69"/>
        <v>7128.1</v>
      </c>
    </row>
    <row r="319" spans="1:11" x14ac:dyDescent="0.25">
      <c r="A319" s="183" t="s">
        <v>489</v>
      </c>
      <c r="B319" s="184" t="s">
        <v>502</v>
      </c>
      <c r="C319" s="185" t="s">
        <v>317</v>
      </c>
      <c r="D319" s="186">
        <v>3594</v>
      </c>
      <c r="E319" s="187">
        <f t="shared" si="36"/>
        <v>682.86</v>
      </c>
      <c r="F319" s="188"/>
      <c r="G319" s="187">
        <f t="shared" si="67"/>
        <v>4276.8599999999997</v>
      </c>
      <c r="H319" s="189">
        <f t="shared" si="75"/>
        <v>3594</v>
      </c>
      <c r="I319" s="187">
        <f t="shared" si="68"/>
        <v>682.86</v>
      </c>
      <c r="J319" s="188"/>
      <c r="K319" s="187">
        <f t="shared" si="69"/>
        <v>4276.8599999999997</v>
      </c>
    </row>
    <row r="320" spans="1:11" x14ac:dyDescent="0.25">
      <c r="A320" s="183" t="s">
        <v>489</v>
      </c>
      <c r="B320" s="184" t="s">
        <v>159</v>
      </c>
      <c r="C320" s="185" t="s">
        <v>360</v>
      </c>
      <c r="D320" s="186">
        <v>4902</v>
      </c>
      <c r="E320" s="187">
        <f t="shared" si="36"/>
        <v>931.38</v>
      </c>
      <c r="F320" s="188"/>
      <c r="G320" s="187">
        <f t="shared" si="67"/>
        <v>5833.38</v>
      </c>
      <c r="H320" s="189">
        <f t="shared" si="75"/>
        <v>4902</v>
      </c>
      <c r="I320" s="187">
        <f t="shared" si="68"/>
        <v>931.38</v>
      </c>
      <c r="J320" s="188"/>
      <c r="K320" s="187">
        <f t="shared" si="69"/>
        <v>5833.38</v>
      </c>
    </row>
    <row r="321" spans="1:11" x14ac:dyDescent="0.25">
      <c r="A321" s="183" t="s">
        <v>489</v>
      </c>
      <c r="B321" s="184" t="s">
        <v>157</v>
      </c>
      <c r="C321" s="185" t="s">
        <v>360</v>
      </c>
      <c r="D321" s="186">
        <v>5166</v>
      </c>
      <c r="E321" s="187">
        <f t="shared" si="36"/>
        <v>981.54</v>
      </c>
      <c r="F321" s="188"/>
      <c r="G321" s="187">
        <f t="shared" si="67"/>
        <v>6147.54</v>
      </c>
      <c r="H321" s="189">
        <f t="shared" si="75"/>
        <v>5166</v>
      </c>
      <c r="I321" s="187">
        <f t="shared" si="68"/>
        <v>981.54</v>
      </c>
      <c r="J321" s="188"/>
      <c r="K321" s="187">
        <f t="shared" si="69"/>
        <v>6147.54</v>
      </c>
    </row>
    <row r="322" spans="1:11" x14ac:dyDescent="0.25">
      <c r="A322" s="183" t="s">
        <v>489</v>
      </c>
      <c r="B322" s="184" t="s">
        <v>158</v>
      </c>
      <c r="C322" s="185" t="s">
        <v>360</v>
      </c>
      <c r="D322" s="186">
        <v>2000</v>
      </c>
      <c r="E322" s="187">
        <f t="shared" si="36"/>
        <v>380</v>
      </c>
      <c r="F322" s="188"/>
      <c r="G322" s="187">
        <f t="shared" si="67"/>
        <v>2380</v>
      </c>
      <c r="H322" s="189">
        <f t="shared" si="75"/>
        <v>2000</v>
      </c>
      <c r="I322" s="187">
        <f t="shared" si="68"/>
        <v>380</v>
      </c>
      <c r="J322" s="188"/>
      <c r="K322" s="187">
        <f t="shared" si="69"/>
        <v>2380</v>
      </c>
    </row>
    <row r="323" spans="1:11" x14ac:dyDescent="0.25">
      <c r="A323" s="183" t="s">
        <v>489</v>
      </c>
      <c r="B323" s="184" t="s">
        <v>503</v>
      </c>
      <c r="C323" s="185" t="s">
        <v>360</v>
      </c>
      <c r="D323" s="186"/>
      <c r="E323" s="187">
        <f t="shared" si="36"/>
        <v>0</v>
      </c>
      <c r="F323" s="188"/>
      <c r="G323" s="187">
        <f t="shared" si="67"/>
        <v>0</v>
      </c>
      <c r="H323" s="189">
        <f t="shared" si="75"/>
        <v>0</v>
      </c>
      <c r="I323" s="187">
        <f t="shared" si="68"/>
        <v>0</v>
      </c>
      <c r="J323" s="188"/>
      <c r="K323" s="187">
        <f t="shared" si="69"/>
        <v>0</v>
      </c>
    </row>
    <row r="324" spans="1:11" x14ac:dyDescent="0.25">
      <c r="A324" s="183" t="s">
        <v>489</v>
      </c>
      <c r="B324" s="184" t="s">
        <v>504</v>
      </c>
      <c r="C324" s="185" t="s">
        <v>360</v>
      </c>
      <c r="D324" s="186">
        <v>8945</v>
      </c>
      <c r="E324" s="187">
        <f t="shared" si="36"/>
        <v>1699.55</v>
      </c>
      <c r="F324" s="188"/>
      <c r="G324" s="187">
        <f t="shared" si="67"/>
        <v>10644.55</v>
      </c>
      <c r="H324" s="189">
        <f t="shared" si="75"/>
        <v>8945</v>
      </c>
      <c r="I324" s="187">
        <f t="shared" si="68"/>
        <v>1699.55</v>
      </c>
      <c r="J324" s="188"/>
      <c r="K324" s="187">
        <f t="shared" si="69"/>
        <v>10644.55</v>
      </c>
    </row>
    <row r="325" spans="1:11" x14ac:dyDescent="0.25">
      <c r="A325" s="174" t="s">
        <v>489</v>
      </c>
      <c r="B325" s="181" t="s">
        <v>168</v>
      </c>
      <c r="C325" s="176" t="s">
        <v>505</v>
      </c>
      <c r="D325" s="177">
        <v>7830</v>
      </c>
      <c r="E325" s="178">
        <f t="shared" si="36"/>
        <v>1487.7</v>
      </c>
      <c r="F325" s="179"/>
      <c r="G325" s="178">
        <f t="shared" si="67"/>
        <v>9317.7000000000007</v>
      </c>
      <c r="H325" s="180">
        <f t="shared" si="75"/>
        <v>7830</v>
      </c>
      <c r="I325" s="178">
        <f t="shared" si="68"/>
        <v>1487.7</v>
      </c>
      <c r="J325" s="179"/>
      <c r="K325" s="178">
        <f t="shared" si="69"/>
        <v>9317.7000000000007</v>
      </c>
    </row>
    <row r="326" spans="1:11" x14ac:dyDescent="0.25">
      <c r="A326" s="183" t="s">
        <v>489</v>
      </c>
      <c r="B326" s="184" t="s">
        <v>506</v>
      </c>
      <c r="C326" s="185" t="s">
        <v>317</v>
      </c>
      <c r="D326" s="186">
        <v>787</v>
      </c>
      <c r="E326" s="187">
        <f t="shared" si="36"/>
        <v>149.53</v>
      </c>
      <c r="F326" s="188"/>
      <c r="G326" s="187">
        <f t="shared" si="67"/>
        <v>936.53</v>
      </c>
      <c r="H326" s="189">
        <f t="shared" si="75"/>
        <v>787</v>
      </c>
      <c r="I326" s="187">
        <f t="shared" si="68"/>
        <v>149.53</v>
      </c>
      <c r="J326" s="188"/>
      <c r="K326" s="187">
        <f t="shared" si="69"/>
        <v>936.53</v>
      </c>
    </row>
    <row r="327" spans="1:11" x14ac:dyDescent="0.25">
      <c r="A327" s="183" t="s">
        <v>489</v>
      </c>
      <c r="B327" s="184" t="s">
        <v>507</v>
      </c>
      <c r="C327" s="185" t="s">
        <v>317</v>
      </c>
      <c r="D327" s="186">
        <v>390</v>
      </c>
      <c r="E327" s="187">
        <f t="shared" si="36"/>
        <v>74.099999999999994</v>
      </c>
      <c r="F327" s="188"/>
      <c r="G327" s="187">
        <f t="shared" si="67"/>
        <v>464.1</v>
      </c>
      <c r="H327" s="189">
        <f t="shared" si="75"/>
        <v>390</v>
      </c>
      <c r="I327" s="187">
        <f t="shared" si="68"/>
        <v>74.099999999999994</v>
      </c>
      <c r="J327" s="188"/>
      <c r="K327" s="187">
        <f t="shared" si="69"/>
        <v>464.1</v>
      </c>
    </row>
    <row r="328" spans="1:11" x14ac:dyDescent="0.25">
      <c r="A328" s="183" t="s">
        <v>489</v>
      </c>
      <c r="B328" s="184" t="s">
        <v>508</v>
      </c>
      <c r="C328" s="185" t="s">
        <v>505</v>
      </c>
      <c r="D328" s="186">
        <v>12325</v>
      </c>
      <c r="E328" s="187">
        <f t="shared" si="36"/>
        <v>2341.75</v>
      </c>
      <c r="F328" s="188"/>
      <c r="G328" s="187">
        <f t="shared" si="67"/>
        <v>14666.75</v>
      </c>
      <c r="H328" s="189">
        <f t="shared" si="75"/>
        <v>12325</v>
      </c>
      <c r="I328" s="187">
        <f t="shared" si="68"/>
        <v>2341.75</v>
      </c>
      <c r="J328" s="188"/>
      <c r="K328" s="187">
        <f t="shared" si="69"/>
        <v>14666.75</v>
      </c>
    </row>
    <row r="329" spans="1:11" x14ac:dyDescent="0.25">
      <c r="A329" s="174" t="s">
        <v>489</v>
      </c>
      <c r="B329" s="181" t="s">
        <v>509</v>
      </c>
      <c r="C329" s="176" t="s">
        <v>317</v>
      </c>
      <c r="D329" s="177">
        <v>560</v>
      </c>
      <c r="E329" s="178">
        <f t="shared" si="36"/>
        <v>106.4</v>
      </c>
      <c r="F329" s="179"/>
      <c r="G329" s="178">
        <f t="shared" si="67"/>
        <v>666.4</v>
      </c>
      <c r="H329" s="180">
        <f t="shared" si="75"/>
        <v>560</v>
      </c>
      <c r="I329" s="178">
        <f t="shared" si="68"/>
        <v>106.4</v>
      </c>
      <c r="J329" s="179"/>
      <c r="K329" s="178">
        <f t="shared" si="69"/>
        <v>666.4</v>
      </c>
    </row>
    <row r="330" spans="1:11" x14ac:dyDescent="0.25">
      <c r="A330" s="174" t="s">
        <v>489</v>
      </c>
      <c r="B330" s="181" t="s">
        <v>165</v>
      </c>
      <c r="C330" s="176" t="s">
        <v>317</v>
      </c>
      <c r="D330" s="177">
        <v>98</v>
      </c>
      <c r="E330" s="178">
        <f t="shared" si="36"/>
        <v>18.62</v>
      </c>
      <c r="F330" s="179"/>
      <c r="G330" s="178">
        <f t="shared" si="67"/>
        <v>116.62</v>
      </c>
      <c r="H330" s="180">
        <f t="shared" si="75"/>
        <v>98</v>
      </c>
      <c r="I330" s="178">
        <f t="shared" si="68"/>
        <v>18.62</v>
      </c>
      <c r="J330" s="179"/>
      <c r="K330" s="178">
        <f t="shared" si="69"/>
        <v>116.62</v>
      </c>
    </row>
    <row r="331" spans="1:11" x14ac:dyDescent="0.25">
      <c r="A331" s="174" t="s">
        <v>489</v>
      </c>
      <c r="B331" s="181" t="s">
        <v>166</v>
      </c>
      <c r="C331" s="176" t="s">
        <v>317</v>
      </c>
      <c r="D331" s="177">
        <v>18.2</v>
      </c>
      <c r="E331" s="178">
        <f t="shared" si="36"/>
        <v>3.4579999999999997</v>
      </c>
      <c r="F331" s="179"/>
      <c r="G331" s="178">
        <f t="shared" si="67"/>
        <v>21.657999999999998</v>
      </c>
      <c r="H331" s="180">
        <f t="shared" si="75"/>
        <v>18.2</v>
      </c>
      <c r="I331" s="178">
        <f t="shared" si="68"/>
        <v>3.4579999999999997</v>
      </c>
      <c r="J331" s="179"/>
      <c r="K331" s="178">
        <f t="shared" si="69"/>
        <v>21.657999999999998</v>
      </c>
    </row>
    <row r="332" spans="1:11" x14ac:dyDescent="0.25">
      <c r="A332" s="174" t="s">
        <v>489</v>
      </c>
      <c r="B332" s="181" t="s">
        <v>510</v>
      </c>
      <c r="C332" s="176" t="s">
        <v>317</v>
      </c>
      <c r="D332" s="177">
        <v>1462</v>
      </c>
      <c r="E332" s="178">
        <f t="shared" si="36"/>
        <v>277.78000000000003</v>
      </c>
      <c r="F332" s="179"/>
      <c r="G332" s="178">
        <f t="shared" si="67"/>
        <v>1739.78</v>
      </c>
      <c r="H332" s="180">
        <f t="shared" si="75"/>
        <v>1462</v>
      </c>
      <c r="I332" s="178">
        <f t="shared" si="68"/>
        <v>277.78000000000003</v>
      </c>
      <c r="J332" s="179"/>
      <c r="K332" s="178">
        <f t="shared" si="69"/>
        <v>1739.78</v>
      </c>
    </row>
    <row r="333" spans="1:11" x14ac:dyDescent="0.25">
      <c r="A333" s="183" t="s">
        <v>489</v>
      </c>
      <c r="B333" s="184" t="s">
        <v>511</v>
      </c>
      <c r="C333" s="185" t="s">
        <v>317</v>
      </c>
      <c r="D333" s="186">
        <v>2990</v>
      </c>
      <c r="E333" s="187">
        <f t="shared" si="36"/>
        <v>568.1</v>
      </c>
      <c r="F333" s="188"/>
      <c r="G333" s="187">
        <f t="shared" si="67"/>
        <v>3558.1</v>
      </c>
      <c r="H333" s="189">
        <f t="shared" si="75"/>
        <v>2990</v>
      </c>
      <c r="I333" s="187">
        <f t="shared" si="68"/>
        <v>568.1</v>
      </c>
      <c r="J333" s="188"/>
      <c r="K333" s="187">
        <f t="shared" si="69"/>
        <v>3558.1</v>
      </c>
    </row>
    <row r="334" spans="1:11" x14ac:dyDescent="0.25">
      <c r="A334" s="174" t="s">
        <v>489</v>
      </c>
      <c r="B334" s="181" t="s">
        <v>512</v>
      </c>
      <c r="C334" s="176" t="s">
        <v>317</v>
      </c>
      <c r="D334" s="177">
        <v>2990</v>
      </c>
      <c r="E334" s="178">
        <f t="shared" si="36"/>
        <v>568.1</v>
      </c>
      <c r="F334" s="179"/>
      <c r="G334" s="178">
        <f t="shared" si="67"/>
        <v>3558.1</v>
      </c>
      <c r="H334" s="180">
        <f t="shared" si="75"/>
        <v>2990</v>
      </c>
      <c r="I334" s="178">
        <f t="shared" si="68"/>
        <v>568.1</v>
      </c>
      <c r="J334" s="179"/>
      <c r="K334" s="178">
        <f t="shared" si="69"/>
        <v>3558.1</v>
      </c>
    </row>
    <row r="335" spans="1:11" x14ac:dyDescent="0.25">
      <c r="A335" s="174" t="s">
        <v>489</v>
      </c>
      <c r="B335" s="181" t="s">
        <v>513</v>
      </c>
      <c r="C335" s="176" t="s">
        <v>317</v>
      </c>
      <c r="D335" s="177">
        <v>2990</v>
      </c>
      <c r="E335" s="178">
        <f t="shared" si="36"/>
        <v>568.1</v>
      </c>
      <c r="F335" s="179"/>
      <c r="G335" s="178">
        <f t="shared" si="67"/>
        <v>3558.1</v>
      </c>
      <c r="H335" s="180">
        <f t="shared" si="75"/>
        <v>2990</v>
      </c>
      <c r="I335" s="178">
        <f t="shared" si="68"/>
        <v>568.1</v>
      </c>
      <c r="J335" s="179"/>
      <c r="K335" s="178">
        <f t="shared" si="69"/>
        <v>3558.1</v>
      </c>
    </row>
    <row r="336" spans="1:11" x14ac:dyDescent="0.25">
      <c r="A336" s="183" t="s">
        <v>489</v>
      </c>
      <c r="B336" s="184" t="s">
        <v>514</v>
      </c>
      <c r="C336" s="185" t="s">
        <v>317</v>
      </c>
      <c r="D336" s="186"/>
      <c r="E336" s="187">
        <f t="shared" si="36"/>
        <v>0</v>
      </c>
      <c r="F336" s="188"/>
      <c r="G336" s="187">
        <f t="shared" si="67"/>
        <v>0</v>
      </c>
      <c r="H336" s="189">
        <f t="shared" si="75"/>
        <v>0</v>
      </c>
      <c r="I336" s="187">
        <f t="shared" si="68"/>
        <v>0</v>
      </c>
      <c r="J336" s="188"/>
      <c r="K336" s="187">
        <f t="shared" si="69"/>
        <v>0</v>
      </c>
    </row>
    <row r="337" spans="1:11" x14ac:dyDescent="0.25">
      <c r="A337" s="174" t="s">
        <v>489</v>
      </c>
      <c r="B337" s="181" t="s">
        <v>167</v>
      </c>
      <c r="C337" s="176" t="s">
        <v>505</v>
      </c>
      <c r="D337" s="177">
        <v>999</v>
      </c>
      <c r="E337" s="178">
        <f t="shared" ref="E337:E406" si="76">D337*0.19</f>
        <v>189.81</v>
      </c>
      <c r="F337" s="179"/>
      <c r="G337" s="178">
        <f t="shared" si="67"/>
        <v>1188.81</v>
      </c>
      <c r="H337" s="180">
        <f t="shared" si="75"/>
        <v>999</v>
      </c>
      <c r="I337" s="178">
        <f t="shared" si="68"/>
        <v>189.81</v>
      </c>
      <c r="J337" s="179"/>
      <c r="K337" s="178">
        <f t="shared" si="69"/>
        <v>1188.81</v>
      </c>
    </row>
    <row r="338" spans="1:11" x14ac:dyDescent="0.25">
      <c r="A338" s="174" t="s">
        <v>489</v>
      </c>
      <c r="B338" s="181" t="s">
        <v>515</v>
      </c>
      <c r="C338" s="176" t="s">
        <v>317</v>
      </c>
      <c r="D338" s="177">
        <v>13.58</v>
      </c>
      <c r="E338" s="178">
        <f t="shared" si="76"/>
        <v>2.5802</v>
      </c>
      <c r="F338" s="179"/>
      <c r="G338" s="178">
        <f t="shared" si="67"/>
        <v>16.1602</v>
      </c>
      <c r="H338" s="180">
        <f t="shared" si="75"/>
        <v>13.58</v>
      </c>
      <c r="I338" s="178">
        <f t="shared" si="68"/>
        <v>2.5802</v>
      </c>
      <c r="J338" s="179"/>
      <c r="K338" s="178">
        <f t="shared" si="69"/>
        <v>16.1602</v>
      </c>
    </row>
    <row r="339" spans="1:11" x14ac:dyDescent="0.25">
      <c r="A339" s="174" t="s">
        <v>489</v>
      </c>
      <c r="B339" s="181" t="s">
        <v>169</v>
      </c>
      <c r="C339" s="176" t="s">
        <v>317</v>
      </c>
      <c r="D339" s="177">
        <v>776</v>
      </c>
      <c r="E339" s="178">
        <f t="shared" si="76"/>
        <v>147.44</v>
      </c>
      <c r="F339" s="179"/>
      <c r="G339" s="178">
        <f t="shared" si="67"/>
        <v>923.44</v>
      </c>
      <c r="H339" s="180">
        <f t="shared" si="75"/>
        <v>776</v>
      </c>
      <c r="I339" s="178">
        <f t="shared" si="68"/>
        <v>147.44</v>
      </c>
      <c r="J339" s="179"/>
      <c r="K339" s="178">
        <f t="shared" si="69"/>
        <v>923.44</v>
      </c>
    </row>
    <row r="340" spans="1:11" x14ac:dyDescent="0.25">
      <c r="A340" s="174" t="s">
        <v>489</v>
      </c>
      <c r="B340" s="181" t="s">
        <v>170</v>
      </c>
      <c r="C340" s="176" t="s">
        <v>317</v>
      </c>
      <c r="D340" s="177">
        <v>179</v>
      </c>
      <c r="E340" s="178">
        <f t="shared" si="76"/>
        <v>34.01</v>
      </c>
      <c r="F340" s="179"/>
      <c r="G340" s="178">
        <f t="shared" si="67"/>
        <v>213.01</v>
      </c>
      <c r="H340" s="180">
        <f t="shared" si="75"/>
        <v>179</v>
      </c>
      <c r="I340" s="178">
        <f t="shared" si="68"/>
        <v>34.01</v>
      </c>
      <c r="J340" s="179"/>
      <c r="K340" s="178">
        <f t="shared" si="69"/>
        <v>213.01</v>
      </c>
    </row>
    <row r="341" spans="1:11" x14ac:dyDescent="0.25">
      <c r="A341" s="174" t="s">
        <v>489</v>
      </c>
      <c r="B341" s="181" t="s">
        <v>171</v>
      </c>
      <c r="C341" s="176" t="s">
        <v>317</v>
      </c>
      <c r="D341" s="177">
        <v>121</v>
      </c>
      <c r="E341" s="178">
        <f t="shared" si="76"/>
        <v>22.990000000000002</v>
      </c>
      <c r="F341" s="179"/>
      <c r="G341" s="178">
        <f t="shared" si="67"/>
        <v>143.99</v>
      </c>
      <c r="H341" s="180">
        <f t="shared" si="75"/>
        <v>121</v>
      </c>
      <c r="I341" s="178">
        <f t="shared" si="68"/>
        <v>22.990000000000002</v>
      </c>
      <c r="J341" s="179"/>
      <c r="K341" s="178">
        <f t="shared" si="69"/>
        <v>143.99</v>
      </c>
    </row>
    <row r="342" spans="1:11" x14ac:dyDescent="0.25">
      <c r="A342" s="174" t="s">
        <v>516</v>
      </c>
      <c r="B342" s="181" t="s">
        <v>215</v>
      </c>
      <c r="C342" s="176" t="s">
        <v>322</v>
      </c>
      <c r="D342" s="177">
        <v>3144</v>
      </c>
      <c r="E342" s="178">
        <f t="shared" si="76"/>
        <v>597.36</v>
      </c>
      <c r="F342" s="179">
        <f t="shared" ref="F342:F352" si="77">D342*0.315</f>
        <v>990.36</v>
      </c>
      <c r="G342" s="178">
        <f t="shared" si="67"/>
        <v>4731.72</v>
      </c>
      <c r="H342" s="180">
        <f t="shared" ref="H342:H363" si="78">D342/750</f>
        <v>4.1920000000000002</v>
      </c>
      <c r="I342" s="178">
        <f t="shared" si="68"/>
        <v>0.79648000000000008</v>
      </c>
      <c r="J342" s="179">
        <f t="shared" ref="J342:J352" si="79">H342*0.315</f>
        <v>1.3204800000000001</v>
      </c>
      <c r="K342" s="178">
        <f t="shared" si="69"/>
        <v>6.3089599999999999</v>
      </c>
    </row>
    <row r="343" spans="1:11" x14ac:dyDescent="0.25">
      <c r="A343" s="183" t="s">
        <v>516</v>
      </c>
      <c r="B343" s="184" t="s">
        <v>517</v>
      </c>
      <c r="C343" s="185" t="s">
        <v>322</v>
      </c>
      <c r="D343" s="186">
        <v>2918</v>
      </c>
      <c r="E343" s="187">
        <f t="shared" si="76"/>
        <v>554.41999999999996</v>
      </c>
      <c r="F343" s="188">
        <f t="shared" si="77"/>
        <v>919.17</v>
      </c>
      <c r="G343" s="187">
        <f t="shared" si="67"/>
        <v>4391.59</v>
      </c>
      <c r="H343" s="189">
        <f t="shared" si="78"/>
        <v>3.8906666666666667</v>
      </c>
      <c r="I343" s="187">
        <f t="shared" si="68"/>
        <v>0.7392266666666667</v>
      </c>
      <c r="J343" s="188">
        <f t="shared" si="79"/>
        <v>1.22556</v>
      </c>
      <c r="K343" s="187">
        <f t="shared" si="69"/>
        <v>5.8554533333333332</v>
      </c>
    </row>
    <row r="344" spans="1:11" x14ac:dyDescent="0.25">
      <c r="A344" s="183" t="s">
        <v>516</v>
      </c>
      <c r="B344" s="184" t="s">
        <v>172</v>
      </c>
      <c r="C344" s="185" t="s">
        <v>322</v>
      </c>
      <c r="D344" s="186">
        <v>6829</v>
      </c>
      <c r="E344" s="187">
        <f t="shared" si="76"/>
        <v>1297.51</v>
      </c>
      <c r="F344" s="188">
        <f t="shared" si="77"/>
        <v>2151.1350000000002</v>
      </c>
      <c r="G344" s="187">
        <f t="shared" si="67"/>
        <v>10277.645</v>
      </c>
      <c r="H344" s="189">
        <f t="shared" si="78"/>
        <v>9.1053333333333342</v>
      </c>
      <c r="I344" s="187">
        <f t="shared" si="68"/>
        <v>1.7300133333333334</v>
      </c>
      <c r="J344" s="188">
        <f t="shared" si="79"/>
        <v>2.8681800000000002</v>
      </c>
      <c r="K344" s="187">
        <f t="shared" si="69"/>
        <v>13.703526666666669</v>
      </c>
    </row>
    <row r="345" spans="1:11" x14ac:dyDescent="0.25">
      <c r="A345" s="183" t="s">
        <v>516</v>
      </c>
      <c r="B345" s="184" t="s">
        <v>518</v>
      </c>
      <c r="C345" s="185" t="s">
        <v>322</v>
      </c>
      <c r="D345" s="186">
        <v>6829</v>
      </c>
      <c r="E345" s="187">
        <f t="shared" si="76"/>
        <v>1297.51</v>
      </c>
      <c r="F345" s="188">
        <f t="shared" si="77"/>
        <v>2151.1350000000002</v>
      </c>
      <c r="G345" s="187">
        <f t="shared" si="67"/>
        <v>10277.645</v>
      </c>
      <c r="H345" s="189">
        <f t="shared" si="78"/>
        <v>9.1053333333333342</v>
      </c>
      <c r="I345" s="187">
        <f t="shared" si="68"/>
        <v>1.7300133333333334</v>
      </c>
      <c r="J345" s="188">
        <f t="shared" si="79"/>
        <v>2.8681800000000002</v>
      </c>
      <c r="K345" s="187">
        <f t="shared" si="69"/>
        <v>13.703526666666669</v>
      </c>
    </row>
    <row r="346" spans="1:11" x14ac:dyDescent="0.25">
      <c r="A346" s="183" t="s">
        <v>516</v>
      </c>
      <c r="B346" s="184" t="s">
        <v>519</v>
      </c>
      <c r="C346" s="185" t="s">
        <v>322</v>
      </c>
      <c r="D346" s="186">
        <v>6829</v>
      </c>
      <c r="E346" s="187">
        <f t="shared" si="76"/>
        <v>1297.51</v>
      </c>
      <c r="F346" s="188">
        <f t="shared" si="77"/>
        <v>2151.1350000000002</v>
      </c>
      <c r="G346" s="187">
        <f t="shared" si="67"/>
        <v>10277.645</v>
      </c>
      <c r="H346" s="189">
        <f t="shared" si="78"/>
        <v>9.1053333333333342</v>
      </c>
      <c r="I346" s="187">
        <f t="shared" si="68"/>
        <v>1.7300133333333334</v>
      </c>
      <c r="J346" s="188">
        <f t="shared" si="79"/>
        <v>2.8681800000000002</v>
      </c>
      <c r="K346" s="187">
        <f t="shared" si="69"/>
        <v>13.703526666666669</v>
      </c>
    </row>
    <row r="347" spans="1:11" x14ac:dyDescent="0.25">
      <c r="A347" s="183" t="s">
        <v>516</v>
      </c>
      <c r="B347" s="184" t="s">
        <v>173</v>
      </c>
      <c r="C347" s="185" t="s">
        <v>322</v>
      </c>
      <c r="D347" s="186">
        <v>5426</v>
      </c>
      <c r="E347" s="187">
        <f t="shared" si="76"/>
        <v>1030.94</v>
      </c>
      <c r="F347" s="188">
        <f t="shared" si="77"/>
        <v>1709.19</v>
      </c>
      <c r="G347" s="187">
        <f t="shared" si="67"/>
        <v>8166.130000000001</v>
      </c>
      <c r="H347" s="189">
        <f t="shared" si="78"/>
        <v>7.2346666666666666</v>
      </c>
      <c r="I347" s="187">
        <f t="shared" si="68"/>
        <v>1.3745866666666666</v>
      </c>
      <c r="J347" s="188">
        <f t="shared" si="79"/>
        <v>2.2789199999999998</v>
      </c>
      <c r="K347" s="187">
        <f t="shared" si="69"/>
        <v>10.888173333333333</v>
      </c>
    </row>
    <row r="348" spans="1:11" ht="15" customHeight="1" x14ac:dyDescent="0.25">
      <c r="A348" s="183" t="s">
        <v>516</v>
      </c>
      <c r="B348" s="184" t="s">
        <v>520</v>
      </c>
      <c r="C348" s="185" t="s">
        <v>322</v>
      </c>
      <c r="D348" s="186">
        <v>6168</v>
      </c>
      <c r="E348" s="187">
        <f t="shared" si="76"/>
        <v>1171.92</v>
      </c>
      <c r="F348" s="188">
        <f t="shared" si="77"/>
        <v>1942.92</v>
      </c>
      <c r="G348" s="187">
        <f t="shared" si="67"/>
        <v>9282.84</v>
      </c>
      <c r="H348" s="189">
        <f t="shared" si="78"/>
        <v>8.2240000000000002</v>
      </c>
      <c r="I348" s="187">
        <f t="shared" si="68"/>
        <v>1.5625599999999999</v>
      </c>
      <c r="J348" s="188">
        <f t="shared" si="79"/>
        <v>2.59056</v>
      </c>
      <c r="K348" s="187">
        <f t="shared" si="69"/>
        <v>12.37712</v>
      </c>
    </row>
    <row r="349" spans="1:11" ht="15" customHeight="1" x14ac:dyDescent="0.25">
      <c r="A349" s="183" t="s">
        <v>516</v>
      </c>
      <c r="B349" s="184" t="s">
        <v>521</v>
      </c>
      <c r="C349" s="185" t="s">
        <v>322</v>
      </c>
      <c r="D349" s="186">
        <v>5643</v>
      </c>
      <c r="E349" s="187">
        <f t="shared" si="76"/>
        <v>1072.17</v>
      </c>
      <c r="F349" s="188">
        <f t="shared" si="77"/>
        <v>1777.5450000000001</v>
      </c>
      <c r="G349" s="187">
        <f t="shared" si="67"/>
        <v>8492.7150000000001</v>
      </c>
      <c r="H349" s="189">
        <f t="shared" si="78"/>
        <v>7.524</v>
      </c>
      <c r="I349" s="187">
        <f t="shared" si="68"/>
        <v>1.4295599999999999</v>
      </c>
      <c r="J349" s="188">
        <f t="shared" si="79"/>
        <v>2.3700600000000001</v>
      </c>
      <c r="K349" s="187">
        <f t="shared" si="69"/>
        <v>11.32362</v>
      </c>
    </row>
    <row r="350" spans="1:11" x14ac:dyDescent="0.25">
      <c r="A350" s="183" t="s">
        <v>516</v>
      </c>
      <c r="B350" s="184" t="s">
        <v>174</v>
      </c>
      <c r="C350" s="185" t="s">
        <v>322</v>
      </c>
      <c r="D350" s="186">
        <v>7753</v>
      </c>
      <c r="E350" s="187">
        <f t="shared" si="76"/>
        <v>1473.07</v>
      </c>
      <c r="F350" s="188">
        <f t="shared" si="77"/>
        <v>2442.1950000000002</v>
      </c>
      <c r="G350" s="187">
        <f t="shared" si="67"/>
        <v>11668.264999999999</v>
      </c>
      <c r="H350" s="189">
        <f t="shared" si="78"/>
        <v>10.337333333333333</v>
      </c>
      <c r="I350" s="187">
        <f t="shared" si="68"/>
        <v>1.9640933333333335</v>
      </c>
      <c r="J350" s="188">
        <f t="shared" si="79"/>
        <v>3.2562600000000002</v>
      </c>
      <c r="K350" s="187">
        <f t="shared" si="69"/>
        <v>15.557686666666669</v>
      </c>
    </row>
    <row r="351" spans="1:11" x14ac:dyDescent="0.25">
      <c r="A351" s="183" t="s">
        <v>516</v>
      </c>
      <c r="B351" s="184" t="s">
        <v>175</v>
      </c>
      <c r="C351" s="185" t="s">
        <v>322</v>
      </c>
      <c r="D351" s="186">
        <v>6168</v>
      </c>
      <c r="E351" s="187">
        <f t="shared" si="76"/>
        <v>1171.92</v>
      </c>
      <c r="F351" s="188">
        <f t="shared" si="77"/>
        <v>1942.92</v>
      </c>
      <c r="G351" s="187">
        <f t="shared" si="67"/>
        <v>9282.84</v>
      </c>
      <c r="H351" s="189">
        <f t="shared" si="78"/>
        <v>8.2240000000000002</v>
      </c>
      <c r="I351" s="187">
        <f t="shared" si="68"/>
        <v>1.5625599999999999</v>
      </c>
      <c r="J351" s="188">
        <f t="shared" si="79"/>
        <v>2.59056</v>
      </c>
      <c r="K351" s="187">
        <f t="shared" si="69"/>
        <v>12.37712</v>
      </c>
    </row>
    <row r="352" spans="1:11" x14ac:dyDescent="0.25">
      <c r="A352" s="174" t="s">
        <v>435</v>
      </c>
      <c r="B352" s="181" t="s">
        <v>190</v>
      </c>
      <c r="C352" s="176" t="s">
        <v>322</v>
      </c>
      <c r="D352" s="177">
        <v>5588.4</v>
      </c>
      <c r="E352" s="178">
        <f t="shared" si="76"/>
        <v>1061.796</v>
      </c>
      <c r="F352" s="179">
        <f t="shared" si="77"/>
        <v>1760.346</v>
      </c>
      <c r="G352" s="178">
        <f t="shared" si="67"/>
        <v>8410.5419999999995</v>
      </c>
      <c r="H352" s="180">
        <f t="shared" si="78"/>
        <v>7.4511999999999992</v>
      </c>
      <c r="I352" s="178">
        <f t="shared" si="68"/>
        <v>1.4157279999999999</v>
      </c>
      <c r="J352" s="179">
        <f t="shared" si="79"/>
        <v>2.3471279999999997</v>
      </c>
      <c r="K352" s="178">
        <f t="shared" si="69"/>
        <v>11.214055999999999</v>
      </c>
    </row>
    <row r="353" spans="1:11" x14ac:dyDescent="0.25">
      <c r="A353" s="183" t="s">
        <v>516</v>
      </c>
      <c r="B353" s="184" t="s">
        <v>522</v>
      </c>
      <c r="C353" s="185" t="s">
        <v>322</v>
      </c>
      <c r="D353" s="186">
        <v>1350</v>
      </c>
      <c r="E353" s="187">
        <f t="shared" si="76"/>
        <v>256.5</v>
      </c>
      <c r="F353" s="188"/>
      <c r="G353" s="187">
        <f t="shared" si="67"/>
        <v>1606.5</v>
      </c>
      <c r="H353" s="189">
        <f t="shared" si="78"/>
        <v>1.8</v>
      </c>
      <c r="I353" s="187">
        <f t="shared" si="68"/>
        <v>0.34200000000000003</v>
      </c>
      <c r="J353" s="188"/>
      <c r="K353" s="187">
        <f t="shared" si="69"/>
        <v>2.1419999999999999</v>
      </c>
    </row>
    <row r="354" spans="1:11" x14ac:dyDescent="0.25">
      <c r="A354" s="183" t="s">
        <v>516</v>
      </c>
      <c r="B354" s="184" t="s">
        <v>523</v>
      </c>
      <c r="C354" s="185" t="s">
        <v>322</v>
      </c>
      <c r="D354" s="186">
        <v>2121</v>
      </c>
      <c r="E354" s="187">
        <f t="shared" si="76"/>
        <v>402.99</v>
      </c>
      <c r="F354" s="188"/>
      <c r="G354" s="187">
        <f t="shared" si="67"/>
        <v>2523.9899999999998</v>
      </c>
      <c r="H354" s="189">
        <f t="shared" si="78"/>
        <v>2.8279999999999998</v>
      </c>
      <c r="I354" s="187">
        <f t="shared" si="68"/>
        <v>0.53732000000000002</v>
      </c>
      <c r="J354" s="188"/>
      <c r="K354" s="187">
        <f t="shared" si="69"/>
        <v>3.3653199999999996</v>
      </c>
    </row>
    <row r="355" spans="1:11" x14ac:dyDescent="0.25">
      <c r="A355" s="183" t="s">
        <v>516</v>
      </c>
      <c r="B355" s="184" t="s">
        <v>195</v>
      </c>
      <c r="C355" s="185" t="s">
        <v>322</v>
      </c>
      <c r="D355" s="186">
        <v>2852</v>
      </c>
      <c r="E355" s="187">
        <f t="shared" si="76"/>
        <v>541.88</v>
      </c>
      <c r="F355" s="188">
        <f t="shared" ref="F355:F357" si="80">D355*0.315</f>
        <v>898.38</v>
      </c>
      <c r="G355" s="187">
        <f t="shared" si="67"/>
        <v>4292.26</v>
      </c>
      <c r="H355" s="189">
        <f t="shared" si="78"/>
        <v>3.8026666666666666</v>
      </c>
      <c r="I355" s="187">
        <f t="shared" si="68"/>
        <v>0.72250666666666663</v>
      </c>
      <c r="J355" s="188">
        <f t="shared" ref="J355:J357" si="81">H355*0.315</f>
        <v>1.19784</v>
      </c>
      <c r="K355" s="187">
        <f t="shared" si="69"/>
        <v>5.7230133333333333</v>
      </c>
    </row>
    <row r="356" spans="1:11" x14ac:dyDescent="0.25">
      <c r="A356" s="174" t="s">
        <v>516</v>
      </c>
      <c r="B356" s="181" t="s">
        <v>212</v>
      </c>
      <c r="C356" s="176" t="s">
        <v>322</v>
      </c>
      <c r="D356" s="177">
        <v>3498</v>
      </c>
      <c r="E356" s="178">
        <f t="shared" si="76"/>
        <v>664.62</v>
      </c>
      <c r="F356" s="179">
        <f t="shared" si="80"/>
        <v>1101.8700000000001</v>
      </c>
      <c r="G356" s="178">
        <f t="shared" si="67"/>
        <v>5264.49</v>
      </c>
      <c r="H356" s="180">
        <f t="shared" si="78"/>
        <v>4.6639999999999997</v>
      </c>
      <c r="I356" s="178">
        <f t="shared" si="68"/>
        <v>0.88615999999999995</v>
      </c>
      <c r="J356" s="179">
        <f t="shared" si="81"/>
        <v>1.46916</v>
      </c>
      <c r="K356" s="178">
        <f t="shared" si="69"/>
        <v>7.0193200000000004</v>
      </c>
    </row>
    <row r="357" spans="1:11" x14ac:dyDescent="0.25">
      <c r="A357" s="183" t="s">
        <v>516</v>
      </c>
      <c r="B357" s="184" t="s">
        <v>524</v>
      </c>
      <c r="C357" s="185" t="s">
        <v>322</v>
      </c>
      <c r="D357" s="186">
        <v>3642</v>
      </c>
      <c r="E357" s="187">
        <f t="shared" si="76"/>
        <v>691.98</v>
      </c>
      <c r="F357" s="188">
        <f t="shared" si="80"/>
        <v>1147.23</v>
      </c>
      <c r="G357" s="187">
        <f t="shared" si="67"/>
        <v>5481.2099999999991</v>
      </c>
      <c r="H357" s="189">
        <f t="shared" si="78"/>
        <v>4.8559999999999999</v>
      </c>
      <c r="I357" s="187">
        <f t="shared" si="68"/>
        <v>0.92264000000000002</v>
      </c>
      <c r="J357" s="188">
        <f t="shared" si="81"/>
        <v>1.5296399999999999</v>
      </c>
      <c r="K357" s="187">
        <f t="shared" si="69"/>
        <v>7.3082799999999999</v>
      </c>
    </row>
    <row r="358" spans="1:11" x14ac:dyDescent="0.25">
      <c r="A358" s="183" t="s">
        <v>516</v>
      </c>
      <c r="B358" s="184" t="s">
        <v>525</v>
      </c>
      <c r="C358" s="185" t="s">
        <v>322</v>
      </c>
      <c r="D358" s="186">
        <v>1350</v>
      </c>
      <c r="E358" s="187">
        <f t="shared" si="76"/>
        <v>256.5</v>
      </c>
      <c r="F358" s="188"/>
      <c r="G358" s="187">
        <f t="shared" si="67"/>
        <v>1606.5</v>
      </c>
      <c r="H358" s="189">
        <f t="shared" si="78"/>
        <v>1.8</v>
      </c>
      <c r="I358" s="187">
        <f t="shared" si="68"/>
        <v>0.34200000000000003</v>
      </c>
      <c r="J358" s="188"/>
      <c r="K358" s="187">
        <f t="shared" si="69"/>
        <v>2.1419999999999999</v>
      </c>
    </row>
    <row r="359" spans="1:11" x14ac:dyDescent="0.25">
      <c r="A359" s="183" t="s">
        <v>516</v>
      </c>
      <c r="B359" s="184" t="s">
        <v>526</v>
      </c>
      <c r="C359" s="185" t="s">
        <v>322</v>
      </c>
      <c r="D359" s="186">
        <v>1300</v>
      </c>
      <c r="E359" s="187">
        <f t="shared" si="76"/>
        <v>247</v>
      </c>
      <c r="F359" s="188"/>
      <c r="G359" s="187">
        <f t="shared" si="67"/>
        <v>1547</v>
      </c>
      <c r="H359" s="189">
        <f t="shared" si="78"/>
        <v>1.7333333333333334</v>
      </c>
      <c r="I359" s="187">
        <f t="shared" si="68"/>
        <v>0.32933333333333337</v>
      </c>
      <c r="J359" s="188"/>
      <c r="K359" s="187">
        <f t="shared" si="69"/>
        <v>2.0626666666666669</v>
      </c>
    </row>
    <row r="360" spans="1:11" ht="15" customHeight="1" x14ac:dyDescent="0.25">
      <c r="A360" s="183" t="s">
        <v>516</v>
      </c>
      <c r="B360" s="184" t="s">
        <v>527</v>
      </c>
      <c r="C360" s="185" t="s">
        <v>322</v>
      </c>
      <c r="D360" s="186">
        <v>2154</v>
      </c>
      <c r="E360" s="187">
        <f t="shared" si="76"/>
        <v>409.26</v>
      </c>
      <c r="F360" s="188">
        <f>D360*0.315</f>
        <v>678.51</v>
      </c>
      <c r="G360" s="187">
        <f t="shared" si="67"/>
        <v>3241.7700000000004</v>
      </c>
      <c r="H360" s="189">
        <f t="shared" si="78"/>
        <v>2.8719999999999999</v>
      </c>
      <c r="I360" s="187">
        <f t="shared" si="68"/>
        <v>0.54567999999999994</v>
      </c>
      <c r="J360" s="188">
        <f>H360*0.315</f>
        <v>0.90467999999999993</v>
      </c>
      <c r="K360" s="187">
        <f t="shared" si="69"/>
        <v>4.3223599999999998</v>
      </c>
    </row>
    <row r="361" spans="1:11" ht="15" customHeight="1" x14ac:dyDescent="0.25">
      <c r="A361" s="183" t="s">
        <v>516</v>
      </c>
      <c r="B361" s="184" t="s">
        <v>528</v>
      </c>
      <c r="C361" s="185" t="s">
        <v>322</v>
      </c>
      <c r="D361" s="186">
        <v>1300</v>
      </c>
      <c r="E361" s="187">
        <f t="shared" si="76"/>
        <v>247</v>
      </c>
      <c r="F361" s="188"/>
      <c r="G361" s="187">
        <f t="shared" si="67"/>
        <v>1547</v>
      </c>
      <c r="H361" s="189">
        <f t="shared" si="78"/>
        <v>1.7333333333333334</v>
      </c>
      <c r="I361" s="187">
        <f t="shared" si="68"/>
        <v>0.32933333333333337</v>
      </c>
      <c r="J361" s="188"/>
      <c r="K361" s="187">
        <f t="shared" si="69"/>
        <v>2.0626666666666669</v>
      </c>
    </row>
    <row r="362" spans="1:11" x14ac:dyDescent="0.25">
      <c r="A362" s="183" t="s">
        <v>516</v>
      </c>
      <c r="B362" s="184" t="s">
        <v>296</v>
      </c>
      <c r="C362" s="185" t="s">
        <v>322</v>
      </c>
      <c r="D362" s="186">
        <v>1938</v>
      </c>
      <c r="E362" s="187">
        <f t="shared" si="76"/>
        <v>368.22</v>
      </c>
      <c r="F362" s="188">
        <f t="shared" ref="F362:F363" si="82">D362*0.315</f>
        <v>610.47</v>
      </c>
      <c r="G362" s="187">
        <f t="shared" si="67"/>
        <v>2916.6900000000005</v>
      </c>
      <c r="H362" s="189">
        <f t="shared" si="78"/>
        <v>2.5840000000000001</v>
      </c>
      <c r="I362" s="187">
        <f t="shared" si="68"/>
        <v>0.49096000000000001</v>
      </c>
      <c r="J362" s="188">
        <f t="shared" ref="J362:J363" si="83">H362*0.315</f>
        <v>0.81396000000000002</v>
      </c>
      <c r="K362" s="187">
        <f t="shared" si="69"/>
        <v>3.8889199999999997</v>
      </c>
    </row>
    <row r="363" spans="1:11" x14ac:dyDescent="0.25">
      <c r="A363" s="174" t="s">
        <v>516</v>
      </c>
      <c r="B363" s="181" t="s">
        <v>299</v>
      </c>
      <c r="C363" s="176" t="s">
        <v>322</v>
      </c>
      <c r="D363" s="177">
        <v>1709</v>
      </c>
      <c r="E363" s="178">
        <f t="shared" si="76"/>
        <v>324.70999999999998</v>
      </c>
      <c r="F363" s="179">
        <f t="shared" si="82"/>
        <v>538.33500000000004</v>
      </c>
      <c r="G363" s="178">
        <f t="shared" si="67"/>
        <v>2572.0450000000001</v>
      </c>
      <c r="H363" s="180">
        <f t="shared" si="78"/>
        <v>2.2786666666666666</v>
      </c>
      <c r="I363" s="178">
        <f t="shared" si="68"/>
        <v>0.43294666666666665</v>
      </c>
      <c r="J363" s="179">
        <f t="shared" si="83"/>
        <v>0.71777999999999997</v>
      </c>
      <c r="K363" s="178">
        <f t="shared" si="69"/>
        <v>3.4293933333333331</v>
      </c>
    </row>
    <row r="364" spans="1:11" ht="15" customHeight="1" x14ac:dyDescent="0.25">
      <c r="A364" s="174" t="s">
        <v>516</v>
      </c>
      <c r="B364" s="181" t="s">
        <v>107</v>
      </c>
      <c r="C364" s="176" t="s">
        <v>322</v>
      </c>
      <c r="D364" s="177">
        <v>2072</v>
      </c>
      <c r="E364" s="178">
        <f t="shared" si="76"/>
        <v>393.68</v>
      </c>
      <c r="F364" s="179">
        <f t="shared" ref="F364:F365" si="84">D364*0.205</f>
        <v>424.76</v>
      </c>
      <c r="G364" s="178">
        <f t="shared" si="67"/>
        <v>2890.4399999999996</v>
      </c>
      <c r="H364" s="180">
        <f t="shared" ref="H364:H365" si="85">D364/1500</f>
        <v>1.3813333333333333</v>
      </c>
      <c r="I364" s="178">
        <f t="shared" si="68"/>
        <v>0.26245333333333332</v>
      </c>
      <c r="J364" s="179"/>
      <c r="K364" s="178">
        <f t="shared" si="69"/>
        <v>1.6437866666666667</v>
      </c>
    </row>
    <row r="365" spans="1:11" ht="15" customHeight="1" x14ac:dyDescent="0.25">
      <c r="A365" s="174" t="s">
        <v>516</v>
      </c>
      <c r="B365" s="181" t="s">
        <v>191</v>
      </c>
      <c r="C365" s="176" t="s">
        <v>322</v>
      </c>
      <c r="D365" s="177">
        <v>1554</v>
      </c>
      <c r="E365" s="178">
        <f t="shared" si="76"/>
        <v>295.26</v>
      </c>
      <c r="F365" s="179">
        <f t="shared" si="84"/>
        <v>318.57</v>
      </c>
      <c r="G365" s="178">
        <f t="shared" si="67"/>
        <v>2167.83</v>
      </c>
      <c r="H365" s="180">
        <f t="shared" si="85"/>
        <v>1.036</v>
      </c>
      <c r="I365" s="178">
        <f t="shared" si="68"/>
        <v>0.19684000000000001</v>
      </c>
      <c r="J365" s="179"/>
      <c r="K365" s="178">
        <f t="shared" si="69"/>
        <v>1.2328399999999999</v>
      </c>
    </row>
    <row r="366" spans="1:11" x14ac:dyDescent="0.25">
      <c r="A366" s="174" t="s">
        <v>516</v>
      </c>
      <c r="B366" s="181" t="s">
        <v>223</v>
      </c>
      <c r="C366" s="176" t="s">
        <v>322</v>
      </c>
      <c r="D366" s="177">
        <v>3940</v>
      </c>
      <c r="E366" s="178">
        <f t="shared" si="76"/>
        <v>748.6</v>
      </c>
      <c r="F366" s="179">
        <f>D366*0.315</f>
        <v>1241.0999999999999</v>
      </c>
      <c r="G366" s="178">
        <f t="shared" si="67"/>
        <v>5929.7000000000007</v>
      </c>
      <c r="H366" s="180">
        <f t="shared" ref="H366:H369" si="86">D366/750</f>
        <v>5.253333333333333</v>
      </c>
      <c r="I366" s="178">
        <f t="shared" si="68"/>
        <v>0.99813333333333332</v>
      </c>
      <c r="J366" s="179">
        <f t="shared" ref="J366:J369" si="87">H366*0.315</f>
        <v>1.6547999999999998</v>
      </c>
      <c r="K366" s="178">
        <f t="shared" si="69"/>
        <v>7.9062666666666663</v>
      </c>
    </row>
    <row r="367" spans="1:11" x14ac:dyDescent="0.25">
      <c r="A367" s="174" t="s">
        <v>516</v>
      </c>
      <c r="B367" s="181" t="s">
        <v>231</v>
      </c>
      <c r="C367" s="176" t="s">
        <v>322</v>
      </c>
      <c r="D367" s="177">
        <v>2838</v>
      </c>
      <c r="E367" s="178">
        <f t="shared" si="76"/>
        <v>539.22</v>
      </c>
      <c r="F367" s="179">
        <f>D367*0.18</f>
        <v>510.84</v>
      </c>
      <c r="G367" s="178">
        <f t="shared" si="67"/>
        <v>3888.0600000000004</v>
      </c>
      <c r="H367" s="180">
        <f t="shared" si="86"/>
        <v>3.7839999999999998</v>
      </c>
      <c r="I367" s="178">
        <f t="shared" si="68"/>
        <v>0.71895999999999993</v>
      </c>
      <c r="J367" s="179">
        <f t="shared" si="87"/>
        <v>1.1919599999999999</v>
      </c>
      <c r="K367" s="178">
        <f t="shared" si="69"/>
        <v>5.6949199999999998</v>
      </c>
    </row>
    <row r="368" spans="1:11" x14ac:dyDescent="0.25">
      <c r="A368" s="183" t="s">
        <v>516</v>
      </c>
      <c r="B368" s="184" t="s">
        <v>276</v>
      </c>
      <c r="C368" s="185" t="s">
        <v>322</v>
      </c>
      <c r="D368" s="186">
        <v>3082</v>
      </c>
      <c r="E368" s="187">
        <f t="shared" si="76"/>
        <v>585.58000000000004</v>
      </c>
      <c r="F368" s="188">
        <f t="shared" ref="F368:F369" si="88">D368*0.315</f>
        <v>970.83</v>
      </c>
      <c r="G368" s="187">
        <f t="shared" si="67"/>
        <v>4638.41</v>
      </c>
      <c r="H368" s="189">
        <f t="shared" si="86"/>
        <v>4.1093333333333337</v>
      </c>
      <c r="I368" s="187">
        <f t="shared" si="68"/>
        <v>0.78077333333333343</v>
      </c>
      <c r="J368" s="188">
        <f t="shared" si="87"/>
        <v>1.29444</v>
      </c>
      <c r="K368" s="187">
        <f t="shared" si="69"/>
        <v>6.1845466666666669</v>
      </c>
    </row>
    <row r="369" spans="1:13" x14ac:dyDescent="0.25">
      <c r="A369" s="174" t="s">
        <v>516</v>
      </c>
      <c r="B369" s="181" t="s">
        <v>289</v>
      </c>
      <c r="C369" s="176" t="s">
        <v>322</v>
      </c>
      <c r="D369" s="177">
        <v>4978</v>
      </c>
      <c r="E369" s="178">
        <f t="shared" si="76"/>
        <v>945.82</v>
      </c>
      <c r="F369" s="179">
        <f t="shared" si="88"/>
        <v>1568.07</v>
      </c>
      <c r="G369" s="178">
        <f t="shared" si="67"/>
        <v>7491.8899999999994</v>
      </c>
      <c r="H369" s="180">
        <f t="shared" si="86"/>
        <v>6.6373333333333333</v>
      </c>
      <c r="I369" s="178">
        <f t="shared" si="68"/>
        <v>1.2610933333333334</v>
      </c>
      <c r="J369" s="179">
        <f t="shared" si="87"/>
        <v>2.09076</v>
      </c>
      <c r="K369" s="178">
        <f t="shared" si="69"/>
        <v>9.9891866666666669</v>
      </c>
      <c r="M369" s="93"/>
    </row>
    <row r="370" spans="1:13" x14ac:dyDescent="0.25">
      <c r="A370" s="183" t="s">
        <v>529</v>
      </c>
      <c r="B370" s="184" t="s">
        <v>530</v>
      </c>
      <c r="C370" s="185" t="s">
        <v>317</v>
      </c>
      <c r="D370" s="186"/>
      <c r="E370" s="187">
        <f t="shared" si="76"/>
        <v>0</v>
      </c>
      <c r="F370" s="188"/>
      <c r="G370" s="187">
        <f t="shared" si="67"/>
        <v>0</v>
      </c>
      <c r="H370" s="189"/>
      <c r="I370" s="187">
        <f t="shared" si="68"/>
        <v>0</v>
      </c>
      <c r="J370" s="188"/>
      <c r="K370" s="187">
        <f t="shared" si="69"/>
        <v>0</v>
      </c>
    </row>
    <row r="371" spans="1:13" x14ac:dyDescent="0.25">
      <c r="A371" s="174" t="s">
        <v>529</v>
      </c>
      <c r="B371" s="181" t="s">
        <v>531</v>
      </c>
      <c r="C371" s="176" t="s">
        <v>317</v>
      </c>
      <c r="D371" s="177">
        <v>1790</v>
      </c>
      <c r="E371" s="178">
        <f t="shared" si="76"/>
        <v>340.1</v>
      </c>
      <c r="F371" s="179"/>
      <c r="G371" s="178">
        <f t="shared" si="67"/>
        <v>2130.1</v>
      </c>
      <c r="H371" s="180">
        <f t="shared" ref="H371:H373" si="89">D371</f>
        <v>1790</v>
      </c>
      <c r="I371" s="178">
        <f t="shared" si="68"/>
        <v>340.1</v>
      </c>
      <c r="J371" s="179"/>
      <c r="K371" s="178">
        <f t="shared" si="69"/>
        <v>2130.1</v>
      </c>
    </row>
    <row r="372" spans="1:13" ht="15" customHeight="1" x14ac:dyDescent="0.25">
      <c r="A372" s="183" t="s">
        <v>532</v>
      </c>
      <c r="B372" s="184" t="s">
        <v>533</v>
      </c>
      <c r="C372" s="185" t="s">
        <v>317</v>
      </c>
      <c r="D372" s="186">
        <v>12090</v>
      </c>
      <c r="E372" s="187">
        <f t="shared" si="76"/>
        <v>2297.1</v>
      </c>
      <c r="F372" s="188"/>
      <c r="G372" s="187">
        <f t="shared" si="67"/>
        <v>14387.1</v>
      </c>
      <c r="H372" s="189">
        <f t="shared" si="89"/>
        <v>12090</v>
      </c>
      <c r="I372" s="187">
        <f t="shared" si="68"/>
        <v>2297.1</v>
      </c>
      <c r="J372" s="188"/>
      <c r="K372" s="187">
        <f t="shared" si="69"/>
        <v>14387.1</v>
      </c>
    </row>
    <row r="373" spans="1:13" ht="15" customHeight="1" x14ac:dyDescent="0.25">
      <c r="A373" s="183" t="s">
        <v>532</v>
      </c>
      <c r="B373" s="184" t="s">
        <v>82</v>
      </c>
      <c r="C373" s="185" t="s">
        <v>346</v>
      </c>
      <c r="D373" s="186">
        <v>262.82</v>
      </c>
      <c r="E373" s="187">
        <f t="shared" si="76"/>
        <v>49.9358</v>
      </c>
      <c r="F373" s="188"/>
      <c r="G373" s="187">
        <f t="shared" si="67"/>
        <v>312.75580000000002</v>
      </c>
      <c r="H373" s="189">
        <f t="shared" si="89"/>
        <v>262.82</v>
      </c>
      <c r="I373" s="187">
        <f t="shared" si="68"/>
        <v>49.9358</v>
      </c>
      <c r="J373" s="188"/>
      <c r="K373" s="187">
        <f t="shared" si="69"/>
        <v>312.75580000000002</v>
      </c>
    </row>
    <row r="374" spans="1:13" ht="15" customHeight="1" x14ac:dyDescent="0.25">
      <c r="A374" s="174" t="s">
        <v>532</v>
      </c>
      <c r="B374" s="181" t="s">
        <v>97</v>
      </c>
      <c r="C374" s="193" t="s">
        <v>322</v>
      </c>
      <c r="D374" s="177">
        <v>23900</v>
      </c>
      <c r="E374" s="178">
        <f t="shared" si="76"/>
        <v>4541</v>
      </c>
      <c r="F374" s="179"/>
      <c r="G374" s="178">
        <f t="shared" si="67"/>
        <v>28441</v>
      </c>
      <c r="H374" s="180">
        <f>D374/10000</f>
        <v>2.39</v>
      </c>
      <c r="I374" s="178">
        <f t="shared" si="68"/>
        <v>0.4541</v>
      </c>
      <c r="J374" s="179"/>
      <c r="K374" s="178">
        <f t="shared" si="69"/>
        <v>2.8441000000000001</v>
      </c>
    </row>
    <row r="375" spans="1:13" ht="15" customHeight="1" x14ac:dyDescent="0.25">
      <c r="A375" s="174" t="s">
        <v>532</v>
      </c>
      <c r="B375" s="181" t="s">
        <v>181</v>
      </c>
      <c r="C375" s="193" t="s">
        <v>353</v>
      </c>
      <c r="D375" s="177">
        <v>1190</v>
      </c>
      <c r="E375" s="178">
        <f t="shared" si="76"/>
        <v>226.1</v>
      </c>
      <c r="F375" s="179"/>
      <c r="G375" s="178">
        <f t="shared" si="67"/>
        <v>1416.1</v>
      </c>
      <c r="H375" s="180">
        <f t="shared" ref="H375:H376" si="90">D375/1000</f>
        <v>1.19</v>
      </c>
      <c r="I375" s="178">
        <f t="shared" si="68"/>
        <v>0.2261</v>
      </c>
      <c r="J375" s="179"/>
      <c r="K375" s="178">
        <f t="shared" si="69"/>
        <v>1.4160999999999999</v>
      </c>
    </row>
    <row r="376" spans="1:13" ht="15" customHeight="1" x14ac:dyDescent="0.25">
      <c r="A376" s="174" t="s">
        <v>532</v>
      </c>
      <c r="B376" s="181" t="s">
        <v>99</v>
      </c>
      <c r="C376" s="193" t="s">
        <v>322</v>
      </c>
      <c r="D376" s="177">
        <v>3080</v>
      </c>
      <c r="E376" s="178">
        <f t="shared" si="76"/>
        <v>585.20000000000005</v>
      </c>
      <c r="F376" s="179"/>
      <c r="G376" s="178">
        <f t="shared" si="67"/>
        <v>3665.2</v>
      </c>
      <c r="H376" s="180">
        <f t="shared" si="90"/>
        <v>3.08</v>
      </c>
      <c r="I376" s="178">
        <f t="shared" si="68"/>
        <v>0.58520000000000005</v>
      </c>
      <c r="J376" s="179"/>
      <c r="K376" s="178">
        <f t="shared" si="69"/>
        <v>3.6652</v>
      </c>
    </row>
    <row r="377" spans="1:13" ht="15" customHeight="1" x14ac:dyDescent="0.25">
      <c r="A377" s="183" t="s">
        <v>532</v>
      </c>
      <c r="B377" s="184" t="s">
        <v>534</v>
      </c>
      <c r="C377" s="185" t="s">
        <v>348</v>
      </c>
      <c r="D377" s="186"/>
      <c r="E377" s="187">
        <f t="shared" si="76"/>
        <v>0</v>
      </c>
      <c r="F377" s="188"/>
      <c r="G377" s="187">
        <f t="shared" si="67"/>
        <v>0</v>
      </c>
      <c r="H377" s="189">
        <f t="shared" ref="H377:H379" si="91">D377</f>
        <v>0</v>
      </c>
      <c r="I377" s="187">
        <f t="shared" si="68"/>
        <v>0</v>
      </c>
      <c r="J377" s="188"/>
      <c r="K377" s="187">
        <f t="shared" si="69"/>
        <v>0</v>
      </c>
    </row>
    <row r="378" spans="1:13" ht="15" customHeight="1" x14ac:dyDescent="0.25">
      <c r="A378" s="174" t="s">
        <v>532</v>
      </c>
      <c r="B378" s="181" t="s">
        <v>72</v>
      </c>
      <c r="C378" s="176" t="s">
        <v>346</v>
      </c>
      <c r="D378" s="177">
        <v>913.5</v>
      </c>
      <c r="E378" s="178">
        <f t="shared" si="76"/>
        <v>173.565</v>
      </c>
      <c r="F378" s="179"/>
      <c r="G378" s="178">
        <f t="shared" si="67"/>
        <v>1087.0650000000001</v>
      </c>
      <c r="H378" s="180">
        <f t="shared" si="91"/>
        <v>913.5</v>
      </c>
      <c r="I378" s="178">
        <f t="shared" si="68"/>
        <v>173.565</v>
      </c>
      <c r="J378" s="179"/>
      <c r="K378" s="178">
        <f t="shared" si="69"/>
        <v>1087.0650000000001</v>
      </c>
    </row>
    <row r="379" spans="1:13" x14ac:dyDescent="0.25">
      <c r="A379" s="174" t="s">
        <v>572</v>
      </c>
      <c r="B379" s="181" t="s">
        <v>101</v>
      </c>
      <c r="C379" s="176" t="s">
        <v>346</v>
      </c>
      <c r="D379" s="177">
        <v>1245</v>
      </c>
      <c r="E379" s="178">
        <f t="shared" si="76"/>
        <v>236.55</v>
      </c>
      <c r="F379" s="179"/>
      <c r="G379" s="178">
        <f t="shared" si="67"/>
        <v>1481.55</v>
      </c>
      <c r="H379" s="180">
        <f t="shared" si="91"/>
        <v>1245</v>
      </c>
      <c r="I379" s="178">
        <f t="shared" si="68"/>
        <v>236.55</v>
      </c>
      <c r="J379" s="179"/>
      <c r="K379" s="178">
        <f t="shared" si="69"/>
        <v>1481.55</v>
      </c>
    </row>
    <row r="380" spans="1:13" ht="15" customHeight="1" x14ac:dyDescent="0.25">
      <c r="A380" s="174" t="s">
        <v>532</v>
      </c>
      <c r="B380" s="181" t="s">
        <v>259</v>
      </c>
      <c r="C380" s="176" t="s">
        <v>353</v>
      </c>
      <c r="D380" s="177">
        <v>1090</v>
      </c>
      <c r="E380" s="178">
        <f t="shared" si="76"/>
        <v>207.1</v>
      </c>
      <c r="F380" s="179"/>
      <c r="G380" s="178">
        <f t="shared" si="67"/>
        <v>1297.0999999999999</v>
      </c>
      <c r="H380" s="180">
        <f>D380/1000</f>
        <v>1.0900000000000001</v>
      </c>
      <c r="I380" s="178">
        <f t="shared" si="68"/>
        <v>0.20710000000000001</v>
      </c>
      <c r="J380" s="179"/>
      <c r="K380" s="178">
        <f t="shared" si="69"/>
        <v>1.2971000000000001</v>
      </c>
    </row>
    <row r="381" spans="1:13" x14ac:dyDescent="0.25">
      <c r="A381" s="183" t="s">
        <v>532</v>
      </c>
      <c r="B381" s="184" t="s">
        <v>535</v>
      </c>
      <c r="C381" s="185" t="s">
        <v>352</v>
      </c>
      <c r="D381" s="186">
        <v>5040</v>
      </c>
      <c r="E381" s="187">
        <f t="shared" si="76"/>
        <v>957.6</v>
      </c>
      <c r="F381" s="188"/>
      <c r="G381" s="187">
        <f t="shared" si="67"/>
        <v>5997.6</v>
      </c>
      <c r="H381" s="189">
        <f>D381</f>
        <v>5040</v>
      </c>
      <c r="I381" s="187">
        <f t="shared" si="68"/>
        <v>957.6</v>
      </c>
      <c r="J381" s="188"/>
      <c r="K381" s="187">
        <f t="shared" si="69"/>
        <v>5997.6</v>
      </c>
    </row>
    <row r="382" spans="1:13" ht="15" customHeight="1" x14ac:dyDescent="0.25">
      <c r="A382" s="174" t="s">
        <v>532</v>
      </c>
      <c r="B382" s="181" t="s">
        <v>265</v>
      </c>
      <c r="C382" s="176" t="s">
        <v>386</v>
      </c>
      <c r="D382" s="177">
        <v>7260</v>
      </c>
      <c r="E382" s="178">
        <f t="shared" si="76"/>
        <v>1379.4</v>
      </c>
      <c r="F382" s="179"/>
      <c r="G382" s="178">
        <f t="shared" si="67"/>
        <v>8639.4</v>
      </c>
      <c r="H382" s="180">
        <f>D382/126</f>
        <v>57.61904761904762</v>
      </c>
      <c r="I382" s="178">
        <f t="shared" si="68"/>
        <v>10.947619047619048</v>
      </c>
      <c r="J382" s="179"/>
      <c r="K382" s="178">
        <f t="shared" si="69"/>
        <v>68.566666666666663</v>
      </c>
    </row>
    <row r="383" spans="1:13" x14ac:dyDescent="0.25">
      <c r="A383" s="174" t="s">
        <v>532</v>
      </c>
      <c r="B383" s="181" t="s">
        <v>266</v>
      </c>
      <c r="C383" s="176" t="s">
        <v>352</v>
      </c>
      <c r="D383" s="195">
        <v>6390</v>
      </c>
      <c r="E383" s="178">
        <f t="shared" si="76"/>
        <v>1214.0999999999999</v>
      </c>
      <c r="F383" s="179"/>
      <c r="G383" s="178">
        <f t="shared" si="67"/>
        <v>7604.1</v>
      </c>
      <c r="H383" s="179">
        <f>D383/1000</f>
        <v>6.39</v>
      </c>
      <c r="I383" s="178">
        <f t="shared" si="68"/>
        <v>1.2141</v>
      </c>
      <c r="J383" s="179"/>
      <c r="K383" s="178">
        <f t="shared" si="69"/>
        <v>7.6040999999999999</v>
      </c>
    </row>
    <row r="384" spans="1:13" x14ac:dyDescent="0.25">
      <c r="A384" s="183" t="s">
        <v>536</v>
      </c>
      <c r="B384" s="184" t="s">
        <v>537</v>
      </c>
      <c r="C384" s="185" t="s">
        <v>317</v>
      </c>
      <c r="D384" s="186"/>
      <c r="E384" s="187">
        <f t="shared" si="76"/>
        <v>0</v>
      </c>
      <c r="F384" s="188"/>
      <c r="G384" s="187">
        <f t="shared" si="67"/>
        <v>0</v>
      </c>
      <c r="H384" s="189"/>
      <c r="I384" s="187">
        <f t="shared" si="68"/>
        <v>0</v>
      </c>
      <c r="J384" s="188"/>
      <c r="K384" s="187">
        <f t="shared" si="69"/>
        <v>0</v>
      </c>
    </row>
    <row r="385" spans="1:11" x14ac:dyDescent="0.25">
      <c r="A385" s="183" t="s">
        <v>538</v>
      </c>
      <c r="B385" s="184" t="s">
        <v>153</v>
      </c>
      <c r="C385" s="185" t="s">
        <v>317</v>
      </c>
      <c r="D385" s="186"/>
      <c r="E385" s="187">
        <f t="shared" si="76"/>
        <v>0</v>
      </c>
      <c r="F385" s="188"/>
      <c r="G385" s="187">
        <f t="shared" si="67"/>
        <v>0</v>
      </c>
      <c r="H385" s="189"/>
      <c r="I385" s="187">
        <f t="shared" si="68"/>
        <v>0</v>
      </c>
      <c r="J385" s="188"/>
      <c r="K385" s="187">
        <f t="shared" si="69"/>
        <v>0</v>
      </c>
    </row>
    <row r="386" spans="1:11" x14ac:dyDescent="0.25">
      <c r="A386" s="183" t="s">
        <v>538</v>
      </c>
      <c r="B386" s="184" t="s">
        <v>539</v>
      </c>
      <c r="C386" s="185" t="s">
        <v>353</v>
      </c>
      <c r="D386" s="186">
        <v>1</v>
      </c>
      <c r="E386" s="187">
        <f t="shared" si="76"/>
        <v>0.19</v>
      </c>
      <c r="F386" s="188"/>
      <c r="G386" s="187">
        <f t="shared" si="67"/>
        <v>1.19</v>
      </c>
      <c r="H386" s="189">
        <f t="shared" ref="H386:H405" si="92">D386</f>
        <v>1</v>
      </c>
      <c r="I386" s="187">
        <f t="shared" si="68"/>
        <v>0.19</v>
      </c>
      <c r="J386" s="188"/>
      <c r="K386" s="187">
        <f t="shared" si="69"/>
        <v>1.19</v>
      </c>
    </row>
    <row r="387" spans="1:11" x14ac:dyDescent="0.25">
      <c r="A387" s="183" t="s">
        <v>538</v>
      </c>
      <c r="B387" s="184" t="s">
        <v>142</v>
      </c>
      <c r="C387" s="185" t="s">
        <v>346</v>
      </c>
      <c r="D387" s="186">
        <v>20</v>
      </c>
      <c r="E387" s="187">
        <f t="shared" si="76"/>
        <v>3.8</v>
      </c>
      <c r="F387" s="188"/>
      <c r="G387" s="187">
        <f t="shared" si="67"/>
        <v>23.8</v>
      </c>
      <c r="H387" s="189">
        <f t="shared" si="92"/>
        <v>20</v>
      </c>
      <c r="I387" s="187">
        <f t="shared" si="68"/>
        <v>3.8</v>
      </c>
      <c r="J387" s="188"/>
      <c r="K387" s="187">
        <f t="shared" si="69"/>
        <v>23.8</v>
      </c>
    </row>
    <row r="388" spans="1:11" x14ac:dyDescent="0.25">
      <c r="A388" s="183" t="s">
        <v>538</v>
      </c>
      <c r="B388" s="184" t="s">
        <v>160</v>
      </c>
      <c r="C388" s="185" t="s">
        <v>386</v>
      </c>
      <c r="D388" s="186"/>
      <c r="E388" s="187">
        <f t="shared" si="76"/>
        <v>0</v>
      </c>
      <c r="F388" s="188"/>
      <c r="G388" s="187">
        <f t="shared" si="67"/>
        <v>0</v>
      </c>
      <c r="H388" s="189">
        <f t="shared" si="92"/>
        <v>0</v>
      </c>
      <c r="I388" s="187">
        <f t="shared" si="68"/>
        <v>0</v>
      </c>
      <c r="J388" s="188"/>
      <c r="K388" s="187">
        <f t="shared" si="69"/>
        <v>0</v>
      </c>
    </row>
    <row r="389" spans="1:11" x14ac:dyDescent="0.25">
      <c r="A389" s="183" t="s">
        <v>538</v>
      </c>
      <c r="B389" s="184" t="s">
        <v>162</v>
      </c>
      <c r="C389" s="185" t="s">
        <v>386</v>
      </c>
      <c r="D389" s="186"/>
      <c r="E389" s="187">
        <f t="shared" si="76"/>
        <v>0</v>
      </c>
      <c r="F389" s="188"/>
      <c r="G389" s="187">
        <f t="shared" si="67"/>
        <v>0</v>
      </c>
      <c r="H389" s="189">
        <f t="shared" si="92"/>
        <v>0</v>
      </c>
      <c r="I389" s="187">
        <f t="shared" si="68"/>
        <v>0</v>
      </c>
      <c r="J389" s="188"/>
      <c r="K389" s="187">
        <f t="shared" si="69"/>
        <v>0</v>
      </c>
    </row>
    <row r="390" spans="1:11" x14ac:dyDescent="0.25">
      <c r="A390" s="183" t="s">
        <v>538</v>
      </c>
      <c r="B390" s="184" t="s">
        <v>130</v>
      </c>
      <c r="C390" s="185" t="s">
        <v>317</v>
      </c>
      <c r="D390" s="186">
        <v>276</v>
      </c>
      <c r="E390" s="187">
        <f t="shared" si="76"/>
        <v>52.44</v>
      </c>
      <c r="F390" s="188"/>
      <c r="G390" s="187">
        <f t="shared" si="67"/>
        <v>328.44</v>
      </c>
      <c r="H390" s="189">
        <f t="shared" si="92"/>
        <v>276</v>
      </c>
      <c r="I390" s="187">
        <f t="shared" si="68"/>
        <v>52.44</v>
      </c>
      <c r="J390" s="188"/>
      <c r="K390" s="187">
        <f t="shared" si="69"/>
        <v>328.44</v>
      </c>
    </row>
    <row r="391" spans="1:11" x14ac:dyDescent="0.25">
      <c r="A391" s="183" t="s">
        <v>538</v>
      </c>
      <c r="B391" s="184" t="s">
        <v>540</v>
      </c>
      <c r="C391" s="185" t="s">
        <v>386</v>
      </c>
      <c r="D391" s="186">
        <v>1650</v>
      </c>
      <c r="E391" s="187">
        <f t="shared" si="76"/>
        <v>313.5</v>
      </c>
      <c r="F391" s="188"/>
      <c r="G391" s="187">
        <f t="shared" si="67"/>
        <v>1963.5</v>
      </c>
      <c r="H391" s="189">
        <f t="shared" si="92"/>
        <v>1650</v>
      </c>
      <c r="I391" s="187">
        <f t="shared" si="68"/>
        <v>313.5</v>
      </c>
      <c r="J391" s="188"/>
      <c r="K391" s="187">
        <f t="shared" si="69"/>
        <v>1963.5</v>
      </c>
    </row>
    <row r="392" spans="1:11" x14ac:dyDescent="0.25">
      <c r="A392" s="183" t="s">
        <v>538</v>
      </c>
      <c r="B392" s="184" t="s">
        <v>541</v>
      </c>
      <c r="C392" s="185" t="s">
        <v>317</v>
      </c>
      <c r="D392" s="186">
        <v>91</v>
      </c>
      <c r="E392" s="187">
        <f t="shared" si="76"/>
        <v>17.29</v>
      </c>
      <c r="F392" s="188"/>
      <c r="G392" s="187">
        <f t="shared" si="67"/>
        <v>108.28999999999999</v>
      </c>
      <c r="H392" s="189">
        <f t="shared" si="92"/>
        <v>91</v>
      </c>
      <c r="I392" s="187">
        <f t="shared" si="68"/>
        <v>17.29</v>
      </c>
      <c r="J392" s="188"/>
      <c r="K392" s="187">
        <f t="shared" si="69"/>
        <v>108.28999999999999</v>
      </c>
    </row>
    <row r="393" spans="1:11" x14ac:dyDescent="0.25">
      <c r="A393" s="183" t="s">
        <v>538</v>
      </c>
      <c r="B393" s="184" t="s">
        <v>542</v>
      </c>
      <c r="C393" s="185" t="s">
        <v>543</v>
      </c>
      <c r="D393" s="186">
        <v>4250</v>
      </c>
      <c r="E393" s="187">
        <f t="shared" si="76"/>
        <v>807.5</v>
      </c>
      <c r="F393" s="188"/>
      <c r="G393" s="187">
        <f t="shared" si="67"/>
        <v>5057.5</v>
      </c>
      <c r="H393" s="189">
        <f t="shared" si="92"/>
        <v>4250</v>
      </c>
      <c r="I393" s="187">
        <f t="shared" si="68"/>
        <v>807.5</v>
      </c>
      <c r="J393" s="188"/>
      <c r="K393" s="187">
        <f t="shared" si="69"/>
        <v>5057.5</v>
      </c>
    </row>
    <row r="394" spans="1:11" x14ac:dyDescent="0.25">
      <c r="A394" s="183" t="s">
        <v>544</v>
      </c>
      <c r="B394" s="184" t="s">
        <v>545</v>
      </c>
      <c r="C394" s="185" t="s">
        <v>505</v>
      </c>
      <c r="D394" s="186">
        <v>567</v>
      </c>
      <c r="E394" s="187">
        <f t="shared" si="76"/>
        <v>107.73</v>
      </c>
      <c r="F394" s="188"/>
      <c r="G394" s="187">
        <f t="shared" si="67"/>
        <v>674.73</v>
      </c>
      <c r="H394" s="189">
        <f t="shared" si="92"/>
        <v>567</v>
      </c>
      <c r="I394" s="187">
        <f t="shared" si="68"/>
        <v>107.73</v>
      </c>
      <c r="J394" s="188"/>
      <c r="K394" s="187">
        <f t="shared" si="69"/>
        <v>674.73</v>
      </c>
    </row>
    <row r="395" spans="1:11" x14ac:dyDescent="0.25">
      <c r="A395" s="183" t="s">
        <v>544</v>
      </c>
      <c r="B395" s="184" t="s">
        <v>546</v>
      </c>
      <c r="C395" s="185" t="s">
        <v>317</v>
      </c>
      <c r="D395" s="186">
        <v>61</v>
      </c>
      <c r="E395" s="187">
        <f t="shared" si="76"/>
        <v>11.59</v>
      </c>
      <c r="F395" s="188"/>
      <c r="G395" s="187">
        <f t="shared" si="67"/>
        <v>72.59</v>
      </c>
      <c r="H395" s="189">
        <f t="shared" si="92"/>
        <v>61</v>
      </c>
      <c r="I395" s="187">
        <f t="shared" si="68"/>
        <v>11.59</v>
      </c>
      <c r="J395" s="188"/>
      <c r="K395" s="187">
        <f t="shared" si="69"/>
        <v>72.59</v>
      </c>
    </row>
    <row r="396" spans="1:11" x14ac:dyDescent="0.25">
      <c r="A396" s="183"/>
      <c r="B396" s="184" t="s">
        <v>547</v>
      </c>
      <c r="C396" s="185" t="s">
        <v>352</v>
      </c>
      <c r="D396" s="186">
        <v>0</v>
      </c>
      <c r="E396" s="187">
        <f t="shared" si="76"/>
        <v>0</v>
      </c>
      <c r="F396" s="188"/>
      <c r="G396" s="187">
        <f t="shared" si="67"/>
        <v>0</v>
      </c>
      <c r="H396" s="189">
        <f t="shared" si="92"/>
        <v>0</v>
      </c>
      <c r="I396" s="187">
        <f t="shared" si="68"/>
        <v>0</v>
      </c>
      <c r="J396" s="188"/>
      <c r="K396" s="187">
        <f t="shared" si="69"/>
        <v>0</v>
      </c>
    </row>
    <row r="397" spans="1:11" x14ac:dyDescent="0.25">
      <c r="A397" s="183"/>
      <c r="B397" s="184" t="s">
        <v>548</v>
      </c>
      <c r="C397" s="185" t="s">
        <v>346</v>
      </c>
      <c r="D397" s="186"/>
      <c r="E397" s="187">
        <f t="shared" si="76"/>
        <v>0</v>
      </c>
      <c r="F397" s="188"/>
      <c r="G397" s="187">
        <f t="shared" si="67"/>
        <v>0</v>
      </c>
      <c r="H397" s="189">
        <f t="shared" si="92"/>
        <v>0</v>
      </c>
      <c r="I397" s="187">
        <f t="shared" si="68"/>
        <v>0</v>
      </c>
      <c r="J397" s="188"/>
      <c r="K397" s="187">
        <f t="shared" si="69"/>
        <v>0</v>
      </c>
    </row>
    <row r="398" spans="1:11" x14ac:dyDescent="0.25">
      <c r="A398" s="183"/>
      <c r="B398" s="184" t="s">
        <v>549</v>
      </c>
      <c r="C398" s="185" t="s">
        <v>360</v>
      </c>
      <c r="D398" s="186">
        <v>0</v>
      </c>
      <c r="E398" s="187">
        <f t="shared" si="76"/>
        <v>0</v>
      </c>
      <c r="F398" s="188"/>
      <c r="G398" s="187">
        <f t="shared" si="67"/>
        <v>0</v>
      </c>
      <c r="H398" s="189">
        <f t="shared" si="92"/>
        <v>0</v>
      </c>
      <c r="I398" s="187">
        <f t="shared" si="68"/>
        <v>0</v>
      </c>
      <c r="J398" s="188"/>
      <c r="K398" s="187">
        <f t="shared" si="69"/>
        <v>0</v>
      </c>
    </row>
    <row r="399" spans="1:11" x14ac:dyDescent="0.25">
      <c r="A399" s="183"/>
      <c r="B399" s="184" t="s">
        <v>550</v>
      </c>
      <c r="C399" s="185" t="s">
        <v>505</v>
      </c>
      <c r="D399" s="186"/>
      <c r="E399" s="187">
        <f t="shared" si="76"/>
        <v>0</v>
      </c>
      <c r="F399" s="188"/>
      <c r="G399" s="187">
        <f t="shared" si="67"/>
        <v>0</v>
      </c>
      <c r="H399" s="189">
        <f t="shared" si="92"/>
        <v>0</v>
      </c>
      <c r="I399" s="187">
        <f t="shared" si="68"/>
        <v>0</v>
      </c>
      <c r="J399" s="188"/>
      <c r="K399" s="187">
        <f t="shared" si="69"/>
        <v>0</v>
      </c>
    </row>
    <row r="400" spans="1:11" x14ac:dyDescent="0.25">
      <c r="A400" s="183"/>
      <c r="B400" s="184" t="s">
        <v>551</v>
      </c>
      <c r="C400" s="185" t="s">
        <v>317</v>
      </c>
      <c r="D400" s="186"/>
      <c r="E400" s="187">
        <f t="shared" si="76"/>
        <v>0</v>
      </c>
      <c r="F400" s="188"/>
      <c r="G400" s="187">
        <f t="shared" si="67"/>
        <v>0</v>
      </c>
      <c r="H400" s="189">
        <f t="shared" si="92"/>
        <v>0</v>
      </c>
      <c r="I400" s="187">
        <f t="shared" si="68"/>
        <v>0</v>
      </c>
      <c r="J400" s="188"/>
      <c r="K400" s="187">
        <f t="shared" si="69"/>
        <v>0</v>
      </c>
    </row>
    <row r="401" spans="1:11" x14ac:dyDescent="0.25">
      <c r="A401" s="183"/>
      <c r="B401" s="184" t="s">
        <v>552</v>
      </c>
      <c r="C401" s="185"/>
      <c r="D401" s="186"/>
      <c r="E401" s="187">
        <f t="shared" si="76"/>
        <v>0</v>
      </c>
      <c r="F401" s="188"/>
      <c r="G401" s="187">
        <f t="shared" si="67"/>
        <v>0</v>
      </c>
      <c r="H401" s="189">
        <f t="shared" si="92"/>
        <v>0</v>
      </c>
      <c r="I401" s="187">
        <f t="shared" si="68"/>
        <v>0</v>
      </c>
      <c r="J401" s="188"/>
      <c r="K401" s="187">
        <f t="shared" si="69"/>
        <v>0</v>
      </c>
    </row>
    <row r="402" spans="1:11" x14ac:dyDescent="0.25">
      <c r="A402" s="183"/>
      <c r="B402" s="184" t="s">
        <v>553</v>
      </c>
      <c r="C402" s="185" t="s">
        <v>322</v>
      </c>
      <c r="D402" s="186"/>
      <c r="E402" s="187">
        <f t="shared" si="76"/>
        <v>0</v>
      </c>
      <c r="F402" s="188"/>
      <c r="G402" s="187">
        <f t="shared" si="67"/>
        <v>0</v>
      </c>
      <c r="H402" s="189">
        <f t="shared" si="92"/>
        <v>0</v>
      </c>
      <c r="I402" s="187">
        <f t="shared" si="68"/>
        <v>0</v>
      </c>
      <c r="J402" s="188"/>
      <c r="K402" s="187">
        <f t="shared" si="69"/>
        <v>0</v>
      </c>
    </row>
    <row r="403" spans="1:11" x14ac:dyDescent="0.25">
      <c r="A403" s="183"/>
      <c r="B403" s="184" t="s">
        <v>554</v>
      </c>
      <c r="C403" s="185" t="s">
        <v>322</v>
      </c>
      <c r="D403" s="186">
        <v>2.9649999999999999</v>
      </c>
      <c r="E403" s="187">
        <f t="shared" si="76"/>
        <v>0.56335000000000002</v>
      </c>
      <c r="F403" s="188">
        <f t="shared" ref="F403:F404" si="93">D403*0.315</f>
        <v>0.933975</v>
      </c>
      <c r="G403" s="187">
        <f t="shared" si="67"/>
        <v>4.4623249999999999</v>
      </c>
      <c r="H403" s="189">
        <f t="shared" si="92"/>
        <v>2.9649999999999999</v>
      </c>
      <c r="I403" s="187">
        <f t="shared" si="68"/>
        <v>0.56335000000000002</v>
      </c>
      <c r="J403" s="188">
        <f t="shared" ref="J403:J404" si="94">H403*0.315</f>
        <v>0.933975</v>
      </c>
      <c r="K403" s="187">
        <f t="shared" si="69"/>
        <v>4.4623249999999999</v>
      </c>
    </row>
    <row r="404" spans="1:11" x14ac:dyDescent="0.25">
      <c r="A404" s="183"/>
      <c r="B404" s="184" t="s">
        <v>555</v>
      </c>
      <c r="C404" s="185" t="s">
        <v>322</v>
      </c>
      <c r="D404" s="186">
        <v>1.98</v>
      </c>
      <c r="E404" s="187">
        <f t="shared" si="76"/>
        <v>0.37619999999999998</v>
      </c>
      <c r="F404" s="188">
        <f t="shared" si="93"/>
        <v>0.62370000000000003</v>
      </c>
      <c r="G404" s="187">
        <f t="shared" si="67"/>
        <v>2.9798999999999998</v>
      </c>
      <c r="H404" s="189">
        <f t="shared" si="92"/>
        <v>1.98</v>
      </c>
      <c r="I404" s="187">
        <f t="shared" si="68"/>
        <v>0.37619999999999998</v>
      </c>
      <c r="J404" s="188">
        <f t="shared" si="94"/>
        <v>0.62370000000000003</v>
      </c>
      <c r="K404" s="187">
        <f t="shared" si="69"/>
        <v>2.9798999999999998</v>
      </c>
    </row>
    <row r="405" spans="1:11" x14ac:dyDescent="0.25">
      <c r="A405" s="183"/>
      <c r="B405" s="184" t="s">
        <v>233</v>
      </c>
      <c r="C405" s="73"/>
      <c r="D405" s="186">
        <v>150</v>
      </c>
      <c r="E405" s="187">
        <f t="shared" si="76"/>
        <v>28.5</v>
      </c>
      <c r="F405" s="188"/>
      <c r="G405" s="187">
        <f t="shared" si="67"/>
        <v>178.5</v>
      </c>
      <c r="H405" s="189">
        <f t="shared" si="92"/>
        <v>150</v>
      </c>
      <c r="I405" s="187">
        <f t="shared" si="68"/>
        <v>28.5</v>
      </c>
      <c r="J405" s="188"/>
      <c r="K405" s="187">
        <f t="shared" si="69"/>
        <v>178.5</v>
      </c>
    </row>
    <row r="406" spans="1:11" x14ac:dyDescent="0.25">
      <c r="A406" s="183"/>
      <c r="B406" s="184" t="s">
        <v>556</v>
      </c>
      <c r="C406" s="73"/>
      <c r="D406" s="186">
        <v>11500</v>
      </c>
      <c r="E406" s="187">
        <f t="shared" si="76"/>
        <v>2185</v>
      </c>
      <c r="F406" s="188"/>
      <c r="G406" s="187">
        <f t="shared" si="67"/>
        <v>13685</v>
      </c>
      <c r="H406" s="189">
        <f>D406/1000</f>
        <v>11.5</v>
      </c>
      <c r="I406" s="187">
        <f t="shared" si="68"/>
        <v>2.1850000000000001</v>
      </c>
      <c r="J406" s="188"/>
      <c r="K406" s="187">
        <f t="shared" si="69"/>
        <v>13.685</v>
      </c>
    </row>
    <row r="407" spans="1:11" x14ac:dyDescent="0.25">
      <c r="A407" s="183"/>
      <c r="B407" s="184"/>
      <c r="C407" s="185"/>
      <c r="D407" s="186"/>
      <c r="E407" s="187"/>
      <c r="F407" s="188"/>
      <c r="G407" s="187"/>
      <c r="H407" s="189"/>
      <c r="I407" s="187"/>
      <c r="J407" s="188"/>
      <c r="K407" s="187"/>
    </row>
    <row r="408" spans="1:11" x14ac:dyDescent="0.25">
      <c r="A408" s="183"/>
      <c r="B408" s="184"/>
      <c r="C408" s="185"/>
      <c r="D408" s="186"/>
      <c r="E408" s="187"/>
      <c r="F408" s="188"/>
      <c r="G408" s="187"/>
      <c r="H408" s="189"/>
      <c r="I408" s="187"/>
      <c r="J408" s="188"/>
      <c r="K408" s="187"/>
    </row>
    <row r="409" spans="1:11" x14ac:dyDescent="0.25">
      <c r="A409" s="183"/>
      <c r="B409" s="184"/>
      <c r="C409" s="185"/>
      <c r="D409" s="186"/>
      <c r="E409" s="187"/>
      <c r="F409" s="188"/>
      <c r="G409" s="187"/>
      <c r="H409" s="189"/>
      <c r="I409" s="187"/>
      <c r="J409" s="188"/>
      <c r="K409" s="187"/>
    </row>
    <row r="410" spans="1:11" x14ac:dyDescent="0.25">
      <c r="A410" s="183"/>
      <c r="B410" s="184"/>
      <c r="C410" s="185"/>
      <c r="D410" s="186"/>
      <c r="E410" s="187"/>
      <c r="F410" s="188"/>
      <c r="G410" s="187"/>
      <c r="H410" s="189"/>
      <c r="I410" s="187"/>
      <c r="J410" s="188"/>
      <c r="K410" s="187"/>
    </row>
    <row r="411" spans="1:11" x14ac:dyDescent="0.25">
      <c r="A411" s="183"/>
      <c r="B411" s="184"/>
      <c r="C411" s="185"/>
      <c r="D411" s="186"/>
      <c r="E411" s="187"/>
      <c r="F411" s="188"/>
      <c r="G411" s="187"/>
      <c r="H411" s="189"/>
      <c r="I411" s="187"/>
      <c r="J411" s="188"/>
      <c r="K411" s="187"/>
    </row>
    <row r="412" spans="1:11" x14ac:dyDescent="0.25">
      <c r="A412" s="183"/>
      <c r="B412" s="184"/>
      <c r="C412" s="185"/>
      <c r="D412" s="186"/>
      <c r="E412" s="187"/>
      <c r="F412" s="188"/>
      <c r="G412" s="187"/>
      <c r="H412" s="189"/>
      <c r="I412" s="187"/>
      <c r="J412" s="188"/>
      <c r="K412" s="187"/>
    </row>
    <row r="413" spans="1:11" x14ac:dyDescent="0.25">
      <c r="A413" s="183"/>
      <c r="B413" s="184"/>
      <c r="C413" s="185"/>
      <c r="D413" s="186"/>
      <c r="E413" s="187"/>
      <c r="F413" s="188"/>
      <c r="G413" s="187"/>
      <c r="H413" s="189"/>
      <c r="I413" s="187"/>
      <c r="J413" s="188"/>
      <c r="K413" s="187"/>
    </row>
    <row r="414" spans="1:11" x14ac:dyDescent="0.25">
      <c r="A414" s="183"/>
      <c r="B414" s="184"/>
      <c r="C414" s="185"/>
      <c r="D414" s="186"/>
      <c r="E414" s="187"/>
      <c r="F414" s="188"/>
      <c r="G414" s="187"/>
      <c r="H414" s="189"/>
      <c r="I414" s="187"/>
      <c r="J414" s="188"/>
      <c r="K414" s="187"/>
    </row>
    <row r="415" spans="1:11" x14ac:dyDescent="0.25">
      <c r="A415" s="183"/>
      <c r="B415" s="184"/>
      <c r="C415" s="185"/>
      <c r="D415" s="186"/>
      <c r="E415" s="187"/>
      <c r="F415" s="188"/>
      <c r="G415" s="187"/>
      <c r="H415" s="189"/>
      <c r="I415" s="187"/>
      <c r="J415" s="188"/>
      <c r="K415" s="187"/>
    </row>
    <row r="416" spans="1:11" x14ac:dyDescent="0.25">
      <c r="A416" s="183" t="s">
        <v>324</v>
      </c>
      <c r="B416" s="184" t="s">
        <v>557</v>
      </c>
      <c r="C416" s="185" t="s">
        <v>558</v>
      </c>
      <c r="D416" s="186">
        <v>23700</v>
      </c>
      <c r="E416" s="187">
        <f t="shared" ref="E416:E420" si="95">D416*0.19</f>
        <v>4503</v>
      </c>
      <c r="F416" s="188">
        <f t="shared" ref="F416:F417" si="96">0.205*D416</f>
        <v>4858.5</v>
      </c>
      <c r="G416" s="187">
        <f t="shared" ref="G416:G420" si="97">SUM(D416:F416)</f>
        <v>33061.5</v>
      </c>
      <c r="H416" s="189">
        <f>D416/30000</f>
        <v>0.79</v>
      </c>
      <c r="I416" s="187">
        <f t="shared" ref="I416:I420" si="98">H416*0.19</f>
        <v>0.15010000000000001</v>
      </c>
      <c r="J416" s="188">
        <f t="shared" ref="J416:J417" si="99">0.205*H416</f>
        <v>0.16195000000000001</v>
      </c>
      <c r="K416" s="187">
        <f t="shared" ref="K416:K420" si="100">SUM(H416:J416)</f>
        <v>1.10205</v>
      </c>
    </row>
    <row r="417" spans="1:11" x14ac:dyDescent="0.25">
      <c r="A417" s="183"/>
      <c r="B417" s="184" t="s">
        <v>559</v>
      </c>
      <c r="C417" s="185" t="s">
        <v>311</v>
      </c>
      <c r="D417" s="186">
        <v>2300</v>
      </c>
      <c r="E417" s="187">
        <f t="shared" si="95"/>
        <v>437</v>
      </c>
      <c r="F417" s="188">
        <f t="shared" si="96"/>
        <v>471.5</v>
      </c>
      <c r="G417" s="187">
        <f t="shared" si="97"/>
        <v>3208.5</v>
      </c>
      <c r="H417" s="189">
        <f>D417/16</f>
        <v>143.75</v>
      </c>
      <c r="I417" s="187">
        <f t="shared" si="98"/>
        <v>27.3125</v>
      </c>
      <c r="J417" s="188">
        <f t="shared" si="99"/>
        <v>29.46875</v>
      </c>
      <c r="K417" s="187">
        <f t="shared" si="100"/>
        <v>200.53125</v>
      </c>
    </row>
    <row r="418" spans="1:11" x14ac:dyDescent="0.25">
      <c r="A418" s="174" t="s">
        <v>445</v>
      </c>
      <c r="B418" s="174" t="s">
        <v>560</v>
      </c>
      <c r="C418" s="176" t="s">
        <v>322</v>
      </c>
      <c r="D418" s="177">
        <v>5827</v>
      </c>
      <c r="E418" s="178">
        <f t="shared" si="95"/>
        <v>1107.1300000000001</v>
      </c>
      <c r="F418" s="179">
        <f>D418*0.315</f>
        <v>1835.5050000000001</v>
      </c>
      <c r="G418" s="178">
        <f t="shared" si="97"/>
        <v>8769.6350000000002</v>
      </c>
      <c r="H418" s="180">
        <f>D418/700</f>
        <v>8.3242857142857147</v>
      </c>
      <c r="I418" s="178">
        <f t="shared" si="98"/>
        <v>1.5816142857142859</v>
      </c>
      <c r="J418" s="179">
        <f>H418*0.315</f>
        <v>2.62215</v>
      </c>
      <c r="K418" s="178">
        <f t="shared" si="100"/>
        <v>12.52805</v>
      </c>
    </row>
    <row r="419" spans="1:11" x14ac:dyDescent="0.25">
      <c r="A419" s="174" t="s">
        <v>568</v>
      </c>
      <c r="B419" s="181" t="s">
        <v>573</v>
      </c>
      <c r="C419" s="176" t="s">
        <v>311</v>
      </c>
      <c r="D419" s="177">
        <v>2555</v>
      </c>
      <c r="E419" s="178">
        <f t="shared" si="95"/>
        <v>485.45</v>
      </c>
      <c r="F419" s="179"/>
      <c r="G419" s="178">
        <f t="shared" si="97"/>
        <v>3040.45</v>
      </c>
      <c r="H419" s="180">
        <f t="shared" ref="H419:H420" si="101">D419</f>
        <v>2555</v>
      </c>
      <c r="I419" s="178">
        <f t="shared" si="98"/>
        <v>485.45</v>
      </c>
      <c r="J419" s="179"/>
      <c r="K419" s="178">
        <f t="shared" si="100"/>
        <v>3040.45</v>
      </c>
    </row>
    <row r="420" spans="1:11" x14ac:dyDescent="0.25">
      <c r="A420" s="174" t="s">
        <v>568</v>
      </c>
      <c r="B420" s="181" t="s">
        <v>574</v>
      </c>
      <c r="C420" s="176" t="s">
        <v>311</v>
      </c>
      <c r="D420" s="177">
        <v>2867</v>
      </c>
      <c r="E420" s="178">
        <f t="shared" si="95"/>
        <v>544.73</v>
      </c>
      <c r="F420" s="179"/>
      <c r="G420" s="178">
        <f t="shared" si="97"/>
        <v>3411.73</v>
      </c>
      <c r="H420" s="180">
        <f t="shared" si="101"/>
        <v>2867</v>
      </c>
      <c r="I420" s="178">
        <f t="shared" si="98"/>
        <v>544.73</v>
      </c>
      <c r="J420" s="179"/>
      <c r="K420" s="178">
        <f t="shared" si="100"/>
        <v>3411.73</v>
      </c>
    </row>
  </sheetData>
  <autoFilter ref="A5:K418" xr:uid="{00000000-0009-0000-0000-000008000000}">
    <sortState xmlns:xlrd2="http://schemas.microsoft.com/office/spreadsheetml/2017/richdata2" ref="A6:K394">
      <sortCondition ref="A5:A394"/>
    </sortState>
  </autoFilter>
  <mergeCells count="2">
    <mergeCell ref="D4:G4"/>
    <mergeCell ref="H4:K4"/>
  </mergeCells>
  <conditionalFormatting sqref="H1:H3 H421:H1048576">
    <cfRule type="containsText" dxfId="7" priority="13" operator="containsText" text="$">
      <formula>NOT(ISERROR(SEARCH("$",H1)))</formula>
    </cfRule>
  </conditionalFormatting>
  <conditionalFormatting sqref="H419">
    <cfRule type="containsText" dxfId="6" priority="2" operator="containsText" text="$">
      <formula>NOT(ISERROR(SEARCH(("$"),(H419))))</formula>
    </cfRule>
  </conditionalFormatting>
  <conditionalFormatting sqref="H420">
    <cfRule type="containsText" dxfId="5" priority="1" operator="containsText" text="$">
      <formula>NOT(ISERROR(SEARCH(("$"),(H420))))</formula>
    </cfRule>
  </conditionalFormatting>
  <conditionalFormatting sqref="H408:H411">
    <cfRule type="containsText" dxfId="4" priority="5" operator="containsText" text="$">
      <formula>NOT(ISERROR(SEARCH(("$"),(H408))))</formula>
    </cfRule>
  </conditionalFormatting>
  <conditionalFormatting sqref="H403:H406">
    <cfRule type="containsText" dxfId="3" priority="4" operator="containsText" text="$">
      <formula>NOT(ISERROR(SEARCH(("$"),(H403))))</formula>
    </cfRule>
  </conditionalFormatting>
  <conditionalFormatting sqref="H4:H5 H20:H22 H32:H36 H71 H75 H80:H81 H164:H166 H175:H176 H182:H189 H191 H193:H200 H203:H207 H209 H215 H239:H244 H334:H365 H369 H371:H372 H396:H402 H50:H66">
    <cfRule type="containsText" dxfId="2" priority="3" operator="containsText" text="$">
      <formula>NOT(ISERROR(SEARCH(("$"),(H4))))</formula>
    </cfRule>
  </conditionalFormatting>
  <conditionalFormatting sqref="H413">
    <cfRule type="containsText" dxfId="1" priority="6" operator="containsText" text="$">
      <formula>NOT(ISERROR(SEARCH(("$"),(H413))))</formula>
    </cfRule>
  </conditionalFormatting>
  <conditionalFormatting sqref="H418">
    <cfRule type="containsText" dxfId="0" priority="7" operator="containsText" text="$">
      <formula>NOT(ISERROR(SEARCH(("$"),(H418))))</formula>
    </cfRule>
  </conditionalFormatting>
  <pageMargins left="0.25" right="0.25" top="0.75" bottom="0.75" header="0.3" footer="0.3"/>
  <pageSetup scale="43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9CC0B-27F8-458F-8CF9-48AFF6224295}">
  <dimension ref="B3:P15"/>
  <sheetViews>
    <sheetView showGridLines="0" workbookViewId="0">
      <selection activeCell="K20" sqref="K20"/>
    </sheetView>
  </sheetViews>
  <sheetFormatPr baseColWidth="10" defaultRowHeight="15" x14ac:dyDescent="0.25"/>
  <cols>
    <col min="14" max="14" width="13" bestFit="1" customWidth="1"/>
    <col min="15" max="15" width="14.7109375" bestFit="1" customWidth="1"/>
    <col min="16" max="16" width="19" bestFit="1" customWidth="1"/>
  </cols>
  <sheetData>
    <row r="3" spans="2:16" ht="31.5" x14ac:dyDescent="0.5">
      <c r="B3" s="349" t="s">
        <v>598</v>
      </c>
    </row>
    <row r="5" spans="2:16" x14ac:dyDescent="0.25">
      <c r="B5" s="396" t="s">
        <v>591</v>
      </c>
      <c r="C5" s="396"/>
      <c r="D5" s="396"/>
      <c r="E5" s="396"/>
      <c r="F5" s="396"/>
      <c r="H5" s="396" t="s">
        <v>592</v>
      </c>
      <c r="I5" s="396"/>
      <c r="J5" s="396"/>
      <c r="K5" s="396"/>
      <c r="L5" s="396"/>
      <c r="N5" s="396" t="s">
        <v>594</v>
      </c>
      <c r="O5" s="396"/>
      <c r="P5" s="396"/>
    </row>
    <row r="7" spans="2:16" x14ac:dyDescent="0.25">
      <c r="B7" s="347" t="s">
        <v>593</v>
      </c>
      <c r="C7" s="347" t="s">
        <v>589</v>
      </c>
      <c r="D7" s="347" t="s">
        <v>69</v>
      </c>
      <c r="E7" s="347" t="s">
        <v>590</v>
      </c>
      <c r="F7" s="347" t="s">
        <v>307</v>
      </c>
      <c r="H7" s="347" t="s">
        <v>593</v>
      </c>
      <c r="I7" s="347" t="s">
        <v>589</v>
      </c>
      <c r="J7" s="347" t="s">
        <v>69</v>
      </c>
      <c r="K7" s="347" t="s">
        <v>590</v>
      </c>
      <c r="L7" s="347" t="s">
        <v>307</v>
      </c>
      <c r="N7" s="348" t="s">
        <v>595</v>
      </c>
      <c r="O7" s="348" t="s">
        <v>594</v>
      </c>
      <c r="P7" s="348" t="s">
        <v>596</v>
      </c>
    </row>
    <row r="8" spans="2:16" x14ac:dyDescent="0.25">
      <c r="B8" s="350">
        <v>45285</v>
      </c>
      <c r="C8" s="2" t="s">
        <v>577</v>
      </c>
      <c r="D8" s="351">
        <f>COCINA!D2</f>
        <v>0</v>
      </c>
      <c r="E8" s="351">
        <f>COCINA!C2</f>
        <v>0</v>
      </c>
      <c r="F8" s="352" t="e">
        <f>E8/D8</f>
        <v>#DIV/0!</v>
      </c>
      <c r="H8" s="350">
        <v>45285</v>
      </c>
      <c r="I8" s="2" t="s">
        <v>577</v>
      </c>
      <c r="J8" s="351">
        <f>D8</f>
        <v>0</v>
      </c>
      <c r="K8" s="351">
        <f>BARRA!D2</f>
        <v>0</v>
      </c>
      <c r="L8" s="352" t="e">
        <f>K8/J8</f>
        <v>#DIV/0!</v>
      </c>
      <c r="N8" s="353">
        <f>J15</f>
        <v>5837538</v>
      </c>
      <c r="O8" s="353">
        <f>+E15+K15</f>
        <v>-362368.37488333334</v>
      </c>
      <c r="P8" s="354">
        <f>O8/N8</f>
        <v>-6.2075548781581093E-2</v>
      </c>
    </row>
    <row r="9" spans="2:16" x14ac:dyDescent="0.25">
      <c r="B9" s="350">
        <v>45286</v>
      </c>
      <c r="C9" s="2" t="s">
        <v>578</v>
      </c>
      <c r="D9" s="351">
        <f>COCINA!L2</f>
        <v>692848</v>
      </c>
      <c r="E9" s="351">
        <f>COCINA!K2</f>
        <v>-74521.37</v>
      </c>
      <c r="F9" s="352">
        <f t="shared" ref="F9:F15" si="0">E9/D9</f>
        <v>-0.10755803581737985</v>
      </c>
      <c r="H9" s="350">
        <v>45286</v>
      </c>
      <c r="I9" s="2" t="s">
        <v>578</v>
      </c>
      <c r="J9" s="351">
        <f t="shared" ref="J9:J14" si="1">D9</f>
        <v>692848</v>
      </c>
      <c r="K9" s="351">
        <f>BARRA!O2</f>
        <v>-29353.8629</v>
      </c>
      <c r="L9" s="352">
        <f t="shared" ref="L9:L15" si="2">K9/J9</f>
        <v>-4.236695913100709E-2</v>
      </c>
    </row>
    <row r="10" spans="2:16" x14ac:dyDescent="0.25">
      <c r="B10" s="350">
        <v>45287</v>
      </c>
      <c r="C10" s="2" t="s">
        <v>584</v>
      </c>
      <c r="D10" s="351">
        <f>COCINA!T2</f>
        <v>650350</v>
      </c>
      <c r="E10" s="351">
        <f>COCINA!S2</f>
        <v>-27397.370000000003</v>
      </c>
      <c r="F10" s="352">
        <f t="shared" si="0"/>
        <v>-4.212711616821712E-2</v>
      </c>
      <c r="H10" s="350">
        <v>45287</v>
      </c>
      <c r="I10" s="2" t="s">
        <v>584</v>
      </c>
      <c r="J10" s="351">
        <f t="shared" si="1"/>
        <v>650350</v>
      </c>
      <c r="K10" s="351">
        <f>BARRA!Z2</f>
        <v>-29480.632399999999</v>
      </c>
      <c r="L10" s="352">
        <f t="shared" si="2"/>
        <v>-4.5330410394403012E-2</v>
      </c>
    </row>
    <row r="11" spans="2:16" x14ac:dyDescent="0.25">
      <c r="B11" s="350">
        <v>45288</v>
      </c>
      <c r="C11" s="2" t="s">
        <v>580</v>
      </c>
      <c r="D11" s="351">
        <f>COCINA!AB2</f>
        <v>1553940</v>
      </c>
      <c r="E11" s="351">
        <f>COCINA!AA2</f>
        <v>-19593.647499999999</v>
      </c>
      <c r="F11" s="352">
        <f t="shared" si="0"/>
        <v>-1.260901160919984E-2</v>
      </c>
      <c r="H11" s="350">
        <v>45288</v>
      </c>
      <c r="I11" s="2" t="s">
        <v>580</v>
      </c>
      <c r="J11" s="351">
        <f t="shared" si="1"/>
        <v>1553940</v>
      </c>
      <c r="K11" s="351">
        <f>BARRA!AK2</f>
        <v>-34731.717449999996</v>
      </c>
      <c r="L11" s="352">
        <f t="shared" si="2"/>
        <v>-2.2350745492103939E-2</v>
      </c>
    </row>
    <row r="12" spans="2:16" x14ac:dyDescent="0.25">
      <c r="B12" s="350">
        <v>45289</v>
      </c>
      <c r="C12" s="2" t="s">
        <v>581</v>
      </c>
      <c r="D12" s="351">
        <f>COCINA!AJ2</f>
        <v>1797300</v>
      </c>
      <c r="E12" s="351">
        <f>COCINA!AI2</f>
        <v>-16563.61</v>
      </c>
      <c r="F12" s="352">
        <f t="shared" si="0"/>
        <v>-9.2158292995048133E-3</v>
      </c>
      <c r="H12" s="350">
        <v>45289</v>
      </c>
      <c r="I12" s="2" t="s">
        <v>581</v>
      </c>
      <c r="J12" s="351">
        <f t="shared" si="1"/>
        <v>1797300</v>
      </c>
      <c r="K12" s="351">
        <f>BARRA!AV2</f>
        <v>-54751.891799999998</v>
      </c>
      <c r="L12" s="352">
        <f t="shared" si="2"/>
        <v>-3.0463412785845433E-2</v>
      </c>
    </row>
    <row r="13" spans="2:16" x14ac:dyDescent="0.25">
      <c r="B13" s="350">
        <v>45290</v>
      </c>
      <c r="C13" s="2" t="s">
        <v>585</v>
      </c>
      <c r="D13" s="351">
        <f>COCINA!AR2</f>
        <v>1143100</v>
      </c>
      <c r="E13" s="351">
        <f>COCINA!AQ2</f>
        <v>-49165.778200000001</v>
      </c>
      <c r="F13" s="352">
        <f t="shared" si="0"/>
        <v>-4.3010916105327618E-2</v>
      </c>
      <c r="H13" s="350">
        <v>45290</v>
      </c>
      <c r="I13" s="2" t="s">
        <v>585</v>
      </c>
      <c r="J13" s="351">
        <f t="shared" si="1"/>
        <v>1143100</v>
      </c>
      <c r="K13" s="351">
        <f>BARRA!BG2</f>
        <v>-26808.494633333328</v>
      </c>
      <c r="L13" s="352">
        <f t="shared" si="2"/>
        <v>-2.3452449158720433E-2</v>
      </c>
    </row>
    <row r="14" spans="2:16" x14ac:dyDescent="0.25">
      <c r="B14" s="350">
        <v>45291</v>
      </c>
      <c r="C14" s="2" t="s">
        <v>583</v>
      </c>
      <c r="D14" s="351">
        <v>0</v>
      </c>
      <c r="E14" s="351">
        <v>0</v>
      </c>
      <c r="F14" s="352" t="e">
        <f t="shared" si="0"/>
        <v>#DIV/0!</v>
      </c>
      <c r="H14" s="350">
        <v>45291</v>
      </c>
      <c r="I14" s="2" t="s">
        <v>583</v>
      </c>
      <c r="J14" s="351">
        <f t="shared" si="1"/>
        <v>0</v>
      </c>
      <c r="K14" s="351">
        <v>0</v>
      </c>
      <c r="L14" s="352" t="e">
        <f t="shared" si="2"/>
        <v>#DIV/0!</v>
      </c>
    </row>
    <row r="15" spans="2:16" x14ac:dyDescent="0.25">
      <c r="C15" s="355" t="s">
        <v>597</v>
      </c>
      <c r="D15" s="353">
        <f>SUM(D8:D14)</f>
        <v>5837538</v>
      </c>
      <c r="E15" s="353">
        <f>SUM(E8:E14)</f>
        <v>-187241.7757</v>
      </c>
      <c r="F15" s="354">
        <f t="shared" si="0"/>
        <v>-3.2075470121136686E-2</v>
      </c>
      <c r="I15" s="355" t="s">
        <v>597</v>
      </c>
      <c r="J15" s="353">
        <f>SUM(J8:J14)</f>
        <v>5837538</v>
      </c>
      <c r="K15" s="353">
        <f>SUM(K8:K14)</f>
        <v>-175126.59918333331</v>
      </c>
      <c r="L15" s="354">
        <f t="shared" si="2"/>
        <v>-3.0000078660444403E-2</v>
      </c>
    </row>
  </sheetData>
  <mergeCells count="3">
    <mergeCell ref="B5:F5"/>
    <mergeCell ref="H5:L5"/>
    <mergeCell ref="N5:P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12</vt:i4>
      </vt:variant>
    </vt:vector>
  </HeadingPairs>
  <TitlesOfParts>
    <vt:vector size="22" baseType="lpstr">
      <vt:lpstr>COCINA</vt:lpstr>
      <vt:lpstr>COLACION</vt:lpstr>
      <vt:lpstr>BARRA</vt:lpstr>
      <vt:lpstr>INICIO</vt:lpstr>
      <vt:lpstr>INICIO_BARRA</vt:lpstr>
      <vt:lpstr>REPOSICIONES</vt:lpstr>
      <vt:lpstr>REPOSICIONES_BARRA</vt:lpstr>
      <vt:lpstr>VENTAS</vt:lpstr>
      <vt:lpstr>VALOR I.</vt:lpstr>
      <vt:lpstr>RESUMEN</vt:lpstr>
      <vt:lpstr>BARRA!Área_de_impresión</vt:lpstr>
      <vt:lpstr>COCINA!Área_de_impresión</vt:lpstr>
      <vt:lpstr>INICIO!Área_de_impresión</vt:lpstr>
      <vt:lpstr>INICIO_BARRA!Área_de_impresión</vt:lpstr>
      <vt:lpstr>REPOSICIONES!Área_de_impresión</vt:lpstr>
      <vt:lpstr>REPOSICIONES_BARRA!Área_de_impresión</vt:lpstr>
      <vt:lpstr>BARRA!Títulos_a_imprimir</vt:lpstr>
      <vt:lpstr>COCINA!Títulos_a_imprimir</vt:lpstr>
      <vt:lpstr>INICIO!Títulos_a_imprimir</vt:lpstr>
      <vt:lpstr>INICIO_BARRA!Títulos_a_imprimir</vt:lpstr>
      <vt:lpstr>REPOSICIONES!Títulos_a_imprimir</vt:lpstr>
      <vt:lpstr>REPOSICIONES_BARRA!Títulos_a_imprimir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</dc:creator>
  <cp:lastModifiedBy>Jorge Cortes</cp:lastModifiedBy>
  <cp:lastPrinted>2023-08-09T21:08:05Z</cp:lastPrinted>
  <dcterms:created xsi:type="dcterms:W3CDTF">2020-08-24T13:27:52Z</dcterms:created>
  <dcterms:modified xsi:type="dcterms:W3CDTF">2024-01-17T23:31:33Z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f4e9a4a-eb20-4aad-9a64-8872817c1a6f_Enabled">
    <vt:lpwstr>true</vt:lpwstr>
  </property>
  <property fmtid="{D5CDD505-2E9C-101B-9397-08002B2CF9AE}" pid="3" name="MSIP_Label_9f4e9a4a-eb20-4aad-9a64-8872817c1a6f_SetDate">
    <vt:lpwstr>2023-05-17T14:55:59Z</vt:lpwstr>
  </property>
  <property fmtid="{D5CDD505-2E9C-101B-9397-08002B2CF9AE}" pid="4" name="MSIP_Label_9f4e9a4a-eb20-4aad-9a64-8872817c1a6f_Method">
    <vt:lpwstr>Standard</vt:lpwstr>
  </property>
  <property fmtid="{D5CDD505-2E9C-101B-9397-08002B2CF9AE}" pid="5" name="MSIP_Label_9f4e9a4a-eb20-4aad-9a64-8872817c1a6f_Name">
    <vt:lpwstr>defa4170-0d19-0005-0004-bc88714345d2</vt:lpwstr>
  </property>
  <property fmtid="{D5CDD505-2E9C-101B-9397-08002B2CF9AE}" pid="6" name="MSIP_Label_9f4e9a4a-eb20-4aad-9a64-8872817c1a6f_SiteId">
    <vt:lpwstr>7a599002-001c-432c-846e-1ddca9f6b299</vt:lpwstr>
  </property>
  <property fmtid="{D5CDD505-2E9C-101B-9397-08002B2CF9AE}" pid="7" name="MSIP_Label_9f4e9a4a-eb20-4aad-9a64-8872817c1a6f_ActionId">
    <vt:lpwstr>448e17a0-d629-4d47-a5f2-cd3eabb161b8</vt:lpwstr>
  </property>
  <property fmtid="{D5CDD505-2E9C-101B-9397-08002B2CF9AE}" pid="8" name="MSIP_Label_9f4e9a4a-eb20-4aad-9a64-8872817c1a6f_ContentBits">
    <vt:lpwstr>0</vt:lpwstr>
  </property>
</Properties>
</file>